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Override ContentType="application/vnd.openxmlformats-officedocument.spreadsheetml.worksheet+xml" PartName="/xl/worksheets/sheet3.xml"/>
  <Override ContentType="application/vnd.openxmlformats-officedocument.spreadsheetml.worksheet+xml" PartName="/xl/worksheets/sheet4.xml"/>
  <Override ContentType="application/vnd.openxmlformats-officedocument.spreadsheetml.worksheet+xml" PartName="/xl/worksheets/sheet5.xml"/>
  <Override ContentType="application/vnd.openxmlformats-officedocument.spreadsheetml.worksheet+xml" PartName="/xl/worksheets/sheet6.xml"/>
  <Override ContentType="application/vnd.openxmlformats-officedocument.spreadsheetml.worksheet+xml" PartName="/xl/worksheets/sheet7.xml"/>
  <Override ContentType="application/vnd.openxmlformats-officedocument.spreadsheetml.worksheet+xml" PartName="/xl/worksheets/sheet8.xml"/>
  <Override ContentType="application/vnd.openxmlformats-officedocument.spreadsheetml.worksheet+xml" PartName="/xl/worksheets/sheet9.xml"/>
  <Override ContentType="application/vnd.openxmlformats-officedocument.spreadsheetml.worksheet+xml" PartName="/xl/worksheets/sheet10.xml"/>
  <Override ContentType="application/vnd.openxmlformats-officedocument.spreadsheetml.worksheet+xml" PartName="/xl/worksheets/sheet11.xml"/>
  <Override ContentType="application/vnd.openxmlformats-officedocument.spreadsheetml.worksheet+xml" PartName="/xl/worksheets/sheet12.xml"/>
  <Override ContentType="application/vnd.openxmlformats-officedocument.spreadsheetml.worksheet+xml" PartName="/xl/worksheets/sheet13.xml"/>
  <Override ContentType="application/vnd.openxmlformats-officedocument.spreadsheetml.worksheet+xml" PartName="/xl/worksheets/sheet14.xml"/>
  <Override ContentType="application/vnd.openxmlformats-officedocument.spreadsheetml.worksheet+xml" PartName="/xl/worksheets/sheet15.xml"/>
  <Override ContentType="application/vnd.openxmlformats-officedocument.spreadsheetml.worksheet+xml" PartName="/xl/worksheets/sheet16.xml"/>
  <Override ContentType="application/vnd.openxmlformats-officedocument.spreadsheetml.worksheet+xml" PartName="/xl/worksheets/sheet17.xml"/>
  <Override ContentType="application/vnd.openxmlformats-officedocument.spreadsheetml.worksheet+xml" PartName="/xl/worksheets/sheet18.xml"/>
  <Override ContentType="application/vnd.openxmlformats-officedocument.spreadsheetml.worksheet+xml" PartName="/xl/worksheets/sheet19.xml"/>
  <Override ContentType="application/vnd.openxmlformats-officedocument.spreadsheetml.worksheet+xml" PartName="/xl/worksheets/sheet20.xml"/>
  <Override ContentType="application/vnd.openxmlformats-officedocument.spreadsheetml.worksheet+xml" PartName="/xl/worksheets/sheet21.xml"/>
  <Override ContentType="application/vnd.openxmlformats-officedocument.spreadsheetml.worksheet+xml" PartName="/xl/worksheets/sheet22.xml"/>
  <Override ContentType="application/vnd.openxmlformats-officedocument.spreadsheetml.worksheet+xml" PartName="/xl/worksheets/sheet23.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LEASE_MASTER" r:id="rId3" sheetId="1"/>
    <sheet name="TRANSACTIONS" r:id="rId4" sheetId="2"/>
    <sheet name="RENT_DUE" r:id="rId5" sheetId="3"/>
    <sheet name="RENT_RECEIVED" r:id="rId6" sheetId="4"/>
    <sheet name="EXPENSES" r:id="rId7" sheetId="5"/>
    <sheet name="PROPERTY_ACCOUNT" r:id="rId8" sheetId="6"/>
    <sheet name="Dec 22 - Jan 21, 2025" r:id="rId9" sheetId="7"/>
    <sheet name="Jan 22 - Feb 21, 2025" r:id="rId10" sheetId="8"/>
    <sheet name="Feb 22 - Mar 21, 2025" r:id="rId11" sheetId="9"/>
    <sheet name="Mar 22 - Apr 21, 2025" r:id="rId12" sheetId="10"/>
    <sheet name="Apr 22 - May 21, 2025" r:id="rId13" sheetId="11"/>
    <sheet name="May 22 - Jun 21, 2025" r:id="rId14" sheetId="12"/>
    <sheet name="Jun 22 - Jul 21, 2025" r:id="rId15" sheetId="13"/>
    <sheet name="Jul 22 - Aug 21, 2025" r:id="rId16" sheetId="14"/>
    <sheet name="Aug 22 - Sep 21, 2025" r:id="rId17" sheetId="15"/>
    <sheet name="Sep 22 - Oct 21, 2025" r:id="rId18" sheetId="16"/>
    <sheet name="Oct 22 - Nov 21, 2025" r:id="rId19" sheetId="17"/>
    <sheet name="SUMMARY" r:id="rId20" sheetId="18"/>
    <sheet name="SUMMARY_CHECK" r:id="rId21" sheetId="19"/>
    <sheet name="Income Allocations" r:id="rId22" sheetId="20"/>
    <sheet name="Expense Allocations" r:id="rId23" sheetId="21"/>
    <sheet name="Owner Payments Summary" r:id="rId24" sheetId="22"/>
    <sheet name="PAYMENT_ALLOCATIONS" r:id="rId25" sheetId="23"/>
  </sheets>
</workbook>
</file>

<file path=xl/sharedStrings.xml><?xml version="1.0" encoding="utf-8"?>
<sst xmlns="http://schemas.openxmlformats.org/spreadsheetml/2006/main" count="0" uniqueCount="0"/>
</file>

<file path=xl/styles.xml><?xml version="1.0" encoding="utf-8"?>
<styleSheet xmlns="http://schemas.openxmlformats.org/spreadsheetml/2006/main">
  <numFmts count="2">
    <numFmt numFmtId="164" formatCode="yyyy-mm-dd"/>
    <numFmt numFmtId="165" formatCode="£#,##0.00"/>
  </numFmts>
  <fonts count="3">
    <font>
      <sz val="11.0"/>
      <color indexed="8"/>
      <name val="Calibri"/>
      <family val="2"/>
      <scheme val="minor"/>
    </font>
    <font>
      <name val="Calibri"/>
      <sz val="11.0"/>
      <b val="true"/>
    </font>
    <font>
      <name val="Calibri"/>
      <sz val="11.0"/>
      <b val="true"/>
    </font>
  </fonts>
  <fills count="4">
    <fill>
      <patternFill patternType="none"/>
    </fill>
    <fill>
      <patternFill patternType="darkGray"/>
    </fill>
    <fill>
      <patternFill patternType="none">
        <fgColor indexed="22"/>
      </patternFill>
    </fill>
    <fill>
      <patternFill patternType="solid">
        <fgColor indexed="22"/>
      </patternFill>
    </fill>
  </fills>
  <borders count="1">
    <border>
      <left/>
      <right/>
      <top/>
      <bottom/>
      <diagonal/>
    </border>
  </borders>
  <cellStyleXfs count="1">
    <xf numFmtId="0" fontId="0" fillId="0" borderId="0"/>
  </cellStyleXfs>
  <cellXfs count="9">
    <xf numFmtId="0" fontId="0" fillId="0" borderId="0" xfId="0"/>
    <xf numFmtId="0" fontId="1" fillId="3" borderId="0" xfId="0" applyFont="true" applyFill="true"/>
    <xf numFmtId="164" fontId="0" fillId="0" borderId="0" xfId="0" applyNumberFormat="true"/>
    <xf numFmtId="165" fontId="0" fillId="0" borderId="0" xfId="0" applyNumberFormat="true"/>
    <xf numFmtId="10" fontId="0" fillId="0" borderId="0" xfId="0" applyNumberFormat="true"/>
    <xf numFmtId="0" fontId="1" fillId="0" borderId="0" xfId="0" applyFont="true"/>
    <xf numFmtId="165" fontId="1" fillId="0" borderId="0" xfId="0" applyFont="true" applyNumberFormat="true"/>
    <xf numFmtId="0" fontId="2" fillId="0" borderId="0" xfId="0" applyFont="true"/>
    <xf numFmtId="165" fontId="2" fillId="0" borderId="0" xfId="0" applyNumberFormat="true" applyFont="true"/>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10" Target="worksheets/sheet8.xml" Type="http://schemas.openxmlformats.org/officeDocument/2006/relationships/worksheet"/><Relationship Id="rId11" Target="worksheets/sheet9.xml" Type="http://schemas.openxmlformats.org/officeDocument/2006/relationships/worksheet"/><Relationship Id="rId12" Target="worksheets/sheet10.xml" Type="http://schemas.openxmlformats.org/officeDocument/2006/relationships/worksheet"/><Relationship Id="rId13" Target="worksheets/sheet11.xml" Type="http://schemas.openxmlformats.org/officeDocument/2006/relationships/worksheet"/><Relationship Id="rId14" Target="worksheets/sheet12.xml" Type="http://schemas.openxmlformats.org/officeDocument/2006/relationships/worksheet"/><Relationship Id="rId15" Target="worksheets/sheet13.xml" Type="http://schemas.openxmlformats.org/officeDocument/2006/relationships/worksheet"/><Relationship Id="rId16" Target="worksheets/sheet14.xml" Type="http://schemas.openxmlformats.org/officeDocument/2006/relationships/worksheet"/><Relationship Id="rId17" Target="worksheets/sheet15.xml" Type="http://schemas.openxmlformats.org/officeDocument/2006/relationships/worksheet"/><Relationship Id="rId18" Target="worksheets/sheet16.xml" Type="http://schemas.openxmlformats.org/officeDocument/2006/relationships/worksheet"/><Relationship Id="rId19" Target="worksheets/sheet17.xml" Type="http://schemas.openxmlformats.org/officeDocument/2006/relationships/worksheet"/><Relationship Id="rId2" Target="styles.xml" Type="http://schemas.openxmlformats.org/officeDocument/2006/relationships/styles"/><Relationship Id="rId20" Target="worksheets/sheet18.xml" Type="http://schemas.openxmlformats.org/officeDocument/2006/relationships/worksheet"/><Relationship Id="rId21" Target="worksheets/sheet19.xml" Type="http://schemas.openxmlformats.org/officeDocument/2006/relationships/worksheet"/><Relationship Id="rId22" Target="worksheets/sheet20.xml" Type="http://schemas.openxmlformats.org/officeDocument/2006/relationships/worksheet"/><Relationship Id="rId23" Target="worksheets/sheet21.xml" Type="http://schemas.openxmlformats.org/officeDocument/2006/relationships/worksheet"/><Relationship Id="rId24" Target="worksheets/sheet22.xml" Type="http://schemas.openxmlformats.org/officeDocument/2006/relationships/worksheet"/><Relationship Id="rId25" Target="worksheets/sheet23.xml" Type="http://schemas.openxmlformats.org/officeDocument/2006/relationships/worksheet"/><Relationship Id="rId3" Target="worksheets/sheet1.xml" Type="http://schemas.openxmlformats.org/officeDocument/2006/relationships/worksheet"/><Relationship Id="rId4" Target="worksheets/sheet2.xml" Type="http://schemas.openxmlformats.org/officeDocument/2006/relationships/worksheet"/><Relationship Id="rId5" Target="worksheets/sheet3.xml" Type="http://schemas.openxmlformats.org/officeDocument/2006/relationships/worksheet"/><Relationship Id="rId6" Target="worksheets/sheet4.xml" Type="http://schemas.openxmlformats.org/officeDocument/2006/relationships/worksheet"/><Relationship Id="rId7" Target="worksheets/sheet5.xml" Type="http://schemas.openxmlformats.org/officeDocument/2006/relationships/worksheet"/><Relationship Id="rId8" Target="worksheets/sheet6.xml" Type="http://schemas.openxmlformats.org/officeDocument/2006/relationships/worksheet"/><Relationship Id="rId9" Target="worksheets/sheet7.xml" Type="http://schemas.openxmlformats.org/officeDocument/2006/relationships/worksheet"/></Relationships>
</file>

<file path=xl/worksheets/sheet1.xml><?xml version="1.0" encoding="utf-8"?>
<worksheet xmlns="http://schemas.openxmlformats.org/spreadsheetml/2006/main">
  <dimension ref="A1:L42"/>
  <sheetViews>
    <sheetView workbookViewId="0" tabSelected="true"/>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s>
  <sheetData>
    <row r="1">
      <c r="A1" s="1" t="inlineStr">
        <is>
          <t>lease_id</t>
        </is>
      </c>
      <c r="B1" s="1" t="inlineStr">
        <is>
          <t>lease_reference</t>
        </is>
      </c>
      <c r="C1" s="1" t="inlineStr">
        <is>
          <t>property_id</t>
        </is>
      </c>
      <c r="D1" s="1" t="inlineStr">
        <is>
          <t>property_name</t>
        </is>
      </c>
      <c r="E1" s="1" t="inlineStr">
        <is>
          <t>property_address</t>
        </is>
      </c>
      <c r="F1" s="1" t="inlineStr">
        <is>
          <t>customer_id</t>
        </is>
      </c>
      <c r="G1" s="1" t="inlineStr">
        <is>
          <t>customer_name</t>
        </is>
      </c>
      <c r="H1" s="1" t="inlineStr">
        <is>
          <t>start_date</t>
        </is>
      </c>
      <c r="I1" s="1" t="inlineStr">
        <is>
          <t>end_date</t>
        </is>
      </c>
      <c r="J1" s="1" t="inlineStr">
        <is>
          <t>monthly_rent</t>
        </is>
      </c>
      <c r="K1" s="1" t="inlineStr">
        <is>
          <t>frequency</t>
        </is>
      </c>
      <c r="L1" s="1" t="inlineStr">
        <is>
          <t>frequency_months</t>
        </is>
      </c>
    </row>
    <row r="2">
      <c r="A2" t="n">
        <v>1.0</v>
      </c>
      <c r="B2" t="inlineStr">
        <is>
          <t>LEASE-BH-F1-2025</t>
        </is>
      </c>
      <c r="C2" t="n">
        <v>22.0</v>
      </c>
      <c r="D2" t="inlineStr">
        <is>
          <t>Flat 1 - 3 West Gate</t>
        </is>
      </c>
      <c r="E2" t="inlineStr">
        <is>
          <t>Flat 1 - 3 West Gate, Long Eaton NG10 1EG</t>
        </is>
      </c>
      <c r="F2" t="n">
        <v>79.0</v>
      </c>
      <c r="G2" t="inlineStr">
        <is>
          <t>Achal (Delegated for Udayan)</t>
        </is>
      </c>
      <c r="H2" s="2" t="n">
        <v>45715.0</v>
      </c>
      <c r="I2"/>
      <c r="J2" s="3" t="n">
        <v>795.0</v>
      </c>
      <c r="K2" t="inlineStr">
        <is>
          <t>monthly</t>
        </is>
      </c>
      <c r="L2" t="n">
        <v>1.0</v>
      </c>
    </row>
    <row r="3">
      <c r="A3" t="n">
        <v>2.0</v>
      </c>
      <c r="B3" t="inlineStr">
        <is>
          <t>LEASE-BH-F2-2025</t>
        </is>
      </c>
      <c r="C3" t="n">
        <v>23.0</v>
      </c>
      <c r="D3" t="inlineStr">
        <is>
          <t>Flat 2 - 3 West Gate</t>
        </is>
      </c>
      <c r="E3" t="inlineStr">
        <is>
          <t>Flat 2 - 3 West Gate, Long Eaton NG10 1EG</t>
        </is>
      </c>
      <c r="F3" t="n">
        <v>79.0</v>
      </c>
      <c r="G3" t="inlineStr">
        <is>
          <t>Achal (Delegated for Udayan)</t>
        </is>
      </c>
      <c r="H3" s="2" t="n">
        <v>45715.0</v>
      </c>
      <c r="I3"/>
      <c r="J3" s="3" t="n">
        <v>740.0</v>
      </c>
      <c r="K3" t="inlineStr">
        <is>
          <t>monthly</t>
        </is>
      </c>
      <c r="L3" t="n">
        <v>1.0</v>
      </c>
    </row>
    <row r="4">
      <c r="A4" t="n">
        <v>3.0</v>
      </c>
      <c r="B4" t="inlineStr">
        <is>
          <t>LEASE-BH-F3-2025</t>
        </is>
      </c>
      <c r="C4" t="n">
        <v>42.0</v>
      </c>
      <c r="D4" t="inlineStr">
        <is>
          <t>Flat 3 - 3 West Gate</t>
        </is>
      </c>
      <c r="E4" t="inlineStr">
        <is>
          <t>Flat 3 - 3 West Gate, Long Eaton NG10 1EG</t>
        </is>
      </c>
      <c r="F4" t="n">
        <v>79.0</v>
      </c>
      <c r="G4" t="inlineStr">
        <is>
          <t>Achal (Delegated for Udayan)</t>
        </is>
      </c>
      <c r="H4" s="2" t="n">
        <v>45727.0</v>
      </c>
      <c r="I4"/>
      <c r="J4" s="3" t="n">
        <v>740.0</v>
      </c>
      <c r="K4" t="inlineStr">
        <is>
          <t>monthly</t>
        </is>
      </c>
      <c r="L4" t="n">
        <v>1.0</v>
      </c>
    </row>
    <row r="5">
      <c r="A5" t="n">
        <v>4.0</v>
      </c>
      <c r="B5" t="inlineStr">
        <is>
          <t>LEASE-BH-F4-2025</t>
        </is>
      </c>
      <c r="C5" t="n">
        <v>30.0</v>
      </c>
      <c r="D5" t="inlineStr">
        <is>
          <t>Flat 4 - 3 West Gate</t>
        </is>
      </c>
      <c r="E5" t="inlineStr">
        <is>
          <t>Flat 4 - 3 West Gate, Long Eaton NG10 1EG</t>
        </is>
      </c>
      <c r="F5" t="n">
        <v>79.0</v>
      </c>
      <c r="G5" t="inlineStr">
        <is>
          <t>Achal (Delegated for Udayan)</t>
        </is>
      </c>
      <c r="H5" s="2" t="n">
        <v>45713.0</v>
      </c>
      <c r="I5"/>
      <c r="J5" s="3" t="n">
        <v>855.0</v>
      </c>
      <c r="K5" t="inlineStr">
        <is>
          <t>monthly</t>
        </is>
      </c>
      <c r="L5" t="n">
        <v>1.0</v>
      </c>
    </row>
    <row r="6">
      <c r="A6" t="n">
        <v>5.0</v>
      </c>
      <c r="B6" t="inlineStr">
        <is>
          <t>LEASE-BH-F5-2025</t>
        </is>
      </c>
      <c r="C6" t="n">
        <v>21.0</v>
      </c>
      <c r="D6" t="inlineStr">
        <is>
          <t>Flat 5 - 3 West Gate</t>
        </is>
      </c>
      <c r="E6" t="inlineStr">
        <is>
          <t>Flat 5 - 3 West Gate, Long Eaton NG10 1EG</t>
        </is>
      </c>
      <c r="F6" t="n">
        <v>79.0</v>
      </c>
      <c r="G6" t="inlineStr">
        <is>
          <t>Achal (Delegated for Udayan)</t>
        </is>
      </c>
      <c r="H6" s="2" t="n">
        <v>45698.0</v>
      </c>
      <c r="I6"/>
      <c r="J6" s="3" t="n">
        <v>740.0</v>
      </c>
      <c r="K6" t="inlineStr">
        <is>
          <t>monthly</t>
        </is>
      </c>
      <c r="L6" t="n">
        <v>1.0</v>
      </c>
    </row>
    <row r="7">
      <c r="A7" t="n">
        <v>6.0</v>
      </c>
      <c r="B7" t="inlineStr">
        <is>
          <t>LEASE-BH-F6-2025</t>
        </is>
      </c>
      <c r="C7" t="n">
        <v>1.0</v>
      </c>
      <c r="D7" t="inlineStr">
        <is>
          <t>Flat 6 - 3 West Gate</t>
        </is>
      </c>
      <c r="E7" t="inlineStr">
        <is>
          <t>Flat 6 - 3 West Gate, Long Eaton NG10 1EG</t>
        </is>
      </c>
      <c r="F7" t="n">
        <v>79.0</v>
      </c>
      <c r="G7" t="inlineStr">
        <is>
          <t>Achal (Delegated for Udayan)</t>
        </is>
      </c>
      <c r="H7" s="2" t="n">
        <v>45744.0</v>
      </c>
      <c r="I7"/>
      <c r="J7" s="3" t="n">
        <v>740.0</v>
      </c>
      <c r="K7" t="inlineStr">
        <is>
          <t>monthly</t>
        </is>
      </c>
      <c r="L7" t="n">
        <v>1.0</v>
      </c>
    </row>
    <row r="8">
      <c r="A8" t="n">
        <v>7.0</v>
      </c>
      <c r="B8" t="inlineStr">
        <is>
          <t>LEASE-BH-F7-2025</t>
        </is>
      </c>
      <c r="C8" t="n">
        <v>20.0</v>
      </c>
      <c r="D8" t="inlineStr">
        <is>
          <t>Flat 7 - 3 West Gate</t>
        </is>
      </c>
      <c r="E8" t="inlineStr">
        <is>
          <t>Flat 7 - 3 West Gate, Long Eaton NG10 1EG</t>
        </is>
      </c>
      <c r="F8" t="n">
        <v>79.0</v>
      </c>
      <c r="G8" t="inlineStr">
        <is>
          <t>Achal (Delegated for Udayan)</t>
        </is>
      </c>
      <c r="H8" s="2" t="n">
        <v>45707.0</v>
      </c>
      <c r="I8" s="2" t="n">
        <v>45887.0</v>
      </c>
      <c r="J8" s="3" t="n">
        <v>700.0</v>
      </c>
      <c r="K8" t="inlineStr">
        <is>
          <t>monthly</t>
        </is>
      </c>
      <c r="L8" t="n">
        <v>1.0</v>
      </c>
    </row>
    <row r="9">
      <c r="A9" t="n">
        <v>8.0</v>
      </c>
      <c r="B9" t="inlineStr">
        <is>
          <t>LEASE-BH-F8-2025</t>
        </is>
      </c>
      <c r="C9" t="n">
        <v>40.0</v>
      </c>
      <c r="D9" t="inlineStr">
        <is>
          <t>Flat 8 - 3 West Gate</t>
        </is>
      </c>
      <c r="E9" t="inlineStr">
        <is>
          <t>Flat 8 - 3 West Gate, Long Eaton NG10 1EG</t>
        </is>
      </c>
      <c r="F9" t="n">
        <v>79.0</v>
      </c>
      <c r="G9" t="inlineStr">
        <is>
          <t>Achal (Delegated for Udayan)</t>
        </is>
      </c>
      <c r="H9" s="2" t="n">
        <v>45712.0</v>
      </c>
      <c r="I9"/>
      <c r="J9" s="3" t="n">
        <v>675.0</v>
      </c>
      <c r="K9" t="inlineStr">
        <is>
          <t>monthly</t>
        </is>
      </c>
      <c r="L9" t="n">
        <v>1.0</v>
      </c>
    </row>
    <row r="10">
      <c r="A10" t="n">
        <v>9.0</v>
      </c>
      <c r="B10" t="inlineStr">
        <is>
          <t>LEASE-BH-F9-2025</t>
        </is>
      </c>
      <c r="C10" t="n">
        <v>6.0</v>
      </c>
      <c r="D10" t="inlineStr">
        <is>
          <t>Flat 9 - 3 West Gate</t>
        </is>
      </c>
      <c r="E10" t="inlineStr">
        <is>
          <t>Flat 9 - 3 West Gate, Long Eaton NG10 1EG</t>
        </is>
      </c>
      <c r="F10" t="n">
        <v>79.0</v>
      </c>
      <c r="G10" t="inlineStr">
        <is>
          <t>Achal (Delegated for Udayan)</t>
        </is>
      </c>
      <c r="H10" s="2" t="n">
        <v>45736.0</v>
      </c>
      <c r="I10"/>
      <c r="J10" s="3" t="n">
        <v>700.0</v>
      </c>
      <c r="K10" t="inlineStr">
        <is>
          <t>monthly</t>
        </is>
      </c>
      <c r="L10" t="n">
        <v>1.0</v>
      </c>
    </row>
    <row r="11">
      <c r="A11" t="n">
        <v>10.0</v>
      </c>
      <c r="B11" t="inlineStr">
        <is>
          <t>LEASE-BH-F10-2025</t>
        </is>
      </c>
      <c r="C11" t="n">
        <v>7.0</v>
      </c>
      <c r="D11" t="inlineStr">
        <is>
          <t>Flat 10 - 3 West Gate</t>
        </is>
      </c>
      <c r="E11" t="inlineStr">
        <is>
          <t>Flat 10 - 3 West Gate, Long Eaton NG10 1EG</t>
        </is>
      </c>
      <c r="F11" t="n">
        <v>79.0</v>
      </c>
      <c r="G11" t="inlineStr">
        <is>
          <t>Achal (Delegated for Udayan)</t>
        </is>
      </c>
      <c r="H11" s="2" t="n">
        <v>45722.0</v>
      </c>
      <c r="I11" s="2" t="n">
        <v>45894.0</v>
      </c>
      <c r="J11" s="3" t="n">
        <v>735.0</v>
      </c>
      <c r="K11" t="inlineStr">
        <is>
          <t>monthly</t>
        </is>
      </c>
      <c r="L11" t="n">
        <v>1.0</v>
      </c>
    </row>
    <row r="12">
      <c r="A12" t="n">
        <v>11.0</v>
      </c>
      <c r="B12" t="inlineStr">
        <is>
          <t>LEASE-BH-F10-2025B</t>
        </is>
      </c>
      <c r="C12" t="n">
        <v>7.0</v>
      </c>
      <c r="D12" t="inlineStr">
        <is>
          <t>Flat 10 - 3 West Gate</t>
        </is>
      </c>
      <c r="E12" t="inlineStr">
        <is>
          <t>Flat 10 - 3 West Gate, Long Eaton NG10 1EG</t>
        </is>
      </c>
      <c r="F12" t="n">
        <v>79.0</v>
      </c>
      <c r="G12" t="inlineStr">
        <is>
          <t>Achal (Delegated for Udayan)</t>
        </is>
      </c>
      <c r="H12" s="2" t="n">
        <v>45903.0</v>
      </c>
      <c r="I12"/>
      <c r="J12" s="3" t="n">
        <v>795.0</v>
      </c>
      <c r="K12" t="inlineStr">
        <is>
          <t>monthly</t>
        </is>
      </c>
      <c r="L12" t="n">
        <v>1.0</v>
      </c>
    </row>
    <row r="13">
      <c r="A13" t="n">
        <v>12.0</v>
      </c>
      <c r="B13" t="inlineStr">
        <is>
          <t>LEASE-BH-F11-2025</t>
        </is>
      </c>
      <c r="C13" t="n">
        <v>17.0</v>
      </c>
      <c r="D13" t="inlineStr">
        <is>
          <t>Flat 11 - 3 West Gate</t>
        </is>
      </c>
      <c r="E13" t="inlineStr">
        <is>
          <t>Flat 11 - 3 West Gate, Long Eaton NG10 1EG</t>
        </is>
      </c>
      <c r="F13" t="n">
        <v>79.0</v>
      </c>
      <c r="G13" t="inlineStr">
        <is>
          <t>Achal (Delegated for Udayan)</t>
        </is>
      </c>
      <c r="H13" s="2" t="n">
        <v>45722.0</v>
      </c>
      <c r="I13"/>
      <c r="J13" s="3" t="n">
        <v>795.0</v>
      </c>
      <c r="K13" t="inlineStr">
        <is>
          <t>monthly</t>
        </is>
      </c>
      <c r="L13" t="n">
        <v>1.0</v>
      </c>
    </row>
    <row r="14">
      <c r="A14" t="n">
        <v>13.0</v>
      </c>
      <c r="B14" t="inlineStr">
        <is>
          <t>LEASE-BH-F12-2025</t>
        </is>
      </c>
      <c r="C14" t="n">
        <v>41.0</v>
      </c>
      <c r="D14" t="inlineStr">
        <is>
          <t>Flat 12 - 3 West Gate</t>
        </is>
      </c>
      <c r="E14" t="inlineStr">
        <is>
          <t>Flat 12 - 3 West Gate, Long Eaton NG10 1EG</t>
        </is>
      </c>
      <c r="F14" t="n">
        <v>79.0</v>
      </c>
      <c r="G14" t="inlineStr">
        <is>
          <t>Achal (Delegated for Udayan)</t>
        </is>
      </c>
      <c r="H14" s="2" t="n">
        <v>45754.0</v>
      </c>
      <c r="I14" s="2" t="n">
        <v>45814.0</v>
      </c>
      <c r="J14" s="3" t="n">
        <v>675.0</v>
      </c>
      <c r="K14" t="inlineStr">
        <is>
          <t>monthly</t>
        </is>
      </c>
      <c r="L14" t="n">
        <v>1.0</v>
      </c>
    </row>
    <row r="15">
      <c r="A15" t="n">
        <v>14.0</v>
      </c>
      <c r="B15" t="inlineStr">
        <is>
          <t>LEASE-BH-F12-2025B</t>
        </is>
      </c>
      <c r="C15" t="n">
        <v>41.0</v>
      </c>
      <c r="D15" t="inlineStr">
        <is>
          <t>Flat 12 - 3 West Gate</t>
        </is>
      </c>
      <c r="E15" t="inlineStr">
        <is>
          <t>Flat 12 - 3 West Gate, Long Eaton NG10 1EG</t>
        </is>
      </c>
      <c r="F15" t="n">
        <v>79.0</v>
      </c>
      <c r="G15" t="inlineStr">
        <is>
          <t>Achal (Delegated for Udayan)</t>
        </is>
      </c>
      <c r="H15" s="2" t="n">
        <v>45860.0</v>
      </c>
      <c r="I15" s="2" t="n">
        <v>45951.0</v>
      </c>
      <c r="J15" s="3" t="n">
        <v>5687.0</v>
      </c>
      <c r="K15" t="inlineStr">
        <is>
          <t>quarterly</t>
        </is>
      </c>
      <c r="L15" t="n">
        <v>3.0</v>
      </c>
    </row>
    <row r="16">
      <c r="A16" t="n">
        <v>15.0</v>
      </c>
      <c r="B16" t="inlineStr">
        <is>
          <t>LEASE-BH-F13-2025</t>
        </is>
      </c>
      <c r="C16" t="n">
        <v>25.0</v>
      </c>
      <c r="D16" t="inlineStr">
        <is>
          <t>Flat 13 - 3 West Gate</t>
        </is>
      </c>
      <c r="E16" t="inlineStr">
        <is>
          <t>Flat 13 - 3 West Gate, Long Eaton NG10 1EG</t>
        </is>
      </c>
      <c r="F16" t="n">
        <v>79.0</v>
      </c>
      <c r="G16" t="inlineStr">
        <is>
          <t>Achal (Delegated for Udayan)</t>
        </is>
      </c>
      <c r="H16" s="2" t="n">
        <v>45719.0</v>
      </c>
      <c r="I16" s="2" t="n">
        <v>45963.0</v>
      </c>
      <c r="J16" s="3" t="n">
        <v>800.0</v>
      </c>
      <c r="K16" t="inlineStr">
        <is>
          <t>monthly</t>
        </is>
      </c>
      <c r="L16" t="n">
        <v>1.0</v>
      </c>
    </row>
    <row r="17">
      <c r="A17" t="n">
        <v>16.0</v>
      </c>
      <c r="B17" t="inlineStr">
        <is>
          <t>LEASE-BH-F14-2025</t>
        </is>
      </c>
      <c r="C17" t="n">
        <v>24.0</v>
      </c>
      <c r="D17" t="inlineStr">
        <is>
          <t>Flat 14 - 3 West Gate</t>
        </is>
      </c>
      <c r="E17" t="inlineStr">
        <is>
          <t>Flat 14 - 3 West Gate, Long Eaton NG10 1EG</t>
        </is>
      </c>
      <c r="F17" t="n">
        <v>79.0</v>
      </c>
      <c r="G17" t="inlineStr">
        <is>
          <t>Achal (Delegated for Udayan)</t>
        </is>
      </c>
      <c r="H17" s="2" t="n">
        <v>45744.0</v>
      </c>
      <c r="I17"/>
      <c r="J17" s="3" t="n">
        <v>795.0</v>
      </c>
      <c r="K17" t="inlineStr">
        <is>
          <t>monthly</t>
        </is>
      </c>
      <c r="L17" t="n">
        <v>1.0</v>
      </c>
    </row>
    <row r="18">
      <c r="A18" t="n">
        <v>17.0</v>
      </c>
      <c r="B18" t="inlineStr">
        <is>
          <t>LEASE-BH-F15-2025</t>
        </is>
      </c>
      <c r="C18" t="n">
        <v>44.0</v>
      </c>
      <c r="D18" t="inlineStr">
        <is>
          <t>Flat 15 - 3 West Gate</t>
        </is>
      </c>
      <c r="E18" t="inlineStr">
        <is>
          <t>Flat 15 - 3 West Gate, Long Eaton NG10 1EG</t>
        </is>
      </c>
      <c r="F18" t="n">
        <v>79.0</v>
      </c>
      <c r="G18" t="inlineStr">
        <is>
          <t>Achal (Delegated for Udayan)</t>
        </is>
      </c>
      <c r="H18" s="2" t="n">
        <v>45703.0</v>
      </c>
      <c r="I18"/>
      <c r="J18" s="3" t="n">
        <v>740.0</v>
      </c>
      <c r="K18" t="inlineStr">
        <is>
          <t>monthly</t>
        </is>
      </c>
      <c r="L18" t="n">
        <v>1.0</v>
      </c>
    </row>
    <row r="19">
      <c r="A19" t="n">
        <v>18.0</v>
      </c>
      <c r="B19" t="inlineStr">
        <is>
          <t>LEASE-BH-F16-2025</t>
        </is>
      </c>
      <c r="C19" t="n">
        <v>2.0</v>
      </c>
      <c r="D19" t="inlineStr">
        <is>
          <t>Flat 16 - 3 West Gate</t>
        </is>
      </c>
      <c r="E19" t="inlineStr">
        <is>
          <t>Flat 16 - 3 West Gate, Long Eaton NG10 1EG</t>
        </is>
      </c>
      <c r="F19" t="n">
        <v>79.0</v>
      </c>
      <c r="G19" t="inlineStr">
        <is>
          <t>Achal (Delegated for Udayan)</t>
        </is>
      </c>
      <c r="H19" s="2" t="n">
        <v>45726.0</v>
      </c>
      <c r="I19" s="2" t="n">
        <v>45902.0</v>
      </c>
      <c r="J19" s="3" t="n">
        <v>740.0</v>
      </c>
      <c r="K19" t="inlineStr">
        <is>
          <t>monthly</t>
        </is>
      </c>
      <c r="L19" t="n">
        <v>1.0</v>
      </c>
    </row>
    <row r="20">
      <c r="A20" t="n">
        <v>19.0</v>
      </c>
      <c r="B20" t="inlineStr">
        <is>
          <t>LEASE-BH-F17-2025</t>
        </is>
      </c>
      <c r="C20" t="n">
        <v>5.0</v>
      </c>
      <c r="D20" t="inlineStr">
        <is>
          <t>Flat 17 - 3 West Gate</t>
        </is>
      </c>
      <c r="E20" t="inlineStr">
        <is>
          <t>Flat 17 - 3 West Gate, Long Eaton NG10 1EG</t>
        </is>
      </c>
      <c r="F20" t="n">
        <v>79.0</v>
      </c>
      <c r="G20" t="inlineStr">
        <is>
          <t>Achal (Delegated for Udayan)</t>
        </is>
      </c>
      <c r="H20" s="2" t="n">
        <v>45705.0</v>
      </c>
      <c r="I20"/>
      <c r="J20" s="3" t="n">
        <v>700.0</v>
      </c>
      <c r="K20" t="inlineStr">
        <is>
          <t>monthly</t>
        </is>
      </c>
      <c r="L20" t="n">
        <v>1.0</v>
      </c>
    </row>
    <row r="21">
      <c r="A21" t="n">
        <v>20.0</v>
      </c>
      <c r="B21" t="inlineStr">
        <is>
          <t>LEASE-BH-F18-2025</t>
        </is>
      </c>
      <c r="C21" t="n">
        <v>33.0</v>
      </c>
      <c r="D21" t="inlineStr">
        <is>
          <t>Flat 18 - 3 West Gate</t>
        </is>
      </c>
      <c r="E21" t="inlineStr">
        <is>
          <t>Flat 18 - 3 West Gate, Long Eaton NG10 1EG</t>
        </is>
      </c>
      <c r="F21" t="n">
        <v>79.0</v>
      </c>
      <c r="G21" t="inlineStr">
        <is>
          <t>Achal (Delegated for Udayan)</t>
        </is>
      </c>
      <c r="H21" s="2" t="n">
        <v>45687.0</v>
      </c>
      <c r="I21" s="2" t="n">
        <v>45783.0</v>
      </c>
      <c r="J21" s="3" t="n">
        <v>740.0</v>
      </c>
      <c r="K21" t="inlineStr">
        <is>
          <t>monthly</t>
        </is>
      </c>
      <c r="L21" t="n">
        <v>1.0</v>
      </c>
    </row>
    <row r="22">
      <c r="A22" t="n">
        <v>21.0</v>
      </c>
      <c r="B22" t="inlineStr">
        <is>
          <t>LEASE-BH-F18-2025B</t>
        </is>
      </c>
      <c r="C22" t="n">
        <v>33.0</v>
      </c>
      <c r="D22" t="inlineStr">
        <is>
          <t>Flat 18 - 3 West Gate</t>
        </is>
      </c>
      <c r="E22" t="inlineStr">
        <is>
          <t>Flat 18 - 3 West Gate, Long Eaton NG10 1EG</t>
        </is>
      </c>
      <c r="F22" t="n">
        <v>79.0</v>
      </c>
      <c r="G22" t="inlineStr">
        <is>
          <t>Achal (Delegated for Udayan)</t>
        </is>
      </c>
      <c r="H22" s="2" t="n">
        <v>45818.0</v>
      </c>
      <c r="I22"/>
      <c r="J22" s="3" t="n">
        <v>795.0</v>
      </c>
      <c r="K22" t="inlineStr">
        <is>
          <t>monthly</t>
        </is>
      </c>
      <c r="L22" t="n">
        <v>1.0</v>
      </c>
    </row>
    <row r="23">
      <c r="A23" t="n">
        <v>22.0</v>
      </c>
      <c r="B23" t="inlineStr">
        <is>
          <t>LEASE-BH-F19-2025</t>
        </is>
      </c>
      <c r="C23" t="n">
        <v>43.0</v>
      </c>
      <c r="D23" t="inlineStr">
        <is>
          <t>Flat 19 - 3 West Gate</t>
        </is>
      </c>
      <c r="E23" t="inlineStr">
        <is>
          <t>Flat 19 - 3 West Gate, Long Eaton NG10 1EG</t>
        </is>
      </c>
      <c r="F23" t="n">
        <v>79.0</v>
      </c>
      <c r="G23" t="inlineStr">
        <is>
          <t>Achal (Delegated for Udayan)</t>
        </is>
      </c>
      <c r="H23" s="2" t="n">
        <v>45730.0</v>
      </c>
      <c r="I23" s="2" t="n">
        <v>45869.0</v>
      </c>
      <c r="J23" s="3" t="n">
        <v>740.0</v>
      </c>
      <c r="K23" t="inlineStr">
        <is>
          <t>monthly</t>
        </is>
      </c>
      <c r="L23" t="n">
        <v>1.0</v>
      </c>
    </row>
    <row r="24">
      <c r="A24" t="n">
        <v>23.0</v>
      </c>
      <c r="B24" t="inlineStr">
        <is>
          <t>LEASE-BH-F19-2025B</t>
        </is>
      </c>
      <c r="C24" t="n">
        <v>43.0</v>
      </c>
      <c r="D24" t="inlineStr">
        <is>
          <t>Flat 19 - 3 West Gate</t>
        </is>
      </c>
      <c r="E24" t="inlineStr">
        <is>
          <t>Flat 19 - 3 West Gate, Long Eaton NG10 1EG</t>
        </is>
      </c>
      <c r="F24" t="n">
        <v>79.0</v>
      </c>
      <c r="G24" t="inlineStr">
        <is>
          <t>Achal (Delegated for Udayan)</t>
        </is>
      </c>
      <c r="H24" s="2" t="n">
        <v>45901.0</v>
      </c>
      <c r="I24"/>
      <c r="J24" s="3" t="n">
        <v>795.0</v>
      </c>
      <c r="K24" t="inlineStr">
        <is>
          <t>monthly</t>
        </is>
      </c>
      <c r="L24" t="n">
        <v>1.0</v>
      </c>
    </row>
    <row r="25">
      <c r="A25" t="n">
        <v>24.0</v>
      </c>
      <c r="B25" t="inlineStr">
        <is>
          <t>LEASE-BH-F20-2025</t>
        </is>
      </c>
      <c r="C25" t="n">
        <v>39.0</v>
      </c>
      <c r="D25" t="inlineStr">
        <is>
          <t>Flat 20 - 3 West Gate</t>
        </is>
      </c>
      <c r="E25" t="inlineStr">
        <is>
          <t>Flat 20 - 3 West Gate, Long Eaton NG10 1EG</t>
        </is>
      </c>
      <c r="F25" t="n">
        <v>79.0</v>
      </c>
      <c r="G25" t="inlineStr">
        <is>
          <t>Achal (Delegated for Udayan)</t>
        </is>
      </c>
      <c r="H25" s="2" t="n">
        <v>45732.0</v>
      </c>
      <c r="I25"/>
      <c r="J25" s="3" t="n">
        <v>700.0</v>
      </c>
      <c r="K25" t="inlineStr">
        <is>
          <t>monthly</t>
        </is>
      </c>
      <c r="L25" t="n">
        <v>1.0</v>
      </c>
    </row>
    <row r="26">
      <c r="A26" t="n">
        <v>25.0</v>
      </c>
      <c r="B26" t="inlineStr">
        <is>
          <t>LEASE-BH-F21-2025</t>
        </is>
      </c>
      <c r="C26" t="n">
        <v>31.0</v>
      </c>
      <c r="D26" t="inlineStr">
        <is>
          <t>Flat 21 - 3 West Gate</t>
        </is>
      </c>
      <c r="E26" t="inlineStr">
        <is>
          <t>Flat 21 - 3 West Gate, Long Eaton NG10 1EG</t>
        </is>
      </c>
      <c r="F26" t="n">
        <v>79.0</v>
      </c>
      <c r="G26" t="inlineStr">
        <is>
          <t>Achal (Delegated for Udayan)</t>
        </is>
      </c>
      <c r="H26" s="2" t="n">
        <v>45687.0</v>
      </c>
      <c r="I26"/>
      <c r="J26" s="3" t="n">
        <v>795.0</v>
      </c>
      <c r="K26" t="inlineStr">
        <is>
          <t>monthly</t>
        </is>
      </c>
      <c r="L26" t="n">
        <v>1.0</v>
      </c>
    </row>
    <row r="27">
      <c r="A27" t="n">
        <v>26.0</v>
      </c>
      <c r="B27" t="inlineStr">
        <is>
          <t>LEASE-BH-F22-2025</t>
        </is>
      </c>
      <c r="C27" t="n">
        <v>14.0</v>
      </c>
      <c r="D27" t="inlineStr">
        <is>
          <t>Flat 22 - 3 West Gate</t>
        </is>
      </c>
      <c r="E27" t="inlineStr">
        <is>
          <t>Flat 22 - 3 West Gate, Long Eaton NG10 1EG</t>
        </is>
      </c>
      <c r="F27" t="n">
        <v>79.0</v>
      </c>
      <c r="G27" t="inlineStr">
        <is>
          <t>Achal (Delegated for Udayan)</t>
        </is>
      </c>
      <c r="H27" s="2" t="n">
        <v>45717.0</v>
      </c>
      <c r="I27"/>
      <c r="J27" s="3" t="n">
        <v>740.0</v>
      </c>
      <c r="K27" t="inlineStr">
        <is>
          <t>monthly</t>
        </is>
      </c>
      <c r="L27" t="n">
        <v>1.0</v>
      </c>
    </row>
    <row r="28">
      <c r="A28" t="n">
        <v>27.0</v>
      </c>
      <c r="B28" t="inlineStr">
        <is>
          <t>LEASE-BH-F23-2025</t>
        </is>
      </c>
      <c r="C28" t="n">
        <v>29.0</v>
      </c>
      <c r="D28" t="inlineStr">
        <is>
          <t>Flat 23 - 3 West Gate</t>
        </is>
      </c>
      <c r="E28" t="inlineStr">
        <is>
          <t>Flat 23 - 3 West Gate, Long Eaton NG10 1EG</t>
        </is>
      </c>
      <c r="F28" t="n">
        <v>79.0</v>
      </c>
      <c r="G28" t="inlineStr">
        <is>
          <t>Achal (Delegated for Udayan)</t>
        </is>
      </c>
      <c r="H28" s="2" t="n">
        <v>45830.0</v>
      </c>
      <c r="I28"/>
      <c r="J28" s="3" t="n">
        <v>795.0</v>
      </c>
      <c r="K28" t="inlineStr">
        <is>
          <t>monthly</t>
        </is>
      </c>
      <c r="L28" t="n">
        <v>1.0</v>
      </c>
    </row>
    <row r="29">
      <c r="A29" t="n">
        <v>28.0</v>
      </c>
      <c r="B29" t="inlineStr">
        <is>
          <t>LEASE-BH-F24-2025</t>
        </is>
      </c>
      <c r="C29" t="n">
        <v>37.0</v>
      </c>
      <c r="D29" t="inlineStr">
        <is>
          <t>Flat 24 - 3 West Gate</t>
        </is>
      </c>
      <c r="E29" t="inlineStr">
        <is>
          <t>Flat 24 - 3 West Gate, Long Eaton NG10 1EG</t>
        </is>
      </c>
      <c r="F29" t="n">
        <v>79.0</v>
      </c>
      <c r="G29" t="inlineStr">
        <is>
          <t>Achal (Delegated for Udayan)</t>
        </is>
      </c>
      <c r="H29" s="2" t="n">
        <v>45700.0</v>
      </c>
      <c r="I29"/>
      <c r="J29" s="3" t="n">
        <v>810.0</v>
      </c>
      <c r="K29" t="inlineStr">
        <is>
          <t>monthly</t>
        </is>
      </c>
      <c r="L29" t="n">
        <v>1.0</v>
      </c>
    </row>
    <row r="30">
      <c r="A30" t="n">
        <v>29.0</v>
      </c>
      <c r="B30" t="inlineStr">
        <is>
          <t>LEASE-BH-F26-2025</t>
        </is>
      </c>
      <c r="C30" t="n">
        <v>32.0</v>
      </c>
      <c r="D30" t="inlineStr">
        <is>
          <t>Flat 26 - 3 West Gate</t>
        </is>
      </c>
      <c r="E30" t="inlineStr">
        <is>
          <t>Flat 26 - 3 West Gate, Long Eaton NG10 1EG</t>
        </is>
      </c>
      <c r="F30" t="n">
        <v>79.0</v>
      </c>
      <c r="G30" t="inlineStr">
        <is>
          <t>Achal (Delegated for Udayan)</t>
        </is>
      </c>
      <c r="H30" s="2" t="n">
        <v>45730.0</v>
      </c>
      <c r="I30"/>
      <c r="J30" s="3" t="n">
        <v>675.0</v>
      </c>
      <c r="K30" t="inlineStr">
        <is>
          <t>monthly</t>
        </is>
      </c>
      <c r="L30" t="n">
        <v>1.0</v>
      </c>
    </row>
    <row r="31">
      <c r="A31" t="n">
        <v>30.0</v>
      </c>
      <c r="B31" t="inlineStr">
        <is>
          <t>LEASE-BH-F27-2025</t>
        </is>
      </c>
      <c r="C31" t="n">
        <v>27.0</v>
      </c>
      <c r="D31" t="inlineStr">
        <is>
          <t>Flat 27 - 3 West Gate</t>
        </is>
      </c>
      <c r="E31" t="inlineStr">
        <is>
          <t>Flat 27 - 3 West Gate, Long Eaton NG10 1EG</t>
        </is>
      </c>
      <c r="F31" t="n">
        <v>79.0</v>
      </c>
      <c r="G31" t="inlineStr">
        <is>
          <t>Achal (Delegated for Udayan)</t>
        </is>
      </c>
      <c r="H31" s="2" t="n">
        <v>45716.0</v>
      </c>
      <c r="I31"/>
      <c r="J31" s="3" t="n">
        <v>700.0</v>
      </c>
      <c r="K31" t="inlineStr">
        <is>
          <t>monthly</t>
        </is>
      </c>
      <c r="L31" t="n">
        <v>1.0</v>
      </c>
    </row>
    <row r="32">
      <c r="A32" t="n">
        <v>31.0</v>
      </c>
      <c r="B32" t="inlineStr">
        <is>
          <t>LEASE-BH-F28-2025</t>
        </is>
      </c>
      <c r="C32" t="n">
        <v>15.0</v>
      </c>
      <c r="D32" t="inlineStr">
        <is>
          <t>Flat 28 - 3 West Gate</t>
        </is>
      </c>
      <c r="E32" t="inlineStr">
        <is>
          <t>Flat 28 - 3 West Gate, Long Eaton NG10 1EG</t>
        </is>
      </c>
      <c r="F32" t="n">
        <v>79.0</v>
      </c>
      <c r="G32" t="inlineStr">
        <is>
          <t>Achal (Delegated for Udayan)</t>
        </is>
      </c>
      <c r="H32" s="2" t="n">
        <v>45744.0</v>
      </c>
      <c r="I32" s="2" t="n">
        <v>45927.0</v>
      </c>
      <c r="J32" s="3" t="n">
        <v>740.0</v>
      </c>
      <c r="K32" t="inlineStr">
        <is>
          <t>monthly</t>
        </is>
      </c>
      <c r="L32" t="n">
        <v>1.0</v>
      </c>
    </row>
    <row r="33">
      <c r="A33" t="n">
        <v>32.0</v>
      </c>
      <c r="B33" t="inlineStr">
        <is>
          <t>LEASE-BH-F29-2025</t>
        </is>
      </c>
      <c r="C33" t="n">
        <v>11.0</v>
      </c>
      <c r="D33" t="inlineStr">
        <is>
          <t>Flat 29 - 3 West Gate</t>
        </is>
      </c>
      <c r="E33" t="inlineStr">
        <is>
          <t>Flat 29 - 3 West Gate, Long Eaton NG10 1EG</t>
        </is>
      </c>
      <c r="F33" t="n">
        <v>79.0</v>
      </c>
      <c r="G33" t="inlineStr">
        <is>
          <t>Achal (Delegated for Udayan)</t>
        </is>
      </c>
      <c r="H33" s="2" t="n">
        <v>45715.0</v>
      </c>
      <c r="I33"/>
      <c r="J33" s="3" t="n">
        <v>740.0</v>
      </c>
      <c r="K33" t="inlineStr">
        <is>
          <t>monthly</t>
        </is>
      </c>
      <c r="L33" t="n">
        <v>1.0</v>
      </c>
    </row>
    <row r="34">
      <c r="A34" t="n">
        <v>33.0</v>
      </c>
      <c r="B34" t="inlineStr">
        <is>
          <t>LEASE-BH-F30-2025</t>
        </is>
      </c>
      <c r="C34" t="n">
        <v>10.0</v>
      </c>
      <c r="D34" t="inlineStr">
        <is>
          <t>Flat 30 - 3 West Gate</t>
        </is>
      </c>
      <c r="E34" t="inlineStr">
        <is>
          <t>Flat 30 - 3 West Gate, Long Eaton NG10 1EG</t>
        </is>
      </c>
      <c r="F34" t="n">
        <v>79.0</v>
      </c>
      <c r="G34" t="inlineStr">
        <is>
          <t>Achal (Delegated for Udayan)</t>
        </is>
      </c>
      <c r="H34" s="2" t="n">
        <v>45722.0</v>
      </c>
      <c r="I34" s="2" t="n">
        <v>45966.0</v>
      </c>
      <c r="J34" s="3" t="n">
        <v>740.0</v>
      </c>
      <c r="K34" t="inlineStr">
        <is>
          <t>monthly</t>
        </is>
      </c>
      <c r="L34" t="n">
        <v>1.0</v>
      </c>
    </row>
    <row r="35">
      <c r="A35" t="n">
        <v>34.0</v>
      </c>
      <c r="B35" t="inlineStr">
        <is>
          <t>LEASE-BH-PS1-2025</t>
        </is>
      </c>
      <c r="C35" t="n">
        <v>38.0</v>
      </c>
      <c r="D35" t="inlineStr">
        <is>
          <t>Parking Space 1 - 3 West Gate</t>
        </is>
      </c>
      <c r="E35" t="inlineStr">
        <is>
          <t>Parking Space 1, 3 West Gate, Long Eaton NG10 1EG</t>
        </is>
      </c>
      <c r="F35" t="n">
        <v>79.0</v>
      </c>
      <c r="G35" t="inlineStr">
        <is>
          <t>Achal (Delegated for Udayan)</t>
        </is>
      </c>
      <c r="H35" s="2" t="n">
        <v>45842.0</v>
      </c>
      <c r="I35"/>
      <c r="J35" s="3" t="n">
        <v>60.0</v>
      </c>
      <c r="K35" t="inlineStr">
        <is>
          <t>monthly</t>
        </is>
      </c>
      <c r="L35" t="n">
        <v>1.0</v>
      </c>
    </row>
    <row r="36">
      <c r="A36" t="n">
        <v>35.0</v>
      </c>
      <c r="B36" t="inlineStr">
        <is>
          <t>LEASE-BH-PS2-2025</t>
        </is>
      </c>
      <c r="C36" t="n">
        <v>36.0</v>
      </c>
      <c r="D36" t="inlineStr">
        <is>
          <t>Parking Space 2 - 3 West Gate</t>
        </is>
      </c>
      <c r="E36" t="inlineStr">
        <is>
          <t>Parking Space 2 - 3 West Gate, Long Eaton NG10 1EG</t>
        </is>
      </c>
      <c r="F36" t="n">
        <v>79.0</v>
      </c>
      <c r="G36" t="inlineStr">
        <is>
          <t>Achal (Delegated for Udayan)</t>
        </is>
      </c>
      <c r="H36" s="2" t="n">
        <v>45852.0</v>
      </c>
      <c r="I36"/>
      <c r="J36" s="3" t="n">
        <v>60.0</v>
      </c>
      <c r="K36" t="inlineStr">
        <is>
          <t>monthly</t>
        </is>
      </c>
      <c r="L36" t="n">
        <v>1.0</v>
      </c>
    </row>
    <row r="37">
      <c r="A37" t="n">
        <v>36.0</v>
      </c>
      <c r="B37" t="inlineStr">
        <is>
          <t>LEASE-KH-F-2024</t>
        </is>
      </c>
      <c r="C37" t="n">
        <v>16.0</v>
      </c>
      <c r="D37" t="inlineStr">
        <is>
          <t>Apartment F - Knighton Hayes Manor</t>
        </is>
      </c>
      <c r="E37" t="inlineStr">
        <is>
          <t>Apartment F - Knighton Hayes Manor, 6A Ratcliffe Road, Leicester LE2 3TB</t>
        </is>
      </c>
      <c r="F37" t="n">
        <v>79.0</v>
      </c>
      <c r="G37" t="inlineStr">
        <is>
          <t>Achal (Delegated for Udayan)</t>
        </is>
      </c>
      <c r="H37" s="2" t="n">
        <v>45648.0</v>
      </c>
      <c r="I37"/>
      <c r="J37" s="3" t="n">
        <v>1125.0</v>
      </c>
      <c r="K37" t="inlineStr">
        <is>
          <t>monthly</t>
        </is>
      </c>
      <c r="L37" t="n">
        <v>1.0</v>
      </c>
    </row>
    <row r="38">
      <c r="A38" t="n">
        <v>78.0</v>
      </c>
      <c r="B38" t="inlineStr">
        <is>
          <t>LEASE-BH-F12-2025C</t>
        </is>
      </c>
      <c r="C38" t="n">
        <v>41.0</v>
      </c>
      <c r="D38" t="inlineStr">
        <is>
          <t>Flat 12 - 3 West Gate</t>
        </is>
      </c>
      <c r="E38" t="inlineStr">
        <is>
          <t>Flat 12 - 3 West Gate, Long Eaton NG10 1EG</t>
        </is>
      </c>
      <c r="F38" t="n">
        <v>79.0</v>
      </c>
      <c r="G38" t="inlineStr">
        <is>
          <t>Achal (Delegated for Udayan)</t>
        </is>
      </c>
      <c r="H38" s="2" t="n">
        <v>45940.0</v>
      </c>
      <c r="I38"/>
      <c r="J38" s="3" t="n">
        <v>795.0</v>
      </c>
      <c r="K38" t="inlineStr">
        <is>
          <t>monthly</t>
        </is>
      </c>
      <c r="L38" t="n">
        <v>1.0</v>
      </c>
    </row>
    <row r="39">
      <c r="A39" t="n">
        <v>79.0</v>
      </c>
      <c r="B39" t="inlineStr">
        <is>
          <t>LEASE-BH-F25-2025</t>
        </is>
      </c>
      <c r="C39" t="n">
        <v>28.0</v>
      </c>
      <c r="D39" t="inlineStr">
        <is>
          <t>Flat 25 - 3 West Gate</t>
        </is>
      </c>
      <c r="E39" t="inlineStr">
        <is>
          <t>Flat 25 - 3 West Gate, Long Eaton NG10 1EG</t>
        </is>
      </c>
      <c r="F39" t="n">
        <v>79.0</v>
      </c>
      <c r="G39" t="inlineStr">
        <is>
          <t>Achal (Delegated for Udayan)</t>
        </is>
      </c>
      <c r="H39" s="2" t="n">
        <v>45922.0</v>
      </c>
      <c r="I39"/>
      <c r="J39" s="3" t="n">
        <v>765.0</v>
      </c>
      <c r="K39" t="inlineStr">
        <is>
          <t>monthly</t>
        </is>
      </c>
      <c r="L39" t="n">
        <v>1.0</v>
      </c>
    </row>
    <row r="40">
      <c r="A40" t="n">
        <v>86.0</v>
      </c>
      <c r="B40" t="inlineStr">
        <is>
          <t>BODEN-BLOCK-2025</t>
        </is>
      </c>
      <c r="C40" t="n">
        <v>69.0</v>
      </c>
      <c r="D40" t="inlineStr">
        <is>
          <t>Boden House Block - Block Property</t>
        </is>
      </c>
      <c r="E40" t="inlineStr">
        <is>
          <t>Boden House Block - Block Property, 3 West Gate, Long Eaton NG10 1EG</t>
        </is>
      </c>
      <c r="F40" t="n">
        <v>79.0</v>
      </c>
      <c r="G40" t="inlineStr">
        <is>
          <t>Achal (Delegated for Udayan)</t>
        </is>
      </c>
      <c r="H40" s="2" t="n">
        <v>45717.0</v>
      </c>
      <c r="I40"/>
      <c r="J40" s="3" t="n">
        <v>0.01</v>
      </c>
      <c r="K40" t="inlineStr">
        <is>
          <t>yearly</t>
        </is>
      </c>
      <c r="L40" t="n">
        <v>12.0</v>
      </c>
    </row>
    <row r="41">
      <c r="A41" t="n">
        <v>88.0</v>
      </c>
      <c r="B41" t="inlineStr">
        <is>
          <t>LEASE-88</t>
        </is>
      </c>
      <c r="C41" t="n">
        <v>15.0</v>
      </c>
      <c r="D41" t="inlineStr">
        <is>
          <t>Flat 28 - 3 West Gate</t>
        </is>
      </c>
      <c r="E41" t="inlineStr">
        <is>
          <t>Flat 28 - 3 West Gate, Long Eaton NG10 1EG</t>
        </is>
      </c>
      <c r="F41" t="n">
        <v>79.0</v>
      </c>
      <c r="G41" t="inlineStr">
        <is>
          <t>Achal (Delegated for Udayan)</t>
        </is>
      </c>
      <c r="H41" s="2" t="n">
        <v>45956.0</v>
      </c>
      <c r="I41"/>
      <c r="J41" s="3" t="n">
        <v>750.0</v>
      </c>
      <c r="K41" t="inlineStr">
        <is>
          <t>monthly</t>
        </is>
      </c>
      <c r="L41" t="n">
        <v>1.0</v>
      </c>
    </row>
    <row r="42">
      <c r="A42" t="n">
        <v>131.0</v>
      </c>
      <c r="B42" t="inlineStr">
        <is>
          <t>LEASE-131</t>
        </is>
      </c>
      <c r="C42" t="n">
        <v>10.0</v>
      </c>
      <c r="D42" t="inlineStr">
        <is>
          <t>Flat 30 - 3 West Gate</t>
        </is>
      </c>
      <c r="E42" t="inlineStr">
        <is>
          <t>Flat 30 - 3 West Gate, Long Eaton NG10 1EG</t>
        </is>
      </c>
      <c r="F42" t="n">
        <v>79.0</v>
      </c>
      <c r="G42" t="inlineStr">
        <is>
          <t>Achal (Delegated for Udayan)</t>
        </is>
      </c>
      <c r="H42" s="2" t="n">
        <v>45996.0</v>
      </c>
      <c r="I42"/>
      <c r="J42" s="3" t="n">
        <v>775.0</v>
      </c>
      <c r="K42" t="inlineStr">
        <is>
          <t>monthly</t>
        </is>
      </c>
      <c r="L42" t="n">
        <v>1.0</v>
      </c>
    </row>
  </sheetData>
  <pageMargins bottom="0.75" footer="0.3" header="0.3" left="0.7" right="0.7" top="0.75"/>
</worksheet>
</file>

<file path=xl/worksheets/sheet2.xml><?xml version="1.0" encoding="utf-8"?>
<worksheet xmlns="http://schemas.openxmlformats.org/spreadsheetml/2006/main">
  <dimension ref="A1:K273"/>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s>
  <sheetData>
    <row r="1">
      <c r="A1" s="1" t="inlineStr">
        <is>
          <t>transaction_id</t>
        </is>
      </c>
      <c r="B1" s="1" t="inlineStr">
        <is>
          <t>transaction_date</t>
        </is>
      </c>
      <c r="C1" s="1" t="inlineStr">
        <is>
          <t>invoice_id</t>
        </is>
      </c>
      <c r="D1" s="1" t="inlineStr">
        <is>
          <t>property_id</t>
        </is>
      </c>
      <c r="E1" s="1" t="inlineStr">
        <is>
          <t>property_name</t>
        </is>
      </c>
      <c r="F1" s="1" t="inlineStr">
        <is>
          <t>customer_id</t>
        </is>
      </c>
      <c r="G1" s="1" t="inlineStr">
        <is>
          <t>category</t>
        </is>
      </c>
      <c r="H1" s="1" t="inlineStr">
        <is>
          <t>transaction_type</t>
        </is>
      </c>
      <c r="I1" s="1" t="inlineStr">
        <is>
          <t>amount</t>
        </is>
      </c>
      <c r="J1" s="1" t="inlineStr">
        <is>
          <t>description</t>
        </is>
      </c>
      <c r="K1" s="1" t="inlineStr">
        <is>
          <t>lease_reference</t>
        </is>
      </c>
    </row>
    <row r="2">
      <c r="A2" t="n">
        <v>8.0</v>
      </c>
      <c r="B2" s="2" t="n">
        <v>45685.0</v>
      </c>
      <c r="C2" t="n">
        <v>36.0</v>
      </c>
      <c r="D2" t="n">
        <v>16.0</v>
      </c>
      <c r="E2" t="inlineStr">
        <is>
          <t>Apartment F - Knighton Hayes Manor</t>
        </is>
      </c>
      <c r="F2" t="n">
        <v>13.0</v>
      </c>
      <c r="G2" t="inlineStr">
        <is>
          <t>rent</t>
        </is>
      </c>
      <c r="H2" t="inlineStr">
        <is>
          <t>rent_received</t>
        </is>
      </c>
      <c r="I2" s="3" t="n">
        <v>2250.0</v>
      </c>
      <c r="J2" t="inlineStr">
        <is>
          <t>Rent for flat apt f kh</t>
        </is>
      </c>
      <c r="K2" t="inlineStr">
        <is>
          <t/>
        </is>
      </c>
    </row>
    <row r="3">
      <c r="A3" t="n">
        <v>5.0</v>
      </c>
      <c r="B3" s="2" t="n">
        <v>45703.0</v>
      </c>
      <c r="C3" t="n">
        <v>20.0</v>
      </c>
      <c r="D3" t="n">
        <v>33.0</v>
      </c>
      <c r="E3" t="inlineStr">
        <is>
          <t>Flat 18 - 3 West Gate</t>
        </is>
      </c>
      <c r="F3" t="n">
        <v>76.0</v>
      </c>
      <c r="G3" t="inlineStr">
        <is>
          <t>rent</t>
        </is>
      </c>
      <c r="H3" t="inlineStr">
        <is>
          <t>rent_received</t>
        </is>
      </c>
      <c r="I3" s="3" t="n">
        <v>740.0</v>
      </c>
      <c r="J3" t="inlineStr">
        <is>
          <t>Rent for flat 18 boden</t>
        </is>
      </c>
      <c r="K3" t="inlineStr">
        <is>
          <t/>
        </is>
      </c>
    </row>
    <row r="4">
      <c r="A4" t="n">
        <v>6.0</v>
      </c>
      <c r="B4" s="2" t="n">
        <v>45703.0</v>
      </c>
      <c r="C4" t="n">
        <v>25.0</v>
      </c>
      <c r="D4" t="n">
        <v>31.0</v>
      </c>
      <c r="E4" t="inlineStr">
        <is>
          <t>Flat 21 - 3 West Gate</t>
        </is>
      </c>
      <c r="F4" t="n">
        <v>12.0</v>
      </c>
      <c r="G4" t="inlineStr">
        <is>
          <t>rent</t>
        </is>
      </c>
      <c r="H4" t="inlineStr">
        <is>
          <t>rent_received</t>
        </is>
      </c>
      <c r="I4" s="3" t="n">
        <v>795.0</v>
      </c>
      <c r="J4" t="inlineStr">
        <is>
          <t>Rent for flat 21 boden</t>
        </is>
      </c>
      <c r="K4" t="inlineStr">
        <is>
          <t/>
        </is>
      </c>
    </row>
    <row r="5">
      <c r="A5" t="n">
        <v>1.0</v>
      </c>
      <c r="B5" s="2" t="n">
        <v>45705.0</v>
      </c>
      <c r="C5" t="n">
        <v>5.0</v>
      </c>
      <c r="D5" t="n">
        <v>21.0</v>
      </c>
      <c r="E5" t="inlineStr">
        <is>
          <t>Flat 5 - 3 West Gate</t>
        </is>
      </c>
      <c r="F5" t="n">
        <v>28.0</v>
      </c>
      <c r="G5" t="inlineStr">
        <is>
          <t>rent</t>
        </is>
      </c>
      <c r="H5" t="inlineStr">
        <is>
          <t>rent_received</t>
        </is>
      </c>
      <c r="I5" s="3" t="n">
        <v>740.0</v>
      </c>
      <c r="J5" t="inlineStr">
        <is>
          <t>Rent for flat 5 boden</t>
        </is>
      </c>
      <c r="K5" t="inlineStr">
        <is>
          <t/>
        </is>
      </c>
    </row>
    <row r="6">
      <c r="A6" t="n">
        <v>2.0</v>
      </c>
      <c r="B6" s="2" t="n">
        <v>45707.0</v>
      </c>
      <c r="C6" t="n">
        <v>7.0</v>
      </c>
      <c r="D6" t="n">
        <v>20.0</v>
      </c>
      <c r="E6" t="inlineStr">
        <is>
          <t>Flat 7 - 3 West Gate</t>
        </is>
      </c>
      <c r="F6" t="n">
        <v>8.0</v>
      </c>
      <c r="G6" t="inlineStr">
        <is>
          <t>rent</t>
        </is>
      </c>
      <c r="H6" t="inlineStr">
        <is>
          <t>rent_received</t>
        </is>
      </c>
      <c r="I6" s="3" t="n">
        <v>700.0</v>
      </c>
      <c r="J6" t="inlineStr">
        <is>
          <t>Rent for flat 7 boden</t>
        </is>
      </c>
      <c r="K6" t="inlineStr">
        <is>
          <t/>
        </is>
      </c>
    </row>
    <row r="7">
      <c r="A7" t="n">
        <v>3.0</v>
      </c>
      <c r="B7" s="2" t="n">
        <v>45707.0</v>
      </c>
      <c r="C7" t="n">
        <v>17.0</v>
      </c>
      <c r="D7" t="n">
        <v>44.0</v>
      </c>
      <c r="E7" t="inlineStr">
        <is>
          <t>Flat 15 - 3 West Gate</t>
        </is>
      </c>
      <c r="F7" t="n">
        <v>36.0</v>
      </c>
      <c r="G7" t="inlineStr">
        <is>
          <t>rent</t>
        </is>
      </c>
      <c r="H7" t="inlineStr">
        <is>
          <t>rent_received</t>
        </is>
      </c>
      <c r="I7" s="3" t="n">
        <v>740.0</v>
      </c>
      <c r="J7" t="inlineStr">
        <is>
          <t>Rent for flat 15 boden</t>
        </is>
      </c>
      <c r="K7" t="inlineStr">
        <is>
          <t/>
        </is>
      </c>
    </row>
    <row r="8">
      <c r="A8" t="n">
        <v>4.0</v>
      </c>
      <c r="B8" s="2" t="n">
        <v>45708.0</v>
      </c>
      <c r="C8" t="n">
        <v>19.0</v>
      </c>
      <c r="D8" t="n">
        <v>5.0</v>
      </c>
      <c r="E8" t="inlineStr">
        <is>
          <t>Flat 17 - 3 West Gate</t>
        </is>
      </c>
      <c r="F8" t="n">
        <v>3.0</v>
      </c>
      <c r="G8" t="inlineStr">
        <is>
          <t>rent</t>
        </is>
      </c>
      <c r="H8" t="inlineStr">
        <is>
          <t>rent_received</t>
        </is>
      </c>
      <c r="I8" s="3" t="n">
        <v>700.0</v>
      </c>
      <c r="J8" t="inlineStr">
        <is>
          <t>Rent for flat 17 boden</t>
        </is>
      </c>
      <c r="K8" t="inlineStr">
        <is>
          <t/>
        </is>
      </c>
    </row>
    <row r="9">
      <c r="A9" t="n">
        <v>7.0</v>
      </c>
      <c r="B9" s="2" t="n">
        <v>45708.0</v>
      </c>
      <c r="C9" t="n">
        <v>28.0</v>
      </c>
      <c r="D9" t="n">
        <v>37.0</v>
      </c>
      <c r="E9" t="inlineStr">
        <is>
          <t>Flat 24 - 3 West Gate</t>
        </is>
      </c>
      <c r="F9" t="n">
        <v>16.0</v>
      </c>
      <c r="G9" t="inlineStr">
        <is>
          <t>rent</t>
        </is>
      </c>
      <c r="H9" t="inlineStr">
        <is>
          <t>rent_received</t>
        </is>
      </c>
      <c r="I9" s="3" t="n">
        <v>810.0</v>
      </c>
      <c r="J9" t="inlineStr">
        <is>
          <t>Rent for flat 24 boden</t>
        </is>
      </c>
      <c r="K9" t="inlineStr">
        <is>
          <t/>
        </is>
      </c>
    </row>
    <row r="10">
      <c r="A10" t="n">
        <v>38.0</v>
      </c>
      <c r="B10" s="2" t="n">
        <v>45712.0</v>
      </c>
      <c r="C10" t="n">
        <v>36.0</v>
      </c>
      <c r="D10" t="n">
        <v>16.0</v>
      </c>
      <c r="E10" t="inlineStr">
        <is>
          <t>Apartment F - Knighton Hayes Manor</t>
        </is>
      </c>
      <c r="F10" t="n">
        <v>13.0</v>
      </c>
      <c r="G10" t="inlineStr">
        <is>
          <t>rent</t>
        </is>
      </c>
      <c r="H10" t="inlineStr">
        <is>
          <t>rent_received</t>
        </is>
      </c>
      <c r="I10" s="3" t="n">
        <v>2250.0</v>
      </c>
      <c r="J10" t="inlineStr">
        <is>
          <t>rent for apartment F KH for 2 months</t>
        </is>
      </c>
      <c r="K10" t="inlineStr">
        <is>
          <t/>
        </is>
      </c>
    </row>
    <row r="11">
      <c r="A11" t="n">
        <v>32.0</v>
      </c>
      <c r="B11" s="2" t="n">
        <v>45716.0</v>
      </c>
      <c r="C11" t="n">
        <v>26.0</v>
      </c>
      <c r="D11" t="n">
        <v>14.0</v>
      </c>
      <c r="E11" t="inlineStr">
        <is>
          <t>Flat 22 - 3 West Gate</t>
        </is>
      </c>
      <c r="F11" t="n">
        <v>9.0</v>
      </c>
      <c r="G11" t="inlineStr">
        <is>
          <t>rent</t>
        </is>
      </c>
      <c r="H11" t="inlineStr">
        <is>
          <t>rent_received</t>
        </is>
      </c>
      <c r="I11" s="3" t="n">
        <v>740.0</v>
      </c>
      <c r="J11" t="inlineStr">
        <is>
          <t>rent for flat 22 boden</t>
        </is>
      </c>
      <c r="K11" t="inlineStr">
        <is>
          <t/>
        </is>
      </c>
    </row>
    <row r="12">
      <c r="A12" t="n">
        <v>34.0</v>
      </c>
      <c r="B12" s="2" t="n">
        <v>45716.0</v>
      </c>
      <c r="C12" t="n">
        <v>29.0</v>
      </c>
      <c r="D12" t="n">
        <v>32.0</v>
      </c>
      <c r="E12" t="inlineStr">
        <is>
          <t>Flat 26 - 3 West Gate</t>
        </is>
      </c>
      <c r="F12" t="n">
        <v>2.0</v>
      </c>
      <c r="G12" t="inlineStr">
        <is>
          <t>rent</t>
        </is>
      </c>
      <c r="H12" t="inlineStr">
        <is>
          <t>rent_received</t>
        </is>
      </c>
      <c r="I12" s="3" t="n">
        <v>675.0</v>
      </c>
      <c r="J12" t="inlineStr">
        <is>
          <t>rent for flat 26 boden</t>
        </is>
      </c>
      <c r="K12" t="inlineStr">
        <is>
          <t/>
        </is>
      </c>
    </row>
    <row r="13">
      <c r="A13" t="n">
        <v>23.0</v>
      </c>
      <c r="B13" s="2" t="n">
        <v>45718.0</v>
      </c>
      <c r="C13" t="n">
        <v>12.0</v>
      </c>
      <c r="D13" t="n">
        <v>17.0</v>
      </c>
      <c r="E13" t="inlineStr">
        <is>
          <t>Flat 11 - 3 West Gate</t>
        </is>
      </c>
      <c r="F13" t="n">
        <v>17.0</v>
      </c>
      <c r="G13" t="inlineStr">
        <is>
          <t>rent</t>
        </is>
      </c>
      <c r="H13" t="inlineStr">
        <is>
          <t>rent_received</t>
        </is>
      </c>
      <c r="I13" s="3" t="n">
        <v>795.0</v>
      </c>
      <c r="J13" t="inlineStr">
        <is>
          <t>rent for flat 11 boden</t>
        </is>
      </c>
      <c r="K13" t="inlineStr">
        <is>
          <t/>
        </is>
      </c>
    </row>
    <row r="14">
      <c r="A14" t="n">
        <v>15.0</v>
      </c>
      <c r="B14" s="2" t="n">
        <v>45719.0</v>
      </c>
      <c r="C14" t="n">
        <v>2.0</v>
      </c>
      <c r="D14" t="n">
        <v>23.0</v>
      </c>
      <c r="E14" t="inlineStr">
        <is>
          <t>Flat 2 - 3 West Gate</t>
        </is>
      </c>
      <c r="F14" t="n">
        <v>23.0</v>
      </c>
      <c r="G14" t="inlineStr">
        <is>
          <t>rent</t>
        </is>
      </c>
      <c r="H14" t="inlineStr">
        <is>
          <t>rent_received</t>
        </is>
      </c>
      <c r="I14" s="3" t="n">
        <v>740.0</v>
      </c>
      <c r="J14" t="inlineStr">
        <is>
          <t>Rent for flat 2 boden</t>
        </is>
      </c>
      <c r="K14" t="inlineStr">
        <is>
          <t/>
        </is>
      </c>
    </row>
    <row r="15">
      <c r="A15" t="n">
        <v>17.0</v>
      </c>
      <c r="B15" s="2" t="n">
        <v>45719.0</v>
      </c>
      <c r="C15" t="n">
        <v>4.0</v>
      </c>
      <c r="D15" t="n">
        <v>30.0</v>
      </c>
      <c r="E15" t="inlineStr">
        <is>
          <t>Flat 4 - 3 West Gate</t>
        </is>
      </c>
      <c r="F15" t="n">
        <v>6.0</v>
      </c>
      <c r="G15" t="inlineStr">
        <is>
          <t>rent</t>
        </is>
      </c>
      <c r="H15" t="inlineStr">
        <is>
          <t>rent_received</t>
        </is>
      </c>
      <c r="I15" s="3" t="n">
        <v>855.0</v>
      </c>
      <c r="J15" t="inlineStr">
        <is>
          <t>Rent for flat 4 boden</t>
        </is>
      </c>
      <c r="K15" t="inlineStr">
        <is>
          <t/>
        </is>
      </c>
    </row>
    <row r="16">
      <c r="A16" t="n">
        <v>21.0</v>
      </c>
      <c r="B16" s="2" t="n">
        <v>45719.0</v>
      </c>
      <c r="C16" t="n">
        <v>9.0</v>
      </c>
      <c r="D16" t="n">
        <v>6.0</v>
      </c>
      <c r="E16" t="inlineStr">
        <is>
          <t>Flat 9 - 3 West Gate</t>
        </is>
      </c>
      <c r="F16" t="n">
        <v>26.0</v>
      </c>
      <c r="G16" t="inlineStr">
        <is>
          <t>rent</t>
        </is>
      </c>
      <c r="H16" t="inlineStr">
        <is>
          <t>rent_received</t>
        </is>
      </c>
      <c r="I16" s="3" t="n">
        <v>700.0</v>
      </c>
      <c r="J16" t="inlineStr">
        <is>
          <t>Rent for flat 9 boden</t>
        </is>
      </c>
      <c r="K16" t="inlineStr">
        <is>
          <t/>
        </is>
      </c>
    </row>
    <row r="17">
      <c r="A17" t="n">
        <v>29.0</v>
      </c>
      <c r="B17" s="2" t="n">
        <v>45719.0</v>
      </c>
      <c r="C17" t="n">
        <v>22.0</v>
      </c>
      <c r="D17" t="n">
        <v>43.0</v>
      </c>
      <c r="E17" t="inlineStr">
        <is>
          <t>Flat 19 - 3 West Gate</t>
        </is>
      </c>
      <c r="F17" t="n">
        <v>25.0</v>
      </c>
      <c r="G17" t="inlineStr">
        <is>
          <t>rent</t>
        </is>
      </c>
      <c r="H17" t="inlineStr">
        <is>
          <t>rent_received</t>
        </is>
      </c>
      <c r="I17" s="3" t="n">
        <v>740.0</v>
      </c>
      <c r="J17" t="inlineStr">
        <is>
          <t>rent for flat 19 boden</t>
        </is>
      </c>
      <c r="K17" t="inlineStr">
        <is>
          <t/>
        </is>
      </c>
    </row>
    <row r="18">
      <c r="A18" t="n">
        <v>35.0</v>
      </c>
      <c r="B18" s="2" t="n">
        <v>45719.0</v>
      </c>
      <c r="C18" t="n">
        <v>30.0</v>
      </c>
      <c r="D18" t="n">
        <v>27.0</v>
      </c>
      <c r="E18" t="inlineStr">
        <is>
          <t>Flat 27 - 3 West Gate</t>
        </is>
      </c>
      <c r="F18" t="n">
        <v>32.0</v>
      </c>
      <c r="G18" t="inlineStr">
        <is>
          <t>rent</t>
        </is>
      </c>
      <c r="H18" t="inlineStr">
        <is>
          <t>rent_received</t>
        </is>
      </c>
      <c r="I18" s="3" t="n">
        <v>700.0</v>
      </c>
      <c r="J18" t="inlineStr">
        <is>
          <t>rent for flat 27 boden</t>
        </is>
      </c>
      <c r="K18" t="inlineStr">
        <is>
          <t/>
        </is>
      </c>
    </row>
    <row r="19">
      <c r="A19" t="n">
        <v>36.0</v>
      </c>
      <c r="B19" s="2" t="n">
        <v>45719.0</v>
      </c>
      <c r="C19" t="n">
        <v>32.0</v>
      </c>
      <c r="D19" t="n">
        <v>11.0</v>
      </c>
      <c r="E19" t="inlineStr">
        <is>
          <t>Flat 29 - 3 West Gate</t>
        </is>
      </c>
      <c r="F19" t="n">
        <v>35.0</v>
      </c>
      <c r="G19" t="inlineStr">
        <is>
          <t>rent</t>
        </is>
      </c>
      <c r="H19" t="inlineStr">
        <is>
          <t>rent_received</t>
        </is>
      </c>
      <c r="I19" s="3" t="n">
        <v>740.0</v>
      </c>
      <c r="J19" t="inlineStr">
        <is>
          <t>rent for flat 29 boden</t>
        </is>
      </c>
      <c r="K19" t="inlineStr">
        <is>
          <t/>
        </is>
      </c>
    </row>
    <row r="20">
      <c r="A20" t="n">
        <v>14.0</v>
      </c>
      <c r="B20" s="2" t="n">
        <v>45720.0</v>
      </c>
      <c r="C20" t="n">
        <v>1.0</v>
      </c>
      <c r="D20" t="n">
        <v>22.0</v>
      </c>
      <c r="E20" t="inlineStr">
        <is>
          <t>Flat 1 - 3 West Gate</t>
        </is>
      </c>
      <c r="F20" t="n">
        <v>10.0</v>
      </c>
      <c r="G20" t="inlineStr">
        <is>
          <t>rent</t>
        </is>
      </c>
      <c r="H20" t="inlineStr">
        <is>
          <t>rent_received</t>
        </is>
      </c>
      <c r="I20" s="3" t="n">
        <v>795.0</v>
      </c>
      <c r="J20" t="inlineStr">
        <is>
          <t>Rent for flat 1 boden</t>
        </is>
      </c>
      <c r="K20" t="inlineStr">
        <is>
          <t/>
        </is>
      </c>
    </row>
    <row r="21">
      <c r="A21" t="n">
        <v>20.0</v>
      </c>
      <c r="B21" s="2" t="n">
        <v>45720.0</v>
      </c>
      <c r="C21" t="n">
        <v>8.0</v>
      </c>
      <c r="D21" t="n">
        <v>40.0</v>
      </c>
      <c r="E21" t="inlineStr">
        <is>
          <t>Flat 8 - 3 West Gate</t>
        </is>
      </c>
      <c r="F21" t="n">
        <v>7.0</v>
      </c>
      <c r="G21" t="inlineStr">
        <is>
          <t>rent</t>
        </is>
      </c>
      <c r="H21" t="inlineStr">
        <is>
          <t>rent_received</t>
        </is>
      </c>
      <c r="I21" s="3" t="n">
        <v>675.0</v>
      </c>
      <c r="J21" t="inlineStr">
        <is>
          <t>Rent for flat 8 boden</t>
        </is>
      </c>
      <c r="K21" t="inlineStr">
        <is>
          <t/>
        </is>
      </c>
    </row>
    <row r="22">
      <c r="A22" t="n">
        <v>22.0</v>
      </c>
      <c r="B22" s="2" t="n">
        <v>45721.0</v>
      </c>
      <c r="C22" t="n">
        <v>10.0</v>
      </c>
      <c r="D22" t="n">
        <v>7.0</v>
      </c>
      <c r="E22" t="inlineStr">
        <is>
          <t>Flat 10 - 3 West Gate</t>
        </is>
      </c>
      <c r="F22" t="n">
        <v>11.0</v>
      </c>
      <c r="G22" t="inlineStr">
        <is>
          <t>rent</t>
        </is>
      </c>
      <c r="H22" t="inlineStr">
        <is>
          <t>rent_received</t>
        </is>
      </c>
      <c r="I22" s="3" t="n">
        <v>735.0</v>
      </c>
      <c r="J22" t="inlineStr">
        <is>
          <t>rent for flat 10 boden</t>
        </is>
      </c>
      <c r="K22" t="inlineStr">
        <is>
          <t/>
        </is>
      </c>
    </row>
    <row r="23">
      <c r="A23" t="n">
        <v>30.0</v>
      </c>
      <c r="B23" s="2" t="n">
        <v>45721.0</v>
      </c>
      <c r="C23" t="n">
        <v>24.0</v>
      </c>
      <c r="D23" t="n">
        <v>39.0</v>
      </c>
      <c r="E23" t="inlineStr">
        <is>
          <t>Flat 20 - 3 West Gate</t>
        </is>
      </c>
      <c r="F23" t="n">
        <v>22.0</v>
      </c>
      <c r="G23" t="inlineStr">
        <is>
          <t>rent</t>
        </is>
      </c>
      <c r="H23" t="inlineStr">
        <is>
          <t>rent_received</t>
        </is>
      </c>
      <c r="I23" s="3" t="n">
        <v>700.0</v>
      </c>
      <c r="J23" t="inlineStr">
        <is>
          <t>rent for flat 20 boden</t>
        </is>
      </c>
      <c r="K23" t="inlineStr">
        <is>
          <t/>
        </is>
      </c>
    </row>
    <row r="24">
      <c r="A24" t="n">
        <v>24.0</v>
      </c>
      <c r="B24" s="2" t="n">
        <v>45722.0</v>
      </c>
      <c r="C24" t="n">
        <v>15.0</v>
      </c>
      <c r="D24" t="n">
        <v>25.0</v>
      </c>
      <c r="E24" t="inlineStr">
        <is>
          <t>Flat 13 - 3 West Gate</t>
        </is>
      </c>
      <c r="F24" t="n">
        <v>18.0</v>
      </c>
      <c r="G24" t="inlineStr">
        <is>
          <t>rent</t>
        </is>
      </c>
      <c r="H24" t="inlineStr">
        <is>
          <t>rent_received</t>
        </is>
      </c>
      <c r="I24" s="3" t="n">
        <v>800.0</v>
      </c>
      <c r="J24" t="inlineStr">
        <is>
          <t>rent for flat 13 boden</t>
        </is>
      </c>
      <c r="K24" t="inlineStr">
        <is>
          <t/>
        </is>
      </c>
    </row>
    <row r="25">
      <c r="A25" t="n">
        <v>37.0</v>
      </c>
      <c r="B25" s="2" t="n">
        <v>45726.0</v>
      </c>
      <c r="C25" t="n">
        <v>33.0</v>
      </c>
      <c r="D25" t="n">
        <v>10.0</v>
      </c>
      <c r="E25" t="inlineStr">
        <is>
          <t>Flat 30 - 3 West Gate</t>
        </is>
      </c>
      <c r="F25" t="n">
        <v>30.0</v>
      </c>
      <c r="G25" t="inlineStr">
        <is>
          <t>rent</t>
        </is>
      </c>
      <c r="H25" t="inlineStr">
        <is>
          <t>rent_received</t>
        </is>
      </c>
      <c r="I25" s="3" t="n">
        <v>740.0</v>
      </c>
      <c r="J25" t="inlineStr">
        <is>
          <t>Payment - Flat 30 - 3 West Gate - Mr Joel Bryan</t>
        </is>
      </c>
      <c r="K25" t="inlineStr">
        <is>
          <t/>
        </is>
      </c>
    </row>
    <row r="26">
      <c r="A26" t="n">
        <v>26.0</v>
      </c>
      <c r="B26" s="2" t="n">
        <v>45728.0</v>
      </c>
      <c r="C26" t="n">
        <v>18.0</v>
      </c>
      <c r="D26" t="n">
        <v>2.0</v>
      </c>
      <c r="E26" t="inlineStr">
        <is>
          <t>Flat 16 - 3 West Gate</t>
        </is>
      </c>
      <c r="F26" t="n">
        <v>33.0</v>
      </c>
      <c r="G26" t="inlineStr">
        <is>
          <t>rent</t>
        </is>
      </c>
      <c r="H26" t="inlineStr">
        <is>
          <t>rent_received</t>
        </is>
      </c>
      <c r="I26" s="3" t="n">
        <v>740.0</v>
      </c>
      <c r="J26" t="inlineStr">
        <is>
          <t>rent for flat 16 boden</t>
        </is>
      </c>
      <c r="K26" t="inlineStr">
        <is>
          <t/>
        </is>
      </c>
    </row>
    <row r="27">
      <c r="A27" t="n">
        <v>16.0</v>
      </c>
      <c r="B27" s="2" t="n">
        <v>45730.0</v>
      </c>
      <c r="C27" t="n">
        <v>3.0</v>
      </c>
      <c r="D27" t="n">
        <v>42.0</v>
      </c>
      <c r="E27" t="inlineStr">
        <is>
          <t>Flat 3 - 3 West Gate</t>
        </is>
      </c>
      <c r="F27" t="n">
        <v>4.0</v>
      </c>
      <c r="G27" t="inlineStr">
        <is>
          <t>rent</t>
        </is>
      </c>
      <c r="H27" t="inlineStr">
        <is>
          <t>rent_received</t>
        </is>
      </c>
      <c r="I27" s="3" t="n">
        <v>740.0</v>
      </c>
      <c r="J27" t="inlineStr">
        <is>
          <t>Rent for flat 3 boden</t>
        </is>
      </c>
      <c r="K27" t="inlineStr">
        <is>
          <t/>
        </is>
      </c>
    </row>
    <row r="28">
      <c r="A28" t="n">
        <v>28.0</v>
      </c>
      <c r="B28" s="2" t="n">
        <v>45731.0</v>
      </c>
      <c r="C28" t="n">
        <v>20.0</v>
      </c>
      <c r="D28" t="n">
        <v>33.0</v>
      </c>
      <c r="E28" t="inlineStr">
        <is>
          <t>Flat 18 - 3 West Gate</t>
        </is>
      </c>
      <c r="F28" t="n">
        <v>76.0</v>
      </c>
      <c r="G28" t="inlineStr">
        <is>
          <t>rent</t>
        </is>
      </c>
      <c r="H28" t="inlineStr">
        <is>
          <t>rent_received</t>
        </is>
      </c>
      <c r="I28" s="3" t="n">
        <v>740.0</v>
      </c>
      <c r="J28" t="inlineStr">
        <is>
          <t>rent for flat 18 boden</t>
        </is>
      </c>
      <c r="K28" t="inlineStr">
        <is>
          <t/>
        </is>
      </c>
    </row>
    <row r="29">
      <c r="A29" t="n">
        <v>31.0</v>
      </c>
      <c r="B29" s="2" t="n">
        <v>45731.0</v>
      </c>
      <c r="C29" t="n">
        <v>25.0</v>
      </c>
      <c r="D29" t="n">
        <v>31.0</v>
      </c>
      <c r="E29" t="inlineStr">
        <is>
          <t>Flat 21 - 3 West Gate</t>
        </is>
      </c>
      <c r="F29" t="n">
        <v>12.0</v>
      </c>
      <c r="G29" t="inlineStr">
        <is>
          <t>rent</t>
        </is>
      </c>
      <c r="H29" t="inlineStr">
        <is>
          <t>rent_received</t>
        </is>
      </c>
      <c r="I29" s="3" t="n">
        <v>795.0</v>
      </c>
      <c r="J29" t="inlineStr">
        <is>
          <t>rent for flat 21 boden</t>
        </is>
      </c>
      <c r="K29" t="inlineStr">
        <is>
          <t/>
        </is>
      </c>
    </row>
    <row r="30">
      <c r="A30" t="n">
        <v>33.0</v>
      </c>
      <c r="B30" s="2" t="n">
        <v>45731.0</v>
      </c>
      <c r="C30" t="n">
        <v>28.0</v>
      </c>
      <c r="D30" t="n">
        <v>37.0</v>
      </c>
      <c r="E30" t="inlineStr">
        <is>
          <t>Flat 24 - 3 West Gate</t>
        </is>
      </c>
      <c r="F30" t="n">
        <v>16.0</v>
      </c>
      <c r="G30" t="inlineStr">
        <is>
          <t>rent</t>
        </is>
      </c>
      <c r="H30" t="inlineStr">
        <is>
          <t>rent_received</t>
        </is>
      </c>
      <c r="I30" s="3" t="n">
        <v>810.0</v>
      </c>
      <c r="J30" t="inlineStr">
        <is>
          <t>rent for flat 2</t>
        </is>
      </c>
      <c r="K30" t="inlineStr">
        <is>
          <t/>
        </is>
      </c>
    </row>
    <row r="31">
      <c r="A31" t="n">
        <v>18.0</v>
      </c>
      <c r="B31" s="2" t="n">
        <v>45733.0</v>
      </c>
      <c r="C31" t="n">
        <v>5.0</v>
      </c>
      <c r="D31" t="n">
        <v>21.0</v>
      </c>
      <c r="E31" t="inlineStr">
        <is>
          <t>Flat 5 - 3 West Gate</t>
        </is>
      </c>
      <c r="F31" t="n">
        <v>28.0</v>
      </c>
      <c r="G31" t="inlineStr">
        <is>
          <t>rent</t>
        </is>
      </c>
      <c r="H31" t="inlineStr">
        <is>
          <t>rent_received</t>
        </is>
      </c>
      <c r="I31" s="3" t="n">
        <v>740.0</v>
      </c>
      <c r="J31" t="inlineStr">
        <is>
          <t>Rent for flat 5 boden</t>
        </is>
      </c>
      <c r="K31" t="inlineStr">
        <is>
          <t/>
        </is>
      </c>
    </row>
    <row r="32">
      <c r="A32" t="n">
        <v>19.0</v>
      </c>
      <c r="B32" s="2" t="n">
        <v>45735.0</v>
      </c>
      <c r="C32" t="n">
        <v>7.0</v>
      </c>
      <c r="D32" t="n">
        <v>20.0</v>
      </c>
      <c r="E32" t="inlineStr">
        <is>
          <t>Flat 7 - 3 West Gate</t>
        </is>
      </c>
      <c r="F32" t="n">
        <v>8.0</v>
      </c>
      <c r="G32" t="inlineStr">
        <is>
          <t>rent</t>
        </is>
      </c>
      <c r="H32" t="inlineStr">
        <is>
          <t>rent_received</t>
        </is>
      </c>
      <c r="I32" s="3" t="n">
        <v>700.0</v>
      </c>
      <c r="J32" t="inlineStr">
        <is>
          <t>Rent for flat 7 boden</t>
        </is>
      </c>
      <c r="K32" t="inlineStr">
        <is>
          <t/>
        </is>
      </c>
    </row>
    <row r="33">
      <c r="A33" t="n">
        <v>25.0</v>
      </c>
      <c r="B33" s="2" t="n">
        <v>45735.0</v>
      </c>
      <c r="C33" t="n">
        <v>17.0</v>
      </c>
      <c r="D33" t="n">
        <v>44.0</v>
      </c>
      <c r="E33" t="inlineStr">
        <is>
          <t>Flat 15 - 3 West Gate</t>
        </is>
      </c>
      <c r="F33" t="n">
        <v>36.0</v>
      </c>
      <c r="G33" t="inlineStr">
        <is>
          <t>rent</t>
        </is>
      </c>
      <c r="H33" t="inlineStr">
        <is>
          <t>rent_received</t>
        </is>
      </c>
      <c r="I33" s="3" t="n">
        <v>740.0</v>
      </c>
      <c r="J33" t="inlineStr">
        <is>
          <t>rent for flat 15 boden</t>
        </is>
      </c>
      <c r="K33" t="inlineStr">
        <is>
          <t/>
        </is>
      </c>
    </row>
    <row r="34">
      <c r="A34" t="n">
        <v>27.0</v>
      </c>
      <c r="B34" s="2" t="n">
        <v>45736.0</v>
      </c>
      <c r="C34" t="n">
        <v>19.0</v>
      </c>
      <c r="D34" t="n">
        <v>5.0</v>
      </c>
      <c r="E34" t="inlineStr">
        <is>
          <t>Flat 17 - 3 West Gate</t>
        </is>
      </c>
      <c r="F34" t="n">
        <v>3.0</v>
      </c>
      <c r="G34" t="inlineStr">
        <is>
          <t>rent</t>
        </is>
      </c>
      <c r="H34" t="inlineStr">
        <is>
          <t>rent_received</t>
        </is>
      </c>
      <c r="I34" s="3" t="n">
        <v>700.0</v>
      </c>
      <c r="J34" t="inlineStr">
        <is>
          <t>rent for flat 17 boden</t>
        </is>
      </c>
      <c r="K34" t="inlineStr">
        <is>
          <t/>
        </is>
      </c>
    </row>
    <row r="35">
      <c r="A35" t="n">
        <v>53.0</v>
      </c>
      <c r="B35" s="2" t="n">
        <v>45742.0</v>
      </c>
      <c r="C35" t="n">
        <v>16.0</v>
      </c>
      <c r="D35" t="n">
        <v>24.0</v>
      </c>
      <c r="E35" t="inlineStr">
        <is>
          <t>Flat 14 - 3 West Gate</t>
        </is>
      </c>
      <c r="F35" t="n">
        <v>24.0</v>
      </c>
      <c r="G35" t="inlineStr">
        <is>
          <t>rent</t>
        </is>
      </c>
      <c r="H35" t="inlineStr">
        <is>
          <t>rent_received</t>
        </is>
      </c>
      <c r="I35" s="3" t="n">
        <v>795.0</v>
      </c>
      <c r="J35" t="inlineStr">
        <is>
          <t>rent for flat 14 boden</t>
        </is>
      </c>
      <c r="K35" t="inlineStr">
        <is>
          <t/>
        </is>
      </c>
    </row>
    <row r="36">
      <c r="A36" t="n">
        <v>60.0</v>
      </c>
      <c r="B36" s="2" t="n">
        <v>45744.0</v>
      </c>
      <c r="C36" t="n">
        <v>26.0</v>
      </c>
      <c r="D36" t="n">
        <v>14.0</v>
      </c>
      <c r="E36" t="inlineStr">
        <is>
          <t>Flat 22 - 3 West Gate</t>
        </is>
      </c>
      <c r="F36" t="n">
        <v>9.0</v>
      </c>
      <c r="G36" t="inlineStr">
        <is>
          <t>rent</t>
        </is>
      </c>
      <c r="H36" t="inlineStr">
        <is>
          <t>rent_received</t>
        </is>
      </c>
      <c r="I36" s="3" t="n">
        <v>740.0</v>
      </c>
      <c r="J36" t="inlineStr">
        <is>
          <t>rent for flat 22 boden</t>
        </is>
      </c>
      <c r="K36" t="inlineStr">
        <is>
          <t/>
        </is>
      </c>
    </row>
    <row r="37">
      <c r="A37" t="n">
        <v>62.0</v>
      </c>
      <c r="B37" s="2" t="n">
        <v>45744.0</v>
      </c>
      <c r="C37" t="n">
        <v>29.0</v>
      </c>
      <c r="D37" t="n">
        <v>32.0</v>
      </c>
      <c r="E37" t="inlineStr">
        <is>
          <t>Flat 26 - 3 West Gate</t>
        </is>
      </c>
      <c r="F37" t="n">
        <v>2.0</v>
      </c>
      <c r="G37" t="inlineStr">
        <is>
          <t>rent</t>
        </is>
      </c>
      <c r="H37" t="inlineStr">
        <is>
          <t>rent_received</t>
        </is>
      </c>
      <c r="I37" s="3" t="n">
        <v>675.0</v>
      </c>
      <c r="J37" t="inlineStr">
        <is>
          <t>rent for flat 26 boden</t>
        </is>
      </c>
      <c r="K37" t="inlineStr">
        <is>
          <t/>
        </is>
      </c>
    </row>
    <row r="38">
      <c r="A38" t="n">
        <v>46.0</v>
      </c>
      <c r="B38" s="2" t="n">
        <v>45746.0</v>
      </c>
      <c r="C38" t="n">
        <v>6.0</v>
      </c>
      <c r="D38" t="n">
        <v>1.0</v>
      </c>
      <c r="E38" t="inlineStr">
        <is>
          <t>Flat 6 - 3 West Gate</t>
        </is>
      </c>
      <c r="F38" t="n">
        <v>34.0</v>
      </c>
      <c r="G38" t="inlineStr">
        <is>
          <t>rent</t>
        </is>
      </c>
      <c r="H38" t="inlineStr">
        <is>
          <t>rent_received</t>
        </is>
      </c>
      <c r="I38" s="3" t="n">
        <v>740.0</v>
      </c>
      <c r="J38" t="inlineStr">
        <is>
          <t>Rent for flat 6 boden</t>
        </is>
      </c>
      <c r="K38" t="inlineStr">
        <is>
          <t/>
        </is>
      </c>
    </row>
    <row r="39">
      <c r="A39" t="n">
        <v>64.0</v>
      </c>
      <c r="B39" s="2" t="n">
        <v>45747.0</v>
      </c>
      <c r="C39" t="n">
        <v>31.0</v>
      </c>
      <c r="D39" t="n">
        <v>15.0</v>
      </c>
      <c r="E39" t="inlineStr">
        <is>
          <t>Flat 28 - 3 West Gate</t>
        </is>
      </c>
      <c r="F39" t="n">
        <v>38.0</v>
      </c>
      <c r="G39" t="inlineStr">
        <is>
          <t>rent</t>
        </is>
      </c>
      <c r="H39" t="inlineStr">
        <is>
          <t>rent_received</t>
        </is>
      </c>
      <c r="I39" s="3" t="n">
        <v>740.0</v>
      </c>
      <c r="J39" t="inlineStr">
        <is>
          <t>rent for flat 28 boden</t>
        </is>
      </c>
      <c r="K39" t="inlineStr">
        <is>
          <t/>
        </is>
      </c>
    </row>
    <row r="40">
      <c r="A40" t="n">
        <v>48.0</v>
      </c>
      <c r="B40" s="2" t="n">
        <v>45748.0</v>
      </c>
      <c r="C40" t="n">
        <v>9.0</v>
      </c>
      <c r="D40" t="n">
        <v>6.0</v>
      </c>
      <c r="E40" t="inlineStr">
        <is>
          <t>Flat 9 - 3 West Gate</t>
        </is>
      </c>
      <c r="F40" t="n">
        <v>26.0</v>
      </c>
      <c r="G40" t="inlineStr">
        <is>
          <t>rent</t>
        </is>
      </c>
      <c r="H40" t="inlineStr">
        <is>
          <t>rent_received</t>
        </is>
      </c>
      <c r="I40" s="3" t="n">
        <v>700.0</v>
      </c>
      <c r="J40" t="inlineStr">
        <is>
          <t>rent for flat 9 boden</t>
        </is>
      </c>
      <c r="K40" t="inlineStr">
        <is>
          <t/>
        </is>
      </c>
    </row>
    <row r="41">
      <c r="A41" t="n">
        <v>50.0</v>
      </c>
      <c r="B41" s="2" t="n">
        <v>45748.0</v>
      </c>
      <c r="C41" t="n">
        <v>12.0</v>
      </c>
      <c r="D41" t="n">
        <v>17.0</v>
      </c>
      <c r="E41" t="inlineStr">
        <is>
          <t>Flat 11 - 3 West Gate</t>
        </is>
      </c>
      <c r="F41" t="n">
        <v>17.0</v>
      </c>
      <c r="G41" t="inlineStr">
        <is>
          <t>rent</t>
        </is>
      </c>
      <c r="H41" t="inlineStr">
        <is>
          <t>rent_received</t>
        </is>
      </c>
      <c r="I41" s="3" t="n">
        <v>795.0</v>
      </c>
      <c r="J41" t="inlineStr">
        <is>
          <t>rent for flat 11 boden</t>
        </is>
      </c>
      <c r="K41" t="inlineStr">
        <is>
          <t/>
        </is>
      </c>
    </row>
    <row r="42">
      <c r="A42" t="n">
        <v>58.0</v>
      </c>
      <c r="B42" s="2" t="n">
        <v>45748.0</v>
      </c>
      <c r="C42" t="n">
        <v>24.0</v>
      </c>
      <c r="D42" t="n">
        <v>39.0</v>
      </c>
      <c r="E42" t="inlineStr">
        <is>
          <t>Flat 20 - 3 West Gate</t>
        </is>
      </c>
      <c r="F42" t="n">
        <v>22.0</v>
      </c>
      <c r="G42" t="inlineStr">
        <is>
          <t>rent</t>
        </is>
      </c>
      <c r="H42" t="inlineStr">
        <is>
          <t>rent_received</t>
        </is>
      </c>
      <c r="I42" s="3" t="n">
        <v>700.0</v>
      </c>
      <c r="J42" t="inlineStr">
        <is>
          <t>rent for flat 20 boden</t>
        </is>
      </c>
      <c r="K42" t="inlineStr">
        <is>
          <t/>
        </is>
      </c>
    </row>
    <row r="43">
      <c r="A43" t="n">
        <v>42.0</v>
      </c>
      <c r="B43" s="2" t="n">
        <v>45749.0</v>
      </c>
      <c r="C43" t="n">
        <v>2.0</v>
      </c>
      <c r="D43" t="n">
        <v>23.0</v>
      </c>
      <c r="E43" t="inlineStr">
        <is>
          <t>Flat 2 - 3 West Gate</t>
        </is>
      </c>
      <c r="F43" t="n">
        <v>23.0</v>
      </c>
      <c r="G43" t="inlineStr">
        <is>
          <t>rent</t>
        </is>
      </c>
      <c r="H43" t="inlineStr">
        <is>
          <t>rent_received</t>
        </is>
      </c>
      <c r="I43" s="3" t="n">
        <v>740.0</v>
      </c>
      <c r="J43" t="inlineStr">
        <is>
          <t>Rent for flat 2 boden</t>
        </is>
      </c>
      <c r="K43" t="inlineStr">
        <is>
          <t/>
        </is>
      </c>
    </row>
    <row r="44">
      <c r="A44" t="n">
        <v>63.0</v>
      </c>
      <c r="B44" s="2" t="n">
        <v>45749.0</v>
      </c>
      <c r="C44" t="n">
        <v>30.0</v>
      </c>
      <c r="D44" t="n">
        <v>27.0</v>
      </c>
      <c r="E44" t="inlineStr">
        <is>
          <t>Flat 27 - 3 West Gate</t>
        </is>
      </c>
      <c r="F44" t="n">
        <v>32.0</v>
      </c>
      <c r="G44" t="inlineStr">
        <is>
          <t>rent</t>
        </is>
      </c>
      <c r="H44" t="inlineStr">
        <is>
          <t>rent_received</t>
        </is>
      </c>
      <c r="I44" s="3" t="n">
        <v>700.0</v>
      </c>
      <c r="J44" t="inlineStr">
        <is>
          <t>rent for flat 27 boden</t>
        </is>
      </c>
      <c r="K44" t="inlineStr">
        <is>
          <t/>
        </is>
      </c>
    </row>
    <row r="45">
      <c r="A45" t="n">
        <v>65.0</v>
      </c>
      <c r="B45" s="2" t="n">
        <v>45749.0</v>
      </c>
      <c r="C45" t="n">
        <v>32.0</v>
      </c>
      <c r="D45" t="n">
        <v>11.0</v>
      </c>
      <c r="E45" t="inlineStr">
        <is>
          <t>Flat 29 - 3 West Gate</t>
        </is>
      </c>
      <c r="F45" t="n">
        <v>35.0</v>
      </c>
      <c r="G45" t="inlineStr">
        <is>
          <t>rent</t>
        </is>
      </c>
      <c r="H45" t="inlineStr">
        <is>
          <t>rent_received</t>
        </is>
      </c>
      <c r="I45" s="3" t="n">
        <v>740.0</v>
      </c>
      <c r="J45" t="inlineStr">
        <is>
          <t>rent for flat 29 boden</t>
        </is>
      </c>
      <c r="K45" t="inlineStr">
        <is>
          <t/>
        </is>
      </c>
    </row>
    <row r="46">
      <c r="A46" t="n">
        <v>44.0</v>
      </c>
      <c r="B46" s="2" t="n">
        <v>45750.0</v>
      </c>
      <c r="C46" t="n">
        <v>4.0</v>
      </c>
      <c r="D46" t="n">
        <v>30.0</v>
      </c>
      <c r="E46" t="inlineStr">
        <is>
          <t>Flat 4 - 3 West Gate</t>
        </is>
      </c>
      <c r="F46" t="n">
        <v>6.0</v>
      </c>
      <c r="G46" t="inlineStr">
        <is>
          <t>rent</t>
        </is>
      </c>
      <c r="H46" t="inlineStr">
        <is>
          <t>rent_received</t>
        </is>
      </c>
      <c r="I46" s="3" t="n">
        <v>855.0</v>
      </c>
      <c r="J46" t="inlineStr">
        <is>
          <t>Rent for flat 4 boden</t>
        </is>
      </c>
      <c r="K46" t="inlineStr">
        <is>
          <t/>
        </is>
      </c>
    </row>
    <row r="47">
      <c r="A47" t="n">
        <v>57.0</v>
      </c>
      <c r="B47" s="2" t="n">
        <v>45750.0</v>
      </c>
      <c r="C47" t="n">
        <v>22.0</v>
      </c>
      <c r="D47" t="n">
        <v>43.0</v>
      </c>
      <c r="E47" t="inlineStr">
        <is>
          <t>Flat 19 - 3 West Gate</t>
        </is>
      </c>
      <c r="F47" t="n">
        <v>25.0</v>
      </c>
      <c r="G47" t="inlineStr">
        <is>
          <t>rent</t>
        </is>
      </c>
      <c r="H47" t="inlineStr">
        <is>
          <t>rent_received</t>
        </is>
      </c>
      <c r="I47" s="3" t="n">
        <v>740.0</v>
      </c>
      <c r="J47" t="inlineStr">
        <is>
          <t>rent for flat 19 boden</t>
        </is>
      </c>
      <c r="K47" t="inlineStr">
        <is>
          <t/>
        </is>
      </c>
    </row>
    <row r="48">
      <c r="A48" t="n">
        <v>41.0</v>
      </c>
      <c r="B48" s="2" t="n">
        <v>45751.0</v>
      </c>
      <c r="C48" t="n">
        <v>1.0</v>
      </c>
      <c r="D48" t="n">
        <v>22.0</v>
      </c>
      <c r="E48" t="inlineStr">
        <is>
          <t>Flat 1 - 3 West Gate</t>
        </is>
      </c>
      <c r="F48" t="n">
        <v>10.0</v>
      </c>
      <c r="G48" t="inlineStr">
        <is>
          <t>rent</t>
        </is>
      </c>
      <c r="H48" t="inlineStr">
        <is>
          <t>rent_received</t>
        </is>
      </c>
      <c r="I48" s="3" t="n">
        <v>795.0</v>
      </c>
      <c r="J48" t="inlineStr">
        <is>
          <t>Rent for flat 1 boden</t>
        </is>
      </c>
      <c r="K48" t="inlineStr">
        <is>
          <t/>
        </is>
      </c>
    </row>
    <row r="49">
      <c r="A49" t="n">
        <v>47.0</v>
      </c>
      <c r="B49" s="2" t="n">
        <v>45751.0</v>
      </c>
      <c r="C49" t="n">
        <v>8.0</v>
      </c>
      <c r="D49" t="n">
        <v>40.0</v>
      </c>
      <c r="E49" t="inlineStr">
        <is>
          <t>Flat 8 - 3 West Gate</t>
        </is>
      </c>
      <c r="F49" t="n">
        <v>7.0</v>
      </c>
      <c r="G49" t="inlineStr">
        <is>
          <t>rent</t>
        </is>
      </c>
      <c r="H49" t="inlineStr">
        <is>
          <t>rent_received</t>
        </is>
      </c>
      <c r="I49" s="3" t="n">
        <v>675.0</v>
      </c>
      <c r="J49" t="inlineStr">
        <is>
          <t>Rent for flat 8 boden</t>
        </is>
      </c>
      <c r="K49" t="inlineStr">
        <is>
          <t/>
        </is>
      </c>
    </row>
    <row r="50">
      <c r="A50" t="n">
        <v>49.0</v>
      </c>
      <c r="B50" s="2" t="n">
        <v>45754.0</v>
      </c>
      <c r="C50" t="n">
        <v>10.0</v>
      </c>
      <c r="D50" t="n">
        <v>7.0</v>
      </c>
      <c r="E50" t="inlineStr">
        <is>
          <t>Flat 10 - 3 West Gate</t>
        </is>
      </c>
      <c r="F50" t="n">
        <v>11.0</v>
      </c>
      <c r="G50" t="inlineStr">
        <is>
          <t>rent</t>
        </is>
      </c>
      <c r="H50" t="inlineStr">
        <is>
          <t>rent_received</t>
        </is>
      </c>
      <c r="I50" s="3" t="n">
        <v>735.0</v>
      </c>
      <c r="J50" t="inlineStr">
        <is>
          <t>rent for flat 10 boden</t>
        </is>
      </c>
      <c r="K50" t="inlineStr">
        <is>
          <t/>
        </is>
      </c>
    </row>
    <row r="51">
      <c r="A51" t="n">
        <v>52.0</v>
      </c>
      <c r="B51" s="2" t="n">
        <v>45754.0</v>
      </c>
      <c r="C51" t="n">
        <v>15.0</v>
      </c>
      <c r="D51" t="n">
        <v>25.0</v>
      </c>
      <c r="E51" t="inlineStr">
        <is>
          <t>Flat 13 - 3 West Gate</t>
        </is>
      </c>
      <c r="F51" t="n">
        <v>18.0</v>
      </c>
      <c r="G51" t="inlineStr">
        <is>
          <t>rent</t>
        </is>
      </c>
      <c r="H51" t="inlineStr">
        <is>
          <t>rent_received</t>
        </is>
      </c>
      <c r="I51" s="3" t="n">
        <v>800.0</v>
      </c>
      <c r="J51" t="inlineStr">
        <is>
          <t>rent for flat 13 boden</t>
        </is>
      </c>
      <c r="K51" t="inlineStr">
        <is>
          <t/>
        </is>
      </c>
    </row>
    <row r="52">
      <c r="A52" t="n">
        <v>66.0</v>
      </c>
      <c r="B52" s="2" t="n">
        <v>45757.0</v>
      </c>
      <c r="C52" t="n">
        <v>33.0</v>
      </c>
      <c r="D52" t="n">
        <v>10.0</v>
      </c>
      <c r="E52" t="inlineStr">
        <is>
          <t>Flat 30 - 3 West Gate</t>
        </is>
      </c>
      <c r="F52" t="n">
        <v>30.0</v>
      </c>
      <c r="G52" t="inlineStr">
        <is>
          <t>rent</t>
        </is>
      </c>
      <c r="H52" t="inlineStr">
        <is>
          <t>rent_received</t>
        </is>
      </c>
      <c r="I52" s="3" t="n">
        <v>740.0</v>
      </c>
      <c r="J52" t="inlineStr">
        <is>
          <t>rent for flat 30 boden</t>
        </is>
      </c>
      <c r="K52" t="inlineStr">
        <is>
          <t/>
        </is>
      </c>
    </row>
    <row r="53">
      <c r="A53" t="n">
        <v>54.0</v>
      </c>
      <c r="B53" s="2" t="n">
        <v>45759.0</v>
      </c>
      <c r="C53" t="n">
        <v>18.0</v>
      </c>
      <c r="D53" t="n">
        <v>2.0</v>
      </c>
      <c r="E53" t="inlineStr">
        <is>
          <t>Flat 16 - 3 West Gate</t>
        </is>
      </c>
      <c r="F53" t="n">
        <v>33.0</v>
      </c>
      <c r="G53" t="inlineStr">
        <is>
          <t>rent</t>
        </is>
      </c>
      <c r="H53" t="inlineStr">
        <is>
          <t>rent_received</t>
        </is>
      </c>
      <c r="I53" s="3" t="n">
        <v>740.0</v>
      </c>
      <c r="J53" t="inlineStr">
        <is>
          <t>rent for flat 16 boden</t>
        </is>
      </c>
      <c r="K53" t="inlineStr">
        <is>
          <t/>
        </is>
      </c>
    </row>
    <row r="54">
      <c r="A54" t="n">
        <v>43.0</v>
      </c>
      <c r="B54" s="2" t="n">
        <v>45761.0</v>
      </c>
      <c r="C54" t="n">
        <v>3.0</v>
      </c>
      <c r="D54" t="n">
        <v>42.0</v>
      </c>
      <c r="E54" t="inlineStr">
        <is>
          <t>Flat 3 - 3 West Gate</t>
        </is>
      </c>
      <c r="F54" t="n">
        <v>4.0</v>
      </c>
      <c r="G54" t="inlineStr">
        <is>
          <t>rent</t>
        </is>
      </c>
      <c r="H54" t="inlineStr">
        <is>
          <t>rent_received</t>
        </is>
      </c>
      <c r="I54" s="3" t="n">
        <v>740.0</v>
      </c>
      <c r="J54" t="inlineStr">
        <is>
          <t>Rent for flat 3 boden</t>
        </is>
      </c>
      <c r="K54" t="inlineStr">
        <is>
          <t/>
        </is>
      </c>
    </row>
    <row r="55">
      <c r="A55" t="n">
        <v>51.0</v>
      </c>
      <c r="B55" s="2" t="n">
        <v>45761.0</v>
      </c>
      <c r="C55" t="n">
        <v>13.0</v>
      </c>
      <c r="D55" t="n">
        <v>41.0</v>
      </c>
      <c r="E55" t="inlineStr">
        <is>
          <t>Flat 12 - 3 West Gate</t>
        </is>
      </c>
      <c r="F55" t="n">
        <v>77.0</v>
      </c>
      <c r="G55" t="inlineStr">
        <is>
          <t>rent</t>
        </is>
      </c>
      <c r="H55" t="inlineStr">
        <is>
          <t>rent_received</t>
        </is>
      </c>
      <c r="I55" s="3" t="n">
        <v>675.0</v>
      </c>
      <c r="J55" t="inlineStr">
        <is>
          <t>rent for flat 12 boden</t>
        </is>
      </c>
      <c r="K55" t="inlineStr">
        <is>
          <t/>
        </is>
      </c>
    </row>
    <row r="56">
      <c r="A56" t="n">
        <v>56.0</v>
      </c>
      <c r="B56" s="2" t="n">
        <v>45761.0</v>
      </c>
      <c r="C56" t="n">
        <v>20.0</v>
      </c>
      <c r="D56" t="n">
        <v>33.0</v>
      </c>
      <c r="E56" t="inlineStr">
        <is>
          <t>Flat 18 - 3 West Gate</t>
        </is>
      </c>
      <c r="F56" t="n">
        <v>76.0</v>
      </c>
      <c r="G56" t="inlineStr">
        <is>
          <t>rent</t>
        </is>
      </c>
      <c r="H56" t="inlineStr">
        <is>
          <t>rent_received</t>
        </is>
      </c>
      <c r="I56" s="3" t="n">
        <v>740.0</v>
      </c>
      <c r="J56" t="inlineStr">
        <is>
          <t>rent for flat 18 boden</t>
        </is>
      </c>
      <c r="K56" t="inlineStr">
        <is>
          <t/>
        </is>
      </c>
    </row>
    <row r="57">
      <c r="A57" t="n">
        <v>59.0</v>
      </c>
      <c r="B57" s="2" t="n">
        <v>45762.0</v>
      </c>
      <c r="C57" t="n">
        <v>25.0</v>
      </c>
      <c r="D57" t="n">
        <v>31.0</v>
      </c>
      <c r="E57" t="inlineStr">
        <is>
          <t>Flat 21 - 3 West Gate</t>
        </is>
      </c>
      <c r="F57" t="n">
        <v>12.0</v>
      </c>
      <c r="G57" t="inlineStr">
        <is>
          <t>rent</t>
        </is>
      </c>
      <c r="H57" t="inlineStr">
        <is>
          <t>rent_received</t>
        </is>
      </c>
      <c r="I57" s="3" t="n">
        <v>795.0</v>
      </c>
      <c r="J57" t="inlineStr">
        <is>
          <t>rent for flat 21 boden</t>
        </is>
      </c>
      <c r="K57" t="inlineStr">
        <is>
          <t/>
        </is>
      </c>
    </row>
    <row r="58">
      <c r="A58" t="n">
        <v>45.0</v>
      </c>
      <c r="B58" s="2" t="n">
        <v>45764.0</v>
      </c>
      <c r="C58" t="n">
        <v>5.0</v>
      </c>
      <c r="D58" t="n">
        <v>21.0</v>
      </c>
      <c r="E58" t="inlineStr">
        <is>
          <t>Flat 5 - 3 West Gate</t>
        </is>
      </c>
      <c r="F58" t="n">
        <v>28.0</v>
      </c>
      <c r="G58" t="inlineStr">
        <is>
          <t>rent</t>
        </is>
      </c>
      <c r="H58" t="inlineStr">
        <is>
          <t>rent_received</t>
        </is>
      </c>
      <c r="I58" s="3" t="n">
        <v>740.0</v>
      </c>
      <c r="J58" t="inlineStr">
        <is>
          <t>Rent for flat 5 boden</t>
        </is>
      </c>
      <c r="K58" t="inlineStr">
        <is>
          <t/>
        </is>
      </c>
    </row>
    <row r="59">
      <c r="A59" t="n">
        <v>61.0</v>
      </c>
      <c r="B59" s="2" t="n">
        <v>45765.0</v>
      </c>
      <c r="C59" t="n">
        <v>28.0</v>
      </c>
      <c r="D59" t="n">
        <v>37.0</v>
      </c>
      <c r="E59" t="inlineStr">
        <is>
          <t>Flat 24 - 3 West Gate</t>
        </is>
      </c>
      <c r="F59" t="n">
        <v>16.0</v>
      </c>
      <c r="G59" t="inlineStr">
        <is>
          <t>rent</t>
        </is>
      </c>
      <c r="H59" t="inlineStr">
        <is>
          <t>rent_received</t>
        </is>
      </c>
      <c r="I59" s="3" t="n">
        <v>810.0</v>
      </c>
      <c r="J59" t="inlineStr">
        <is>
          <t>rent for flat 24 boden</t>
        </is>
      </c>
      <c r="K59" t="inlineStr">
        <is>
          <t/>
        </is>
      </c>
    </row>
    <row r="60">
      <c r="A60" t="n">
        <v>67.0</v>
      </c>
      <c r="B60" s="2" t="n">
        <v>45765.0</v>
      </c>
      <c r="C60" t="n">
        <v>36.0</v>
      </c>
      <c r="D60" t="n">
        <v>16.0</v>
      </c>
      <c r="E60" t="inlineStr">
        <is>
          <t>Apartment F - Knighton Hayes Manor</t>
        </is>
      </c>
      <c r="F60" t="n">
        <v>13.0</v>
      </c>
      <c r="G60" t="inlineStr">
        <is>
          <t>rent</t>
        </is>
      </c>
      <c r="H60" t="inlineStr">
        <is>
          <t>rent_received</t>
        </is>
      </c>
      <c r="I60" s="3" t="n">
        <v>1125.0</v>
      </c>
      <c r="J60" t="inlineStr">
        <is>
          <t>rent for apartment f kh</t>
        </is>
      </c>
      <c r="K60" t="inlineStr">
        <is>
          <t/>
        </is>
      </c>
    </row>
    <row r="61">
      <c r="A61" t="n">
        <v>55.0</v>
      </c>
      <c r="B61" s="2" t="n">
        <v>45767.0</v>
      </c>
      <c r="C61" t="n">
        <v>19.0</v>
      </c>
      <c r="D61" t="n">
        <v>5.0</v>
      </c>
      <c r="E61" t="inlineStr">
        <is>
          <t>Flat 17 - 3 West Gate</t>
        </is>
      </c>
      <c r="F61" t="n">
        <v>3.0</v>
      </c>
      <c r="G61" t="inlineStr">
        <is>
          <t>rent</t>
        </is>
      </c>
      <c r="H61" t="inlineStr">
        <is>
          <t>rent_received</t>
        </is>
      </c>
      <c r="I61" s="3" t="n">
        <v>700.0</v>
      </c>
      <c r="J61" t="inlineStr">
        <is>
          <t>rent for flat 17 boden</t>
        </is>
      </c>
      <c r="K61" t="inlineStr">
        <is>
          <t/>
        </is>
      </c>
    </row>
    <row r="62">
      <c r="A62" t="n">
        <v>77.0</v>
      </c>
      <c r="B62" s="2" t="n">
        <v>45775.0</v>
      </c>
      <c r="C62" t="n">
        <v>6.0</v>
      </c>
      <c r="D62" t="n">
        <v>1.0</v>
      </c>
      <c r="E62" t="inlineStr">
        <is>
          <t>Flat 6 - 3 West Gate</t>
        </is>
      </c>
      <c r="F62" t="n">
        <v>34.0</v>
      </c>
      <c r="G62" t="inlineStr">
        <is>
          <t>rent</t>
        </is>
      </c>
      <c r="H62" t="inlineStr">
        <is>
          <t>rent_received</t>
        </is>
      </c>
      <c r="I62" s="3" t="n">
        <v>740.0</v>
      </c>
      <c r="J62" t="inlineStr">
        <is>
          <t>rent for flat 6 boden</t>
        </is>
      </c>
      <c r="K62" t="inlineStr">
        <is>
          <t/>
        </is>
      </c>
    </row>
    <row r="63">
      <c r="A63" t="n">
        <v>85.0</v>
      </c>
      <c r="B63" s="2" t="n">
        <v>45775.0</v>
      </c>
      <c r="C63" t="n">
        <v>16.0</v>
      </c>
      <c r="D63" t="n">
        <v>24.0</v>
      </c>
      <c r="E63" t="inlineStr">
        <is>
          <t>Flat 14 - 3 West Gate</t>
        </is>
      </c>
      <c r="F63" t="n">
        <v>24.0</v>
      </c>
      <c r="G63" t="inlineStr">
        <is>
          <t>rent</t>
        </is>
      </c>
      <c r="H63" t="inlineStr">
        <is>
          <t>rent_received</t>
        </is>
      </c>
      <c r="I63" s="3" t="n">
        <v>800.0</v>
      </c>
      <c r="J63" t="inlineStr">
        <is>
          <t>rent for flat 14 boden</t>
        </is>
      </c>
      <c r="K63" t="inlineStr">
        <is>
          <t/>
        </is>
      </c>
    </row>
    <row r="64">
      <c r="A64" t="n">
        <v>93.0</v>
      </c>
      <c r="B64" s="2" t="n">
        <v>45775.0</v>
      </c>
      <c r="C64" t="n">
        <v>26.0</v>
      </c>
      <c r="D64" t="n">
        <v>14.0</v>
      </c>
      <c r="E64" t="inlineStr">
        <is>
          <t>Flat 22 - 3 West Gate</t>
        </is>
      </c>
      <c r="F64" t="n">
        <v>9.0</v>
      </c>
      <c r="G64" t="inlineStr">
        <is>
          <t>rent</t>
        </is>
      </c>
      <c r="H64" t="inlineStr">
        <is>
          <t>rent_received</t>
        </is>
      </c>
      <c r="I64" s="3" t="n">
        <v>740.0</v>
      </c>
      <c r="J64" t="inlineStr">
        <is>
          <t>rent for flat 22 boden</t>
        </is>
      </c>
      <c r="K64" t="inlineStr">
        <is>
          <t/>
        </is>
      </c>
    </row>
    <row r="65">
      <c r="A65" t="n">
        <v>95.0</v>
      </c>
      <c r="B65" s="2" t="n">
        <v>45775.0</v>
      </c>
      <c r="C65" t="n">
        <v>29.0</v>
      </c>
      <c r="D65" t="n">
        <v>32.0</v>
      </c>
      <c r="E65" t="inlineStr">
        <is>
          <t>Flat 26 - 3 West Gate</t>
        </is>
      </c>
      <c r="F65" t="n">
        <v>2.0</v>
      </c>
      <c r="G65" t="inlineStr">
        <is>
          <t>rent</t>
        </is>
      </c>
      <c r="H65" t="inlineStr">
        <is>
          <t>rent_received</t>
        </is>
      </c>
      <c r="I65" s="3" t="n">
        <v>675.0</v>
      </c>
      <c r="J65" t="inlineStr">
        <is>
          <t>rent for flat 26 boden</t>
        </is>
      </c>
      <c r="K65" t="inlineStr">
        <is>
          <t/>
        </is>
      </c>
    </row>
    <row r="66">
      <c r="A66" t="n">
        <v>97.0</v>
      </c>
      <c r="B66" s="2" t="n">
        <v>45776.0</v>
      </c>
      <c r="C66" t="n">
        <v>31.0</v>
      </c>
      <c r="D66" t="n">
        <v>15.0</v>
      </c>
      <c r="E66" t="inlineStr">
        <is>
          <t>Flat 28 - 3 West Gate</t>
        </is>
      </c>
      <c r="F66" t="n">
        <v>38.0</v>
      </c>
      <c r="G66" t="inlineStr">
        <is>
          <t>rent</t>
        </is>
      </c>
      <c r="H66" t="inlineStr">
        <is>
          <t>rent_received</t>
        </is>
      </c>
      <c r="I66" s="3" t="n">
        <v>740.0</v>
      </c>
      <c r="J66" t="inlineStr">
        <is>
          <t>rent for flat 28 boden</t>
        </is>
      </c>
      <c r="K66" t="inlineStr">
        <is>
          <t/>
        </is>
      </c>
    </row>
    <row r="67">
      <c r="A67" t="n">
        <v>80.0</v>
      </c>
      <c r="B67" s="2" t="n">
        <v>45778.0</v>
      </c>
      <c r="C67" t="n">
        <v>9.0</v>
      </c>
      <c r="D67" t="n">
        <v>6.0</v>
      </c>
      <c r="E67" t="inlineStr">
        <is>
          <t>Flat 9 - 3 West Gate</t>
        </is>
      </c>
      <c r="F67" t="n">
        <v>26.0</v>
      </c>
      <c r="G67" t="inlineStr">
        <is>
          <t>rent</t>
        </is>
      </c>
      <c r="H67" t="inlineStr">
        <is>
          <t>rent_received</t>
        </is>
      </c>
      <c r="I67" s="3" t="n">
        <v>700.0</v>
      </c>
      <c r="J67" t="inlineStr">
        <is>
          <t>rent for flat 9 boden</t>
        </is>
      </c>
      <c r="K67" t="inlineStr">
        <is>
          <t/>
        </is>
      </c>
    </row>
    <row r="68">
      <c r="A68" t="n">
        <v>91.0</v>
      </c>
      <c r="B68" s="2" t="n">
        <v>45778.0</v>
      </c>
      <c r="C68" t="n">
        <v>24.0</v>
      </c>
      <c r="D68" t="n">
        <v>39.0</v>
      </c>
      <c r="E68" t="inlineStr">
        <is>
          <t>Flat 20 - 3 West Gate</t>
        </is>
      </c>
      <c r="F68" t="n">
        <v>22.0</v>
      </c>
      <c r="G68" t="inlineStr">
        <is>
          <t>rent</t>
        </is>
      </c>
      <c r="H68" t="inlineStr">
        <is>
          <t>rent_received</t>
        </is>
      </c>
      <c r="I68" s="3" t="n">
        <v>700.0</v>
      </c>
      <c r="J68" t="inlineStr">
        <is>
          <t>rent for flat 20 boden</t>
        </is>
      </c>
      <c r="K68" t="inlineStr">
        <is>
          <t/>
        </is>
      </c>
    </row>
    <row r="69">
      <c r="A69" t="n">
        <v>73.0</v>
      </c>
      <c r="B69" s="2" t="n">
        <v>45779.0</v>
      </c>
      <c r="C69" t="n">
        <v>2.0</v>
      </c>
      <c r="D69" t="n">
        <v>23.0</v>
      </c>
      <c r="E69" t="inlineStr">
        <is>
          <t>Flat 2 - 3 West Gate</t>
        </is>
      </c>
      <c r="F69" t="n">
        <v>23.0</v>
      </c>
      <c r="G69" t="inlineStr">
        <is>
          <t>rent</t>
        </is>
      </c>
      <c r="H69" t="inlineStr">
        <is>
          <t>rent_received</t>
        </is>
      </c>
      <c r="I69" s="3" t="n">
        <v>740.0</v>
      </c>
      <c r="J69" t="inlineStr">
        <is>
          <t>rent for flat 2 boden</t>
        </is>
      </c>
      <c r="K69" t="inlineStr">
        <is>
          <t/>
        </is>
      </c>
    </row>
    <row r="70">
      <c r="A70" t="n">
        <v>82.0</v>
      </c>
      <c r="B70" s="2" t="n">
        <v>45779.0</v>
      </c>
      <c r="C70" t="n">
        <v>12.0</v>
      </c>
      <c r="D70" t="n">
        <v>17.0</v>
      </c>
      <c r="E70" t="inlineStr">
        <is>
          <t>Flat 11 - 3 West Gate</t>
        </is>
      </c>
      <c r="F70" t="n">
        <v>17.0</v>
      </c>
      <c r="G70" t="inlineStr">
        <is>
          <t>rent</t>
        </is>
      </c>
      <c r="H70" t="inlineStr">
        <is>
          <t>rent_received</t>
        </is>
      </c>
      <c r="I70" s="3" t="n">
        <v>795.0</v>
      </c>
      <c r="J70" t="inlineStr">
        <is>
          <t>rent for flat 11 boden</t>
        </is>
      </c>
      <c r="K70" t="inlineStr">
        <is>
          <t/>
        </is>
      </c>
    </row>
    <row r="71">
      <c r="A71" t="n">
        <v>96.0</v>
      </c>
      <c r="B71" s="2" t="n">
        <v>45779.0</v>
      </c>
      <c r="C71" t="n">
        <v>30.0</v>
      </c>
      <c r="D71" t="n">
        <v>27.0</v>
      </c>
      <c r="E71" t="inlineStr">
        <is>
          <t>Flat 27 - 3 West Gate</t>
        </is>
      </c>
      <c r="F71" t="n">
        <v>32.0</v>
      </c>
      <c r="G71" t="inlineStr">
        <is>
          <t>rent</t>
        </is>
      </c>
      <c r="H71" t="inlineStr">
        <is>
          <t>rent_received</t>
        </is>
      </c>
      <c r="I71" s="3" t="n">
        <v>700.0</v>
      </c>
      <c r="J71" t="inlineStr">
        <is>
          <t>rent for flat 27 boden</t>
        </is>
      </c>
      <c r="K71" t="inlineStr">
        <is>
          <t/>
        </is>
      </c>
    </row>
    <row r="72">
      <c r="A72" t="n">
        <v>98.0</v>
      </c>
      <c r="B72" s="2" t="n">
        <v>45779.0</v>
      </c>
      <c r="C72" t="n">
        <v>32.0</v>
      </c>
      <c r="D72" t="n">
        <v>11.0</v>
      </c>
      <c r="E72" t="inlineStr">
        <is>
          <t>Flat 29 - 3 West Gate</t>
        </is>
      </c>
      <c r="F72" t="n">
        <v>35.0</v>
      </c>
      <c r="G72" t="inlineStr">
        <is>
          <t>rent</t>
        </is>
      </c>
      <c r="H72" t="inlineStr">
        <is>
          <t>rent_received</t>
        </is>
      </c>
      <c r="I72" s="3" t="n">
        <v>740.0</v>
      </c>
      <c r="J72" t="inlineStr">
        <is>
          <t>rent for flat 29 boden</t>
        </is>
      </c>
      <c r="K72" t="inlineStr">
        <is>
          <t/>
        </is>
      </c>
    </row>
    <row r="73">
      <c r="A73" t="n">
        <v>75.0</v>
      </c>
      <c r="B73" s="2" t="n">
        <v>45780.0</v>
      </c>
      <c r="C73" t="n">
        <v>4.0</v>
      </c>
      <c r="D73" t="n">
        <v>30.0</v>
      </c>
      <c r="E73" t="inlineStr">
        <is>
          <t>Flat 4 - 3 West Gate</t>
        </is>
      </c>
      <c r="F73" t="n">
        <v>6.0</v>
      </c>
      <c r="G73" t="inlineStr">
        <is>
          <t>rent</t>
        </is>
      </c>
      <c r="H73" t="inlineStr">
        <is>
          <t>rent_received</t>
        </is>
      </c>
      <c r="I73" s="3" t="n">
        <v>855.0</v>
      </c>
      <c r="J73" t="inlineStr">
        <is>
          <t>rent for flat 4 boden</t>
        </is>
      </c>
      <c r="K73" t="inlineStr">
        <is>
          <t/>
        </is>
      </c>
    </row>
    <row r="74">
      <c r="A74" t="n">
        <v>72.0</v>
      </c>
      <c r="B74" s="2" t="n">
        <v>45783.0</v>
      </c>
      <c r="C74" t="n">
        <v>1.0</v>
      </c>
      <c r="D74" t="n">
        <v>22.0</v>
      </c>
      <c r="E74" t="inlineStr">
        <is>
          <t>Flat 1 - 3 West Gate</t>
        </is>
      </c>
      <c r="F74" t="n">
        <v>10.0</v>
      </c>
      <c r="G74" t="inlineStr">
        <is>
          <t>rent</t>
        </is>
      </c>
      <c r="H74" t="inlineStr">
        <is>
          <t>rent_received</t>
        </is>
      </c>
      <c r="I74" s="3" t="n">
        <v>795.0</v>
      </c>
      <c r="J74" t="inlineStr">
        <is>
          <t>rent for flat 1 boden</t>
        </is>
      </c>
      <c r="K74" t="inlineStr">
        <is>
          <t/>
        </is>
      </c>
    </row>
    <row r="75">
      <c r="A75" t="n">
        <v>79.0</v>
      </c>
      <c r="B75" s="2" t="n">
        <v>45783.0</v>
      </c>
      <c r="C75" t="n">
        <v>8.0</v>
      </c>
      <c r="D75" t="n">
        <v>40.0</v>
      </c>
      <c r="E75" t="inlineStr">
        <is>
          <t>Flat 8 - 3 West Gate</t>
        </is>
      </c>
      <c r="F75" t="n">
        <v>7.0</v>
      </c>
      <c r="G75" t="inlineStr">
        <is>
          <t>rent</t>
        </is>
      </c>
      <c r="H75" t="inlineStr">
        <is>
          <t>rent_received</t>
        </is>
      </c>
      <c r="I75" s="3" t="n">
        <v>675.0</v>
      </c>
      <c r="J75" t="inlineStr">
        <is>
          <t>rent for flat 8 boden</t>
        </is>
      </c>
      <c r="K75" t="inlineStr">
        <is>
          <t/>
        </is>
      </c>
    </row>
    <row r="76">
      <c r="A76" t="n">
        <v>81.0</v>
      </c>
      <c r="B76" s="2" t="n">
        <v>45783.0</v>
      </c>
      <c r="C76" t="n">
        <v>10.0</v>
      </c>
      <c r="D76" t="n">
        <v>7.0</v>
      </c>
      <c r="E76" t="inlineStr">
        <is>
          <t>Flat 10 - 3 West Gate</t>
        </is>
      </c>
      <c r="F76" t="n">
        <v>11.0</v>
      </c>
      <c r="G76" t="inlineStr">
        <is>
          <t>rent</t>
        </is>
      </c>
      <c r="H76" t="inlineStr">
        <is>
          <t>rent_received</t>
        </is>
      </c>
      <c r="I76" s="3" t="n">
        <v>735.0</v>
      </c>
      <c r="J76" t="inlineStr">
        <is>
          <t>rent for flat 10 boden</t>
        </is>
      </c>
      <c r="K76" t="inlineStr">
        <is>
          <t/>
        </is>
      </c>
    </row>
    <row r="77">
      <c r="A77" t="n">
        <v>84.0</v>
      </c>
      <c r="B77" s="2" t="n">
        <v>45783.0</v>
      </c>
      <c r="C77" t="n">
        <v>15.0</v>
      </c>
      <c r="D77" t="n">
        <v>25.0</v>
      </c>
      <c r="E77" t="inlineStr">
        <is>
          <t>Flat 13 - 3 West Gate</t>
        </is>
      </c>
      <c r="F77" t="n">
        <v>18.0</v>
      </c>
      <c r="G77" t="inlineStr">
        <is>
          <t>rent</t>
        </is>
      </c>
      <c r="H77" t="inlineStr">
        <is>
          <t>rent_received</t>
        </is>
      </c>
      <c r="I77" s="3" t="n">
        <v>800.0</v>
      </c>
      <c r="J77" t="inlineStr">
        <is>
          <t>rent for flat 13 boden</t>
        </is>
      </c>
      <c r="K77" t="inlineStr">
        <is>
          <t/>
        </is>
      </c>
    </row>
    <row r="78">
      <c r="A78" t="n">
        <v>90.0</v>
      </c>
      <c r="B78" s="2" t="n">
        <v>45783.0</v>
      </c>
      <c r="C78" t="n">
        <v>22.0</v>
      </c>
      <c r="D78" t="n">
        <v>43.0</v>
      </c>
      <c r="E78" t="inlineStr">
        <is>
          <t>Flat 19 - 3 West Gate</t>
        </is>
      </c>
      <c r="F78" t="n">
        <v>25.0</v>
      </c>
      <c r="G78" t="inlineStr">
        <is>
          <t>rent</t>
        </is>
      </c>
      <c r="H78" t="inlineStr">
        <is>
          <t>rent_received</t>
        </is>
      </c>
      <c r="I78" s="3" t="n">
        <v>740.0</v>
      </c>
      <c r="J78" t="inlineStr">
        <is>
          <t>rent for flat 19 boden</t>
        </is>
      </c>
      <c r="K78" t="inlineStr">
        <is>
          <t/>
        </is>
      </c>
    </row>
    <row r="79">
      <c r="A79" t="n">
        <v>83.0</v>
      </c>
      <c r="B79" s="2" t="n">
        <v>45786.0</v>
      </c>
      <c r="C79" t="n">
        <v>13.0</v>
      </c>
      <c r="D79" t="n">
        <v>41.0</v>
      </c>
      <c r="E79" t="inlineStr">
        <is>
          <t>Flat 12 - 3 West Gate</t>
        </is>
      </c>
      <c r="F79" t="n">
        <v>77.0</v>
      </c>
      <c r="G79" t="inlineStr">
        <is>
          <t>rent</t>
        </is>
      </c>
      <c r="H79" t="inlineStr">
        <is>
          <t>rent_received</t>
        </is>
      </c>
      <c r="I79" s="3" t="n">
        <v>675.0</v>
      </c>
      <c r="J79" t="inlineStr">
        <is>
          <t>rent for flat 12 boden</t>
        </is>
      </c>
      <c r="K79" t="inlineStr">
        <is>
          <t/>
        </is>
      </c>
    </row>
    <row r="80">
      <c r="A80" t="n">
        <v>87.0</v>
      </c>
      <c r="B80" s="2" t="n">
        <v>45789.0</v>
      </c>
      <c r="C80" t="n">
        <v>18.0</v>
      </c>
      <c r="D80" t="n">
        <v>2.0</v>
      </c>
      <c r="E80" t="inlineStr">
        <is>
          <t>Flat 16 - 3 West Gate</t>
        </is>
      </c>
      <c r="F80" t="n">
        <v>33.0</v>
      </c>
      <c r="G80" t="inlineStr">
        <is>
          <t>rent</t>
        </is>
      </c>
      <c r="H80" t="inlineStr">
        <is>
          <t>rent_received</t>
        </is>
      </c>
      <c r="I80" s="3" t="n">
        <v>740.0</v>
      </c>
      <c r="J80" t="inlineStr">
        <is>
          <t>rent for flat 16 boden</t>
        </is>
      </c>
      <c r="K80" t="inlineStr">
        <is>
          <t/>
        </is>
      </c>
    </row>
    <row r="81">
      <c r="A81" t="n">
        <v>99.0</v>
      </c>
      <c r="B81" s="2" t="n">
        <v>45789.0</v>
      </c>
      <c r="C81" t="n">
        <v>33.0</v>
      </c>
      <c r="D81" t="n">
        <v>10.0</v>
      </c>
      <c r="E81" t="inlineStr">
        <is>
          <t>Flat 30 - 3 West Gate</t>
        </is>
      </c>
      <c r="F81" t="n">
        <v>30.0</v>
      </c>
      <c r="G81" t="inlineStr">
        <is>
          <t>rent</t>
        </is>
      </c>
      <c r="H81" t="inlineStr">
        <is>
          <t>rent_received</t>
        </is>
      </c>
      <c r="I81" s="3" t="n">
        <v>740.0</v>
      </c>
      <c r="J81" t="inlineStr">
        <is>
          <t>rent for flat 30 boden</t>
        </is>
      </c>
      <c r="K81" t="inlineStr">
        <is>
          <t/>
        </is>
      </c>
    </row>
    <row r="82">
      <c r="A82" t="n">
        <v>74.0</v>
      </c>
      <c r="B82" s="2" t="n">
        <v>45791.0</v>
      </c>
      <c r="C82" t="n">
        <v>3.0</v>
      </c>
      <c r="D82" t="n">
        <v>42.0</v>
      </c>
      <c r="E82" t="inlineStr">
        <is>
          <t>Flat 3 - 3 West Gate</t>
        </is>
      </c>
      <c r="F82" t="n">
        <v>4.0</v>
      </c>
      <c r="G82" t="inlineStr">
        <is>
          <t>rent</t>
        </is>
      </c>
      <c r="H82" t="inlineStr">
        <is>
          <t>rent_received</t>
        </is>
      </c>
      <c r="I82" s="3" t="n">
        <v>740.0</v>
      </c>
      <c r="J82" t="inlineStr">
        <is>
          <t>rent for flat 3 boden</t>
        </is>
      </c>
      <c r="K82" t="inlineStr">
        <is>
          <t/>
        </is>
      </c>
    </row>
    <row r="83">
      <c r="A83" t="n">
        <v>89.0</v>
      </c>
      <c r="B83" s="2" t="n">
        <v>45792.0</v>
      </c>
      <c r="C83" t="n">
        <v>20.0</v>
      </c>
      <c r="D83" t="n">
        <v>33.0</v>
      </c>
      <c r="E83" t="inlineStr">
        <is>
          <t>Flat 18 - 3 West Gate</t>
        </is>
      </c>
      <c r="F83" t="n">
        <v>76.0</v>
      </c>
      <c r="G83" t="inlineStr">
        <is>
          <t>rent</t>
        </is>
      </c>
      <c r="H83" t="inlineStr">
        <is>
          <t>rent_received</t>
        </is>
      </c>
      <c r="I83" s="3" t="n">
        <v>185.0</v>
      </c>
      <c r="J83" t="inlineStr">
        <is>
          <t xml:space="preserve">rent for flat 18 boden </t>
        </is>
      </c>
      <c r="K83" t="inlineStr">
        <is>
          <t/>
        </is>
      </c>
    </row>
    <row r="84">
      <c r="A84" t="n">
        <v>92.0</v>
      </c>
      <c r="B84" s="2" t="n">
        <v>45793.0</v>
      </c>
      <c r="C84" t="n">
        <v>25.0</v>
      </c>
      <c r="D84" t="n">
        <v>31.0</v>
      </c>
      <c r="E84" t="inlineStr">
        <is>
          <t>Flat 21 - 3 West Gate</t>
        </is>
      </c>
      <c r="F84" t="n">
        <v>12.0</v>
      </c>
      <c r="G84" t="inlineStr">
        <is>
          <t>rent</t>
        </is>
      </c>
      <c r="H84" t="inlineStr">
        <is>
          <t>rent_received</t>
        </is>
      </c>
      <c r="I84" s="3" t="n">
        <v>795.0</v>
      </c>
      <c r="J84" t="inlineStr">
        <is>
          <t>rent for flat 21 boden</t>
        </is>
      </c>
      <c r="K84" t="inlineStr">
        <is>
          <t/>
        </is>
      </c>
    </row>
    <row r="85">
      <c r="A85" t="n">
        <v>94.0</v>
      </c>
      <c r="B85" s="2" t="n">
        <v>45793.0</v>
      </c>
      <c r="C85" t="n">
        <v>28.0</v>
      </c>
      <c r="D85" t="n">
        <v>37.0</v>
      </c>
      <c r="E85" t="inlineStr">
        <is>
          <t>Flat 24 - 3 West Gate</t>
        </is>
      </c>
      <c r="F85" t="n">
        <v>16.0</v>
      </c>
      <c r="G85" t="inlineStr">
        <is>
          <t>rent</t>
        </is>
      </c>
      <c r="H85" t="inlineStr">
        <is>
          <t>rent_received</t>
        </is>
      </c>
      <c r="I85" s="3" t="n">
        <v>810.0</v>
      </c>
      <c r="J85" t="inlineStr">
        <is>
          <t>rent for flat 24 boden</t>
        </is>
      </c>
      <c r="K85" t="inlineStr">
        <is>
          <t/>
        </is>
      </c>
    </row>
    <row r="86">
      <c r="A86" t="n">
        <v>76.0</v>
      </c>
      <c r="B86" s="2" t="n">
        <v>45794.0</v>
      </c>
      <c r="C86" t="n">
        <v>5.0</v>
      </c>
      <c r="D86" t="n">
        <v>21.0</v>
      </c>
      <c r="E86" t="inlineStr">
        <is>
          <t>Flat 5 - 3 West Gate</t>
        </is>
      </c>
      <c r="F86" t="n">
        <v>28.0</v>
      </c>
      <c r="G86" t="inlineStr">
        <is>
          <t>rent</t>
        </is>
      </c>
      <c r="H86" t="inlineStr">
        <is>
          <t>rent_received</t>
        </is>
      </c>
      <c r="I86" s="3" t="n">
        <v>740.0</v>
      </c>
      <c r="J86" t="inlineStr">
        <is>
          <t>rent for flat 5 boden</t>
        </is>
      </c>
      <c r="K86" t="inlineStr">
        <is>
          <t/>
        </is>
      </c>
    </row>
    <row r="87">
      <c r="A87" t="n">
        <v>78.0</v>
      </c>
      <c r="B87" s="2" t="n">
        <v>45796.0</v>
      </c>
      <c r="C87" t="n">
        <v>7.0</v>
      </c>
      <c r="D87" t="n">
        <v>20.0</v>
      </c>
      <c r="E87" t="inlineStr">
        <is>
          <t>Flat 7 - 3 West Gate</t>
        </is>
      </c>
      <c r="F87" t="n">
        <v>8.0</v>
      </c>
      <c r="G87" t="inlineStr">
        <is>
          <t>rent</t>
        </is>
      </c>
      <c r="H87" t="inlineStr">
        <is>
          <t>rent_received</t>
        </is>
      </c>
      <c r="I87" s="3" t="n">
        <v>1400.0</v>
      </c>
      <c r="J87" t="inlineStr">
        <is>
          <t>rent for flat 7 boden</t>
        </is>
      </c>
      <c r="K87" t="inlineStr">
        <is>
          <t/>
        </is>
      </c>
    </row>
    <row r="88">
      <c r="A88" t="n">
        <v>86.0</v>
      </c>
      <c r="B88" s="2" t="n">
        <v>45796.0</v>
      </c>
      <c r="C88" t="n">
        <v>17.0</v>
      </c>
      <c r="D88" t="n">
        <v>44.0</v>
      </c>
      <c r="E88" t="inlineStr">
        <is>
          <t>Flat 15 - 3 West Gate</t>
        </is>
      </c>
      <c r="F88" t="n">
        <v>36.0</v>
      </c>
      <c r="G88" t="inlineStr">
        <is>
          <t>rent</t>
        </is>
      </c>
      <c r="H88" t="inlineStr">
        <is>
          <t>rent_received</t>
        </is>
      </c>
      <c r="I88" s="3" t="n">
        <v>1480.0</v>
      </c>
      <c r="J88" t="inlineStr">
        <is>
          <t>rent for flat 15 boden</t>
        </is>
      </c>
      <c r="K88" t="inlineStr">
        <is>
          <t/>
        </is>
      </c>
    </row>
    <row r="89">
      <c r="A89" t="n">
        <v>100.0</v>
      </c>
      <c r="B89" s="2" t="n">
        <v>45796.0</v>
      </c>
      <c r="C89" t="n">
        <v>36.0</v>
      </c>
      <c r="D89" t="n">
        <v>16.0</v>
      </c>
      <c r="E89" t="inlineStr">
        <is>
          <t>Apartment F - Knighton Hayes Manor</t>
        </is>
      </c>
      <c r="F89" t="n">
        <v>13.0</v>
      </c>
      <c r="G89" t="inlineStr">
        <is>
          <t>rent</t>
        </is>
      </c>
      <c r="H89" t="inlineStr">
        <is>
          <t>rent_received</t>
        </is>
      </c>
      <c r="I89" s="3" t="n">
        <v>1125.0</v>
      </c>
      <c r="J89" t="inlineStr">
        <is>
          <t>rent for apartment f kh</t>
        </is>
      </c>
      <c r="K89" t="inlineStr">
        <is>
          <t/>
        </is>
      </c>
    </row>
    <row r="90">
      <c r="A90" t="n">
        <v>88.0</v>
      </c>
      <c r="B90" s="2" t="n">
        <v>45797.0</v>
      </c>
      <c r="C90" t="n">
        <v>19.0</v>
      </c>
      <c r="D90" t="n">
        <v>5.0</v>
      </c>
      <c r="E90" t="inlineStr">
        <is>
          <t>Flat 17 - 3 West Gate</t>
        </is>
      </c>
      <c r="F90" t="n">
        <v>3.0</v>
      </c>
      <c r="G90" t="inlineStr">
        <is>
          <t>rent</t>
        </is>
      </c>
      <c r="H90" t="inlineStr">
        <is>
          <t>rent_received</t>
        </is>
      </c>
      <c r="I90" s="3" t="n">
        <v>700.0</v>
      </c>
      <c r="J90" t="inlineStr">
        <is>
          <t>rent for flat 17 boden</t>
        </is>
      </c>
      <c r="K90" t="inlineStr">
        <is>
          <t/>
        </is>
      </c>
    </row>
    <row r="91">
      <c r="A91" t="n">
        <v>114.0</v>
      </c>
      <c r="B91" s="2" t="n">
        <v>45804.0</v>
      </c>
      <c r="C91" t="n">
        <v>16.0</v>
      </c>
      <c r="D91" t="n">
        <v>24.0</v>
      </c>
      <c r="E91" t="inlineStr">
        <is>
          <t>Flat 14 - 3 West Gate</t>
        </is>
      </c>
      <c r="F91" t="n">
        <v>24.0</v>
      </c>
      <c r="G91" t="inlineStr">
        <is>
          <t>rent</t>
        </is>
      </c>
      <c r="H91" t="inlineStr">
        <is>
          <t>rent_received</t>
        </is>
      </c>
      <c r="I91" s="3" t="n">
        <v>795.0</v>
      </c>
      <c r="J91" t="inlineStr">
        <is>
          <t>rent for flat 14 boden</t>
        </is>
      </c>
      <c r="K91" t="inlineStr">
        <is>
          <t/>
        </is>
      </c>
    </row>
    <row r="92">
      <c r="A92" t="n">
        <v>108.0</v>
      </c>
      <c r="B92" s="2" t="n">
        <v>45805.0</v>
      </c>
      <c r="C92" t="n">
        <v>6.0</v>
      </c>
      <c r="D92" t="n">
        <v>1.0</v>
      </c>
      <c r="E92" t="inlineStr">
        <is>
          <t>Flat 6 - 3 West Gate</t>
        </is>
      </c>
      <c r="F92" t="n">
        <v>34.0</v>
      </c>
      <c r="G92" t="inlineStr">
        <is>
          <t>rent</t>
        </is>
      </c>
      <c r="H92" t="inlineStr">
        <is>
          <t>rent_received</t>
        </is>
      </c>
      <c r="I92" s="3" t="n">
        <v>740.0</v>
      </c>
      <c r="J92" t="inlineStr">
        <is>
          <t>rent for flat 6 boden</t>
        </is>
      </c>
      <c r="K92" t="inlineStr">
        <is>
          <t/>
        </is>
      </c>
    </row>
    <row r="93">
      <c r="A93" t="n">
        <v>120.0</v>
      </c>
      <c r="B93" s="2" t="n">
        <v>45805.0</v>
      </c>
      <c r="C93" t="n">
        <v>26.0</v>
      </c>
      <c r="D93" t="n">
        <v>14.0</v>
      </c>
      <c r="E93" t="inlineStr">
        <is>
          <t>Flat 22 - 3 West Gate</t>
        </is>
      </c>
      <c r="F93" t="n">
        <v>9.0</v>
      </c>
      <c r="G93" t="inlineStr">
        <is>
          <t>rent</t>
        </is>
      </c>
      <c r="H93" t="inlineStr">
        <is>
          <t>rent_received</t>
        </is>
      </c>
      <c r="I93" s="3" t="n">
        <v>740.0</v>
      </c>
      <c r="J93" t="inlineStr">
        <is>
          <t>rent for flat 22 boden</t>
        </is>
      </c>
      <c r="K93" t="inlineStr">
        <is>
          <t/>
        </is>
      </c>
    </row>
    <row r="94">
      <c r="A94" t="n">
        <v>121.0</v>
      </c>
      <c r="B94" s="2" t="n">
        <v>45805.0</v>
      </c>
      <c r="C94" t="n">
        <v>29.0</v>
      </c>
      <c r="D94" t="n">
        <v>32.0</v>
      </c>
      <c r="E94" t="inlineStr">
        <is>
          <t>Flat 26 - 3 West Gate</t>
        </is>
      </c>
      <c r="F94" t="n">
        <v>2.0</v>
      </c>
      <c r="G94" t="inlineStr">
        <is>
          <t>rent</t>
        </is>
      </c>
      <c r="H94" t="inlineStr">
        <is>
          <t>rent_received</t>
        </is>
      </c>
      <c r="I94" s="3" t="n">
        <v>675.0</v>
      </c>
      <c r="J94" t="inlineStr">
        <is>
          <t>rent for flat 26 boden</t>
        </is>
      </c>
      <c r="K94" t="inlineStr">
        <is>
          <t/>
        </is>
      </c>
    </row>
    <row r="95">
      <c r="A95" t="n">
        <v>123.0</v>
      </c>
      <c r="B95" s="2" t="n">
        <v>45806.0</v>
      </c>
      <c r="C95" t="n">
        <v>31.0</v>
      </c>
      <c r="D95" t="n">
        <v>15.0</v>
      </c>
      <c r="E95" t="inlineStr">
        <is>
          <t>Flat 28 - 3 West Gate</t>
        </is>
      </c>
      <c r="F95" t="n">
        <v>38.0</v>
      </c>
      <c r="G95" t="inlineStr">
        <is>
          <t>rent</t>
        </is>
      </c>
      <c r="H95" t="inlineStr">
        <is>
          <t>rent_received</t>
        </is>
      </c>
      <c r="I95" s="3" t="n">
        <v>740.0</v>
      </c>
      <c r="J95" t="inlineStr">
        <is>
          <t>rent for flat 28 boden</t>
        </is>
      </c>
      <c r="K95" t="inlineStr">
        <is>
          <t/>
        </is>
      </c>
    </row>
    <row r="96">
      <c r="A96" t="n">
        <v>112.0</v>
      </c>
      <c r="B96" s="2" t="n">
        <v>45809.0</v>
      </c>
      <c r="C96" t="n">
        <v>12.0</v>
      </c>
      <c r="D96" t="n">
        <v>17.0</v>
      </c>
      <c r="E96" t="inlineStr">
        <is>
          <t>Flat 11 - 3 West Gate</t>
        </is>
      </c>
      <c r="F96" t="n">
        <v>17.0</v>
      </c>
      <c r="G96" t="inlineStr">
        <is>
          <t>rent</t>
        </is>
      </c>
      <c r="H96" t="inlineStr">
        <is>
          <t>rent_received</t>
        </is>
      </c>
      <c r="I96" s="3" t="n">
        <v>795.0</v>
      </c>
      <c r="J96" t="inlineStr">
        <is>
          <t>rent for flat 11 boden</t>
        </is>
      </c>
      <c r="K96" t="inlineStr">
        <is>
          <t/>
        </is>
      </c>
    </row>
    <row r="97">
      <c r="A97" t="n">
        <v>105.0</v>
      </c>
      <c r="B97" s="2" t="n">
        <v>45810.0</v>
      </c>
      <c r="C97" t="n">
        <v>2.0</v>
      </c>
      <c r="D97" t="n">
        <v>23.0</v>
      </c>
      <c r="E97" t="inlineStr">
        <is>
          <t>Flat 2 - 3 West Gate</t>
        </is>
      </c>
      <c r="F97" t="n">
        <v>23.0</v>
      </c>
      <c r="G97" t="inlineStr">
        <is>
          <t>rent</t>
        </is>
      </c>
      <c r="H97" t="inlineStr">
        <is>
          <t>rent_received</t>
        </is>
      </c>
      <c r="I97" s="3" t="n">
        <v>740.0</v>
      </c>
      <c r="J97" t="inlineStr">
        <is>
          <t>rent for flat 2 boden</t>
        </is>
      </c>
      <c r="K97" t="inlineStr">
        <is>
          <t/>
        </is>
      </c>
    </row>
    <row r="98">
      <c r="A98" t="n">
        <v>110.0</v>
      </c>
      <c r="B98" s="2" t="n">
        <v>45810.0</v>
      </c>
      <c r="C98" t="n">
        <v>9.0</v>
      </c>
      <c r="D98" t="n">
        <v>6.0</v>
      </c>
      <c r="E98" t="inlineStr">
        <is>
          <t>Flat 9 - 3 West Gate</t>
        </is>
      </c>
      <c r="F98" t="n">
        <v>26.0</v>
      </c>
      <c r="G98" t="inlineStr">
        <is>
          <t>rent</t>
        </is>
      </c>
      <c r="H98" t="inlineStr">
        <is>
          <t>rent_received</t>
        </is>
      </c>
      <c r="I98" s="3" t="n">
        <v>700.0</v>
      </c>
      <c r="J98" t="inlineStr">
        <is>
          <t>rent for flat 9 boden</t>
        </is>
      </c>
      <c r="K98" t="inlineStr">
        <is>
          <t/>
        </is>
      </c>
    </row>
    <row r="99">
      <c r="A99" t="n">
        <v>118.0</v>
      </c>
      <c r="B99" s="2" t="n">
        <v>45810.0</v>
      </c>
      <c r="C99" t="n">
        <v>24.0</v>
      </c>
      <c r="D99" t="n">
        <v>39.0</v>
      </c>
      <c r="E99" t="inlineStr">
        <is>
          <t>Flat 20 - 3 West Gate</t>
        </is>
      </c>
      <c r="F99" t="n">
        <v>22.0</v>
      </c>
      <c r="G99" t="inlineStr">
        <is>
          <t>rent</t>
        </is>
      </c>
      <c r="H99" t="inlineStr">
        <is>
          <t>rent_received</t>
        </is>
      </c>
      <c r="I99" s="3" t="n">
        <v>700.0</v>
      </c>
      <c r="J99" t="inlineStr">
        <is>
          <t>rent for flat 20 boden</t>
        </is>
      </c>
      <c r="K99" t="inlineStr">
        <is>
          <t/>
        </is>
      </c>
    </row>
    <row r="100">
      <c r="A100" t="n">
        <v>122.0</v>
      </c>
      <c r="B100" s="2" t="n">
        <v>45810.0</v>
      </c>
      <c r="C100" t="n">
        <v>30.0</v>
      </c>
      <c r="D100" t="n">
        <v>27.0</v>
      </c>
      <c r="E100" t="inlineStr">
        <is>
          <t>Flat 27 - 3 West Gate</t>
        </is>
      </c>
      <c r="F100" t="n">
        <v>32.0</v>
      </c>
      <c r="G100" t="inlineStr">
        <is>
          <t>rent</t>
        </is>
      </c>
      <c r="H100" t="inlineStr">
        <is>
          <t>rent_received</t>
        </is>
      </c>
      <c r="I100" s="3" t="n">
        <v>700.0</v>
      </c>
      <c r="J100" t="inlineStr">
        <is>
          <t>rent for flat 27 boden</t>
        </is>
      </c>
      <c r="K100" t="inlineStr">
        <is>
          <t/>
        </is>
      </c>
    </row>
    <row r="101">
      <c r="A101" t="n">
        <v>124.0</v>
      </c>
      <c r="B101" s="2" t="n">
        <v>45810.0</v>
      </c>
      <c r="C101" t="n">
        <v>32.0</v>
      </c>
      <c r="D101" t="n">
        <v>11.0</v>
      </c>
      <c r="E101" t="inlineStr">
        <is>
          <t>Flat 29 - 3 West Gate</t>
        </is>
      </c>
      <c r="F101" t="n">
        <v>35.0</v>
      </c>
      <c r="G101" t="inlineStr">
        <is>
          <t>rent</t>
        </is>
      </c>
      <c r="H101" t="inlineStr">
        <is>
          <t>rent_received</t>
        </is>
      </c>
      <c r="I101" s="3" t="n">
        <v>740.0</v>
      </c>
      <c r="J101" t="inlineStr">
        <is>
          <t>rent for flat 29 boden</t>
        </is>
      </c>
      <c r="K101" t="inlineStr">
        <is>
          <t/>
        </is>
      </c>
    </row>
    <row r="102">
      <c r="A102" t="n">
        <v>107.0</v>
      </c>
      <c r="B102" s="2" t="n">
        <v>45811.0</v>
      </c>
      <c r="C102" t="n">
        <v>4.0</v>
      </c>
      <c r="D102" t="n">
        <v>30.0</v>
      </c>
      <c r="E102" t="inlineStr">
        <is>
          <t>Flat 4 - 3 West Gate</t>
        </is>
      </c>
      <c r="F102" t="n">
        <v>6.0</v>
      </c>
      <c r="G102" t="inlineStr">
        <is>
          <t>rent</t>
        </is>
      </c>
      <c r="H102" t="inlineStr">
        <is>
          <t>rent_received</t>
        </is>
      </c>
      <c r="I102" s="3" t="n">
        <v>855.0</v>
      </c>
      <c r="J102" t="inlineStr">
        <is>
          <t>Rent for flat 4 boden</t>
        </is>
      </c>
      <c r="K102" t="inlineStr">
        <is>
          <t/>
        </is>
      </c>
    </row>
    <row r="103">
      <c r="A103" t="n">
        <v>117.0</v>
      </c>
      <c r="B103" s="2" t="n">
        <v>45811.0</v>
      </c>
      <c r="C103" t="n">
        <v>22.0</v>
      </c>
      <c r="D103" t="n">
        <v>43.0</v>
      </c>
      <c r="E103" t="inlineStr">
        <is>
          <t>Flat 19 - 3 West Gate</t>
        </is>
      </c>
      <c r="F103" t="n">
        <v>25.0</v>
      </c>
      <c r="G103" t="inlineStr">
        <is>
          <t>rent</t>
        </is>
      </c>
      <c r="H103" t="inlineStr">
        <is>
          <t>rent_received</t>
        </is>
      </c>
      <c r="I103" s="3" t="n">
        <v>740.0</v>
      </c>
      <c r="J103" t="inlineStr">
        <is>
          <t>rent for flat 19 boden</t>
        </is>
      </c>
      <c r="K103" t="inlineStr">
        <is>
          <t/>
        </is>
      </c>
    </row>
    <row r="104">
      <c r="A104" t="n">
        <v>104.0</v>
      </c>
      <c r="B104" s="2" t="n">
        <v>45812.0</v>
      </c>
      <c r="C104" t="n">
        <v>1.0</v>
      </c>
      <c r="D104" t="n">
        <v>22.0</v>
      </c>
      <c r="E104" t="inlineStr">
        <is>
          <t>Flat 1 - 3 West Gate</t>
        </is>
      </c>
      <c r="F104" t="n">
        <v>10.0</v>
      </c>
      <c r="G104" t="inlineStr">
        <is>
          <t>rent</t>
        </is>
      </c>
      <c r="H104" t="inlineStr">
        <is>
          <t>rent_received</t>
        </is>
      </c>
      <c r="I104" s="3" t="n">
        <v>795.0</v>
      </c>
      <c r="J104" t="inlineStr">
        <is>
          <t>Rent for flat 1 boden</t>
        </is>
      </c>
      <c r="K104" t="inlineStr">
        <is>
          <t/>
        </is>
      </c>
    </row>
    <row r="105">
      <c r="A105" t="n">
        <v>109.0</v>
      </c>
      <c r="B105" s="2" t="n">
        <v>45812.0</v>
      </c>
      <c r="C105" t="n">
        <v>8.0</v>
      </c>
      <c r="D105" t="n">
        <v>40.0</v>
      </c>
      <c r="E105" t="inlineStr">
        <is>
          <t>Flat 8 - 3 West Gate</t>
        </is>
      </c>
      <c r="F105" t="n">
        <v>7.0</v>
      </c>
      <c r="G105" t="inlineStr">
        <is>
          <t>rent</t>
        </is>
      </c>
      <c r="H105" t="inlineStr">
        <is>
          <t>rent_received</t>
        </is>
      </c>
      <c r="I105" s="3" t="n">
        <v>675.0</v>
      </c>
      <c r="J105" t="inlineStr">
        <is>
          <t>rent for flat 8 boden</t>
        </is>
      </c>
      <c r="K105" t="inlineStr">
        <is>
          <t/>
        </is>
      </c>
    </row>
    <row r="106">
      <c r="A106" t="n">
        <v>111.0</v>
      </c>
      <c r="B106" s="2" t="n">
        <v>45813.0</v>
      </c>
      <c r="C106" t="n">
        <v>10.0</v>
      </c>
      <c r="D106" t="n">
        <v>7.0</v>
      </c>
      <c r="E106" t="inlineStr">
        <is>
          <t>Flat 10 - 3 West Gate</t>
        </is>
      </c>
      <c r="F106" t="n">
        <v>11.0</v>
      </c>
      <c r="G106" t="inlineStr">
        <is>
          <t>rent</t>
        </is>
      </c>
      <c r="H106" t="inlineStr">
        <is>
          <t>rent_received</t>
        </is>
      </c>
      <c r="I106" s="3" t="n">
        <v>735.0</v>
      </c>
      <c r="J106" t="inlineStr">
        <is>
          <t>rent for flat 10 boden</t>
        </is>
      </c>
      <c r="K106" t="inlineStr">
        <is>
          <t/>
        </is>
      </c>
    </row>
    <row r="107">
      <c r="A107" t="n">
        <v>113.0</v>
      </c>
      <c r="B107" s="2" t="n">
        <v>45814.0</v>
      </c>
      <c r="C107" t="n">
        <v>15.0</v>
      </c>
      <c r="D107" t="n">
        <v>25.0</v>
      </c>
      <c r="E107" t="inlineStr">
        <is>
          <t>Flat 13 - 3 West Gate</t>
        </is>
      </c>
      <c r="F107" t="n">
        <v>18.0</v>
      </c>
      <c r="G107" t="inlineStr">
        <is>
          <t>rent</t>
        </is>
      </c>
      <c r="H107" t="inlineStr">
        <is>
          <t>rent_received</t>
        </is>
      </c>
      <c r="I107" s="3" t="n">
        <v>800.0</v>
      </c>
      <c r="J107" t="inlineStr">
        <is>
          <t>rent for flat 13 boden</t>
        </is>
      </c>
      <c r="K107" t="inlineStr">
        <is>
          <t/>
        </is>
      </c>
    </row>
    <row r="108">
      <c r="A108" t="n">
        <v>125.0</v>
      </c>
      <c r="B108" s="2" t="n">
        <v>45818.0</v>
      </c>
      <c r="C108" t="n">
        <v>33.0</v>
      </c>
      <c r="D108" t="n">
        <v>10.0</v>
      </c>
      <c r="E108" t="inlineStr">
        <is>
          <t>Flat 30 - 3 West Gate</t>
        </is>
      </c>
      <c r="F108" t="n">
        <v>30.0</v>
      </c>
      <c r="G108" t="inlineStr">
        <is>
          <t>rent</t>
        </is>
      </c>
      <c r="H108" t="inlineStr">
        <is>
          <t>rent_received</t>
        </is>
      </c>
      <c r="I108" s="3" t="n">
        <v>740.0</v>
      </c>
      <c r="J108" t="inlineStr">
        <is>
          <t>rent for flat 30 boden</t>
        </is>
      </c>
      <c r="K108" t="inlineStr">
        <is>
          <t/>
        </is>
      </c>
    </row>
    <row r="109">
      <c r="A109" t="n">
        <v>115.0</v>
      </c>
      <c r="B109" s="2" t="n">
        <v>45820.0</v>
      </c>
      <c r="C109" t="n">
        <v>18.0</v>
      </c>
      <c r="D109" t="n">
        <v>2.0</v>
      </c>
      <c r="E109" t="inlineStr">
        <is>
          <t>Flat 16 - 3 West Gate</t>
        </is>
      </c>
      <c r="F109" t="n">
        <v>33.0</v>
      </c>
      <c r="G109" t="inlineStr">
        <is>
          <t>rent</t>
        </is>
      </c>
      <c r="H109" t="inlineStr">
        <is>
          <t>rent_received</t>
        </is>
      </c>
      <c r="I109" s="3" t="n">
        <v>740.0</v>
      </c>
      <c r="J109" t="inlineStr">
        <is>
          <t>rent for flat 16 boden</t>
        </is>
      </c>
      <c r="K109" t="inlineStr">
        <is>
          <t/>
        </is>
      </c>
    </row>
    <row r="110">
      <c r="A110" t="n">
        <v>116.0</v>
      </c>
      <c r="B110" s="2" t="n">
        <v>45821.0</v>
      </c>
      <c r="C110" t="n">
        <v>21.0</v>
      </c>
      <c r="D110" t="n">
        <v>33.0</v>
      </c>
      <c r="E110" t="inlineStr">
        <is>
          <t>Flat 18 - 3 West Gate</t>
        </is>
      </c>
      <c r="F110" t="n">
        <v>31.0</v>
      </c>
      <c r="G110" t="inlineStr">
        <is>
          <t>rent</t>
        </is>
      </c>
      <c r="H110" t="inlineStr">
        <is>
          <t>rent_received</t>
        </is>
      </c>
      <c r="I110" s="3" t="n">
        <v>795.0</v>
      </c>
      <c r="J110" t="inlineStr">
        <is>
          <t>rent for flat 18 boden</t>
        </is>
      </c>
      <c r="K110" t="inlineStr">
        <is>
          <t/>
        </is>
      </c>
    </row>
    <row r="111">
      <c r="A111" t="n">
        <v>119.0</v>
      </c>
      <c r="B111" s="2" t="n">
        <v>45823.0</v>
      </c>
      <c r="C111" t="n">
        <v>25.0</v>
      </c>
      <c r="D111" t="n">
        <v>31.0</v>
      </c>
      <c r="E111" t="inlineStr">
        <is>
          <t>Flat 21 - 3 West Gate</t>
        </is>
      </c>
      <c r="F111" t="n">
        <v>12.0</v>
      </c>
      <c r="G111" t="inlineStr">
        <is>
          <t>rent</t>
        </is>
      </c>
      <c r="H111" t="inlineStr">
        <is>
          <t>rent_received</t>
        </is>
      </c>
      <c r="I111" s="3" t="n">
        <v>795.0</v>
      </c>
      <c r="J111" t="inlineStr">
        <is>
          <t>rent for flat 21 boden</t>
        </is>
      </c>
      <c r="K111" t="inlineStr">
        <is>
          <t/>
        </is>
      </c>
    </row>
    <row r="112">
      <c r="A112" t="n">
        <v>106.0</v>
      </c>
      <c r="B112" s="2" t="n">
        <v>45824.0</v>
      </c>
      <c r="C112" t="n">
        <v>3.0</v>
      </c>
      <c r="D112" t="n">
        <v>42.0</v>
      </c>
      <c r="E112" t="inlineStr">
        <is>
          <t>Flat 3 - 3 West Gate</t>
        </is>
      </c>
      <c r="F112" t="n">
        <v>4.0</v>
      </c>
      <c r="G112" t="inlineStr">
        <is>
          <t>rent</t>
        </is>
      </c>
      <c r="H112" t="inlineStr">
        <is>
          <t>rent_received</t>
        </is>
      </c>
      <c r="I112" s="3" t="n">
        <v>740.0</v>
      </c>
      <c r="J112" t="inlineStr">
        <is>
          <t>Rent for flat 3 boden</t>
        </is>
      </c>
      <c r="K112" t="inlineStr">
        <is>
          <t/>
        </is>
      </c>
    </row>
    <row r="113">
      <c r="A113" t="n">
        <v>552.0</v>
      </c>
      <c r="B113" s="2" t="n">
        <v>45825.0</v>
      </c>
      <c r="C113" t="n">
        <v>17.0</v>
      </c>
      <c r="D113" t="n">
        <v>44.0</v>
      </c>
      <c r="E113" t="inlineStr">
        <is>
          <t>Flat 15 - 3 West Gate</t>
        </is>
      </c>
      <c r="F113" t="n">
        <v>36.0</v>
      </c>
      <c r="G113" t="inlineStr">
        <is>
          <t>Rent</t>
        </is>
      </c>
      <c r="H113" t="inlineStr">
        <is>
          <t>incoming_payment</t>
        </is>
      </c>
      <c r="I113" s="3" t="n">
        <v>740.0</v>
      </c>
      <c r="J113" t="inlineStr">
        <is>
          <t>Tenant Payment - Ms Lucy Cassell - Flat 15 - 3 West Gate (Tenant ID: WzJBEL9RZQ, Deposit: YTP24)</t>
        </is>
      </c>
      <c r="K113" t="inlineStr">
        <is>
          <t/>
        </is>
      </c>
    </row>
    <row r="114">
      <c r="A114" t="n">
        <v>135.0</v>
      </c>
      <c r="B114" s="2" t="n">
        <v>45831.0</v>
      </c>
      <c r="C114" t="n">
        <v>27.0</v>
      </c>
      <c r="D114" t="n">
        <v>29.0</v>
      </c>
      <c r="E114" t="inlineStr">
        <is>
          <t>Flat 23 - 3 West Gate</t>
        </is>
      </c>
      <c r="F114" t="n">
        <v>29.0</v>
      </c>
      <c r="G114" t="inlineStr">
        <is>
          <t>rent</t>
        </is>
      </c>
      <c r="H114" t="inlineStr">
        <is>
          <t>rent_received</t>
        </is>
      </c>
      <c r="I114" s="3" t="n">
        <v>795.0</v>
      </c>
      <c r="J114" t="inlineStr">
        <is>
          <t>Rent for flat 23 boden</t>
        </is>
      </c>
      <c r="K114" t="inlineStr">
        <is>
          <t/>
        </is>
      </c>
    </row>
    <row r="115">
      <c r="A115" t="n">
        <v>553.0</v>
      </c>
      <c r="B115" s="2" t="n">
        <v>45831.0</v>
      </c>
      <c r="C115" t="n">
        <v>36.0</v>
      </c>
      <c r="D115" t="n">
        <v>16.0</v>
      </c>
      <c r="E115" t="inlineStr">
        <is>
          <t>Apartment F - Knighton Hayes Manor</t>
        </is>
      </c>
      <c r="F115" t="n">
        <v>13.0</v>
      </c>
      <c r="G115" t="inlineStr">
        <is>
          <t>Rent</t>
        </is>
      </c>
      <c r="H115" t="inlineStr">
        <is>
          <t>incoming_payment</t>
        </is>
      </c>
      <c r="I115" s="3" t="n">
        <v>1125.0</v>
      </c>
      <c r="J115" t="inlineStr">
        <is>
          <t>Tenant Payment - Mr Riaz Hamid, Ismat Tarr-Hamid - Apartment F - Knighton Hayes Manor (Tenant ID: D6JmW6jr1v, Deposit: YTP17)</t>
        </is>
      </c>
      <c r="K115" t="inlineStr">
        <is>
          <t/>
        </is>
      </c>
    </row>
    <row r="116">
      <c r="A116" t="n">
        <v>554.0</v>
      </c>
      <c r="B116" s="2" t="n">
        <v>45831.0</v>
      </c>
      <c r="C116" t="n">
        <v>5.0</v>
      </c>
      <c r="D116" t="n">
        <v>21.0</v>
      </c>
      <c r="E116" t="inlineStr">
        <is>
          <t>Flat 5 - 3 West Gate</t>
        </is>
      </c>
      <c r="F116" t="n">
        <v>28.0</v>
      </c>
      <c r="G116" t="inlineStr">
        <is>
          <t>Rent</t>
        </is>
      </c>
      <c r="H116" t="inlineStr">
        <is>
          <t>incoming_payment</t>
        </is>
      </c>
      <c r="I116" s="3" t="n">
        <v>740.0</v>
      </c>
      <c r="J116" t="inlineStr">
        <is>
          <t>Tenant Payment - Mr Amos Blyth - Flat 5 - 3 West Gate (Tenant ID: qv1pdwLB1d, Deposit: YTP4)</t>
        </is>
      </c>
      <c r="K116" t="inlineStr">
        <is>
          <t/>
        </is>
      </c>
    </row>
    <row r="117">
      <c r="A117" t="n">
        <v>555.0</v>
      </c>
      <c r="B117" s="2" t="n">
        <v>45831.0</v>
      </c>
      <c r="C117" t="n">
        <v>7.0</v>
      </c>
      <c r="D117" t="n">
        <v>20.0</v>
      </c>
      <c r="E117" t="inlineStr">
        <is>
          <t>Flat 7 - 3 West Gate</t>
        </is>
      </c>
      <c r="F117" t="n">
        <v>8.0</v>
      </c>
      <c r="G117" t="inlineStr">
        <is>
          <t>Rent</t>
        </is>
      </c>
      <c r="H117" t="inlineStr">
        <is>
          <t>incoming_payment</t>
        </is>
      </c>
      <c r="I117" s="3" t="n">
        <v>700.0</v>
      </c>
      <c r="J117" t="inlineStr">
        <is>
          <t>Tenant Payment - Mr Chun Hung Tang - Flat 7 - 3 West Gate (Tenant ID: 8eJP9LrVXG, Deposit: YTP6)</t>
        </is>
      </c>
      <c r="K117" t="inlineStr">
        <is>
          <t/>
        </is>
      </c>
    </row>
    <row r="118">
      <c r="A118" t="n">
        <v>556.0</v>
      </c>
      <c r="B118" s="2" t="n">
        <v>45831.0</v>
      </c>
      <c r="C118" t="n">
        <v>19.0</v>
      </c>
      <c r="D118" t="n">
        <v>5.0</v>
      </c>
      <c r="E118" t="inlineStr">
        <is>
          <t>Flat 17 - 3 West Gate</t>
        </is>
      </c>
      <c r="F118" t="n">
        <v>3.0</v>
      </c>
      <c r="G118" t="inlineStr">
        <is>
          <t>Rent</t>
        </is>
      </c>
      <c r="H118" t="inlineStr">
        <is>
          <t>incoming_payment</t>
        </is>
      </c>
      <c r="I118" s="3" t="n">
        <v>700.0</v>
      </c>
      <c r="J118" t="inlineStr">
        <is>
          <t>Tenant Payment - Mr Harsh Patel - Flat 17 - 3 West Gate (Tenant ID: 7nZ3YqvrXN, Deposit: YTP10)</t>
        </is>
      </c>
      <c r="K118" t="inlineStr">
        <is>
          <t/>
        </is>
      </c>
    </row>
    <row r="119">
      <c r="A119" t="n">
        <v>557.0</v>
      </c>
      <c r="B119" s="2" t="n">
        <v>45831.0</v>
      </c>
      <c r="C119" t="n">
        <v>28.0</v>
      </c>
      <c r="D119" t="n">
        <v>37.0</v>
      </c>
      <c r="E119" t="inlineStr">
        <is>
          <t>Flat 24 - 3 West Gate</t>
        </is>
      </c>
      <c r="F119" t="n">
        <v>16.0</v>
      </c>
      <c r="G119" t="inlineStr">
        <is>
          <t>Rent</t>
        </is>
      </c>
      <c r="H119" t="inlineStr">
        <is>
          <t>incoming_payment</t>
        </is>
      </c>
      <c r="I119" s="3" t="n">
        <v>810.0</v>
      </c>
      <c r="J119" t="inlineStr">
        <is>
          <t>Tenant Payment - Mr Ethan Maloney, Miss Soraya Fearon - Flat 24 - 3 West Gate (Tenant ID: ge1aWLDpJE, Deposit: YTP7)</t>
        </is>
      </c>
      <c r="K119" t="inlineStr">
        <is>
          <t/>
        </is>
      </c>
    </row>
    <row r="120">
      <c r="A120" t="n">
        <v>133.0</v>
      </c>
      <c r="B120" s="2" t="n">
        <v>45834.0</v>
      </c>
      <c r="C120" t="n">
        <v>16.0</v>
      </c>
      <c r="D120" t="n">
        <v>24.0</v>
      </c>
      <c r="E120" t="inlineStr">
        <is>
          <t>Flat 14 - 3 West Gate</t>
        </is>
      </c>
      <c r="F120" t="n">
        <v>24.0</v>
      </c>
      <c r="G120" t="inlineStr">
        <is>
          <t>rent</t>
        </is>
      </c>
      <c r="H120" t="inlineStr">
        <is>
          <t>rent_received</t>
        </is>
      </c>
      <c r="I120" s="3" t="n">
        <v>795.0</v>
      </c>
      <c r="J120" t="inlineStr">
        <is>
          <t>Rent for flat 14 boden</t>
        </is>
      </c>
      <c r="K120" t="inlineStr">
        <is>
          <t/>
        </is>
      </c>
    </row>
    <row r="121">
      <c r="A121" t="n">
        <v>136.0</v>
      </c>
      <c r="B121" s="2" t="n">
        <v>45838.0</v>
      </c>
      <c r="C121" t="n">
        <v>29.0</v>
      </c>
      <c r="D121" t="n">
        <v>32.0</v>
      </c>
      <c r="E121" t="inlineStr">
        <is>
          <t>Flat 26 - 3 West Gate</t>
        </is>
      </c>
      <c r="F121" t="n">
        <v>2.0</v>
      </c>
      <c r="G121" t="inlineStr">
        <is>
          <t>rent</t>
        </is>
      </c>
      <c r="H121" t="inlineStr">
        <is>
          <t>rent_received</t>
        </is>
      </c>
      <c r="I121" s="3" t="n">
        <v>675.0</v>
      </c>
      <c r="J121" t="inlineStr">
        <is>
          <t>Rent for flat 26 boden</t>
        </is>
      </c>
      <c r="K121" t="inlineStr">
        <is>
          <t/>
        </is>
      </c>
    </row>
    <row r="122">
      <c r="A122" t="n">
        <v>134.0</v>
      </c>
      <c r="B122" s="2" t="n">
        <v>45839.0</v>
      </c>
      <c r="C122" t="n">
        <v>24.0</v>
      </c>
      <c r="D122" t="n">
        <v>39.0</v>
      </c>
      <c r="E122" t="inlineStr">
        <is>
          <t>Flat 20 - 3 West Gate</t>
        </is>
      </c>
      <c r="F122" t="n">
        <v>22.0</v>
      </c>
      <c r="G122" t="inlineStr">
        <is>
          <t>rent</t>
        </is>
      </c>
      <c r="H122" t="inlineStr">
        <is>
          <t>rent_received</t>
        </is>
      </c>
      <c r="I122" s="3" t="n">
        <v>700.0</v>
      </c>
      <c r="J122" t="inlineStr">
        <is>
          <t>Rent for flat 20 boden</t>
        </is>
      </c>
      <c r="K122" t="inlineStr">
        <is>
          <t/>
        </is>
      </c>
    </row>
    <row r="123">
      <c r="A123" t="n">
        <v>137.0</v>
      </c>
      <c r="B123" s="2" t="n">
        <v>45839.0</v>
      </c>
      <c r="C123" t="n">
        <v>31.0</v>
      </c>
      <c r="D123" t="n">
        <v>15.0</v>
      </c>
      <c r="E123" t="inlineStr">
        <is>
          <t>Flat 28 - 3 West Gate</t>
        </is>
      </c>
      <c r="F123" t="n">
        <v>38.0</v>
      </c>
      <c r="G123" t="inlineStr">
        <is>
          <t>rent</t>
        </is>
      </c>
      <c r="H123" t="inlineStr">
        <is>
          <t>rent_received</t>
        </is>
      </c>
      <c r="I123" s="3" t="n">
        <v>740.0</v>
      </c>
      <c r="J123" t="inlineStr">
        <is>
          <t>Rent for flat 28 boden</t>
        </is>
      </c>
      <c r="K123" t="inlineStr">
        <is>
          <t/>
        </is>
      </c>
    </row>
    <row r="124">
      <c r="A124" t="n">
        <v>131.0</v>
      </c>
      <c r="B124" s="2" t="n">
        <v>45840.0</v>
      </c>
      <c r="C124" t="n">
        <v>2.0</v>
      </c>
      <c r="D124" t="n">
        <v>23.0</v>
      </c>
      <c r="E124" t="inlineStr">
        <is>
          <t>Flat 2 - 3 West Gate</t>
        </is>
      </c>
      <c r="F124" t="n">
        <v>23.0</v>
      </c>
      <c r="G124" t="inlineStr">
        <is>
          <t>rent</t>
        </is>
      </c>
      <c r="H124" t="inlineStr">
        <is>
          <t>rent_received</t>
        </is>
      </c>
      <c r="I124" s="3" t="n">
        <v>740.0</v>
      </c>
      <c r="J124" t="inlineStr">
        <is>
          <t>Rent for flat 2 boden</t>
        </is>
      </c>
      <c r="K124" t="inlineStr">
        <is>
          <t/>
        </is>
      </c>
    </row>
    <row r="125">
      <c r="A125" t="n">
        <v>138.0</v>
      </c>
      <c r="B125" s="2" t="n">
        <v>45840.0</v>
      </c>
      <c r="C125" t="n">
        <v>32.0</v>
      </c>
      <c r="D125" t="n">
        <v>11.0</v>
      </c>
      <c r="E125" t="inlineStr">
        <is>
          <t>Flat 29 - 3 West Gate</t>
        </is>
      </c>
      <c r="F125" t="n">
        <v>35.0</v>
      </c>
      <c r="G125" t="inlineStr">
        <is>
          <t>rent</t>
        </is>
      </c>
      <c r="H125" t="inlineStr">
        <is>
          <t>rent_received</t>
        </is>
      </c>
      <c r="I125" s="3" t="n">
        <v>740.0</v>
      </c>
      <c r="J125" t="inlineStr">
        <is>
          <t>rent for flat 29 boden</t>
        </is>
      </c>
      <c r="K125" t="inlineStr">
        <is>
          <t/>
        </is>
      </c>
    </row>
    <row r="126">
      <c r="A126" t="n">
        <v>130.0</v>
      </c>
      <c r="B126" s="2" t="n">
        <v>45842.0</v>
      </c>
      <c r="C126" t="n">
        <v>1.0</v>
      </c>
      <c r="D126" t="n">
        <v>22.0</v>
      </c>
      <c r="E126" t="inlineStr">
        <is>
          <t>Flat 1 - 3 West Gate</t>
        </is>
      </c>
      <c r="F126" t="n">
        <v>10.0</v>
      </c>
      <c r="G126" t="inlineStr">
        <is>
          <t>rent</t>
        </is>
      </c>
      <c r="H126" t="inlineStr">
        <is>
          <t>rent_received</t>
        </is>
      </c>
      <c r="I126" s="3" t="n">
        <v>795.0</v>
      </c>
      <c r="J126" t="inlineStr">
        <is>
          <t>Rent for flat 1 boden</t>
        </is>
      </c>
      <c r="K126" t="inlineStr">
        <is>
          <t/>
        </is>
      </c>
    </row>
    <row r="127">
      <c r="A127" t="n">
        <v>139.0</v>
      </c>
      <c r="B127" s="2" t="n">
        <v>45850.0</v>
      </c>
      <c r="C127" t="n">
        <v>33.0</v>
      </c>
      <c r="D127" t="n">
        <v>10.0</v>
      </c>
      <c r="E127" t="inlineStr">
        <is>
          <t>Flat 30 - 3 West Gate</t>
        </is>
      </c>
      <c r="F127" t="n">
        <v>30.0</v>
      </c>
      <c r="G127" t="inlineStr">
        <is>
          <t>rent</t>
        </is>
      </c>
      <c r="H127" t="inlineStr">
        <is>
          <t>rent_received</t>
        </is>
      </c>
      <c r="I127" s="3" t="n">
        <v>740.0</v>
      </c>
      <c r="J127" t="inlineStr">
        <is>
          <t>rent for 30 boden house</t>
        </is>
      </c>
      <c r="K127" t="inlineStr">
        <is>
          <t/>
        </is>
      </c>
    </row>
    <row r="128">
      <c r="A128" t="n">
        <v>132.0</v>
      </c>
      <c r="B128" s="2" t="n">
        <v>45852.0</v>
      </c>
      <c r="C128" t="n">
        <v>3.0</v>
      </c>
      <c r="D128" t="n">
        <v>42.0</v>
      </c>
      <c r="E128" t="inlineStr">
        <is>
          <t>Flat 3 - 3 West Gate</t>
        </is>
      </c>
      <c r="F128" t="n">
        <v>4.0</v>
      </c>
      <c r="G128" t="inlineStr">
        <is>
          <t>rent</t>
        </is>
      </c>
      <c r="H128" t="inlineStr">
        <is>
          <t>rent_received</t>
        </is>
      </c>
      <c r="I128" s="3" t="n">
        <v>740.0</v>
      </c>
      <c r="J128" t="inlineStr">
        <is>
          <t>Rent for flat 3 boden</t>
        </is>
      </c>
      <c r="K128" t="inlineStr">
        <is>
          <t/>
        </is>
      </c>
    </row>
    <row r="129">
      <c r="A129" t="n">
        <v>147.0</v>
      </c>
      <c r="B129" s="2" t="n">
        <v>45860.0</v>
      </c>
      <c r="C129" t="n">
        <v>22.0</v>
      </c>
      <c r="D129" t="n">
        <v>43.0</v>
      </c>
      <c r="E129" t="inlineStr">
        <is>
          <t>Flat 19 - 3 West Gate</t>
        </is>
      </c>
      <c r="F129" t="n">
        <v>25.0</v>
      </c>
      <c r="G129" t="inlineStr">
        <is>
          <t>rent</t>
        </is>
      </c>
      <c r="H129" t="inlineStr">
        <is>
          <t>rent_received</t>
        </is>
      </c>
      <c r="I129" s="3" t="n">
        <v>438.0</v>
      </c>
      <c r="J129" t="inlineStr">
        <is>
          <t>Rent for flat 19 boden</t>
        </is>
      </c>
      <c r="K129" t="inlineStr">
        <is>
          <t/>
        </is>
      </c>
    </row>
    <row r="130">
      <c r="A130" t="n">
        <v>148.0</v>
      </c>
      <c r="B130" s="2" t="n">
        <v>45860.0</v>
      </c>
      <c r="C130" t="n">
        <v>27.0</v>
      </c>
      <c r="D130" t="n">
        <v>29.0</v>
      </c>
      <c r="E130" t="inlineStr">
        <is>
          <t>Flat 23 - 3 West Gate</t>
        </is>
      </c>
      <c r="F130" t="n">
        <v>29.0</v>
      </c>
      <c r="G130" t="inlineStr">
        <is>
          <t>rent</t>
        </is>
      </c>
      <c r="H130" t="inlineStr">
        <is>
          <t>rent_received</t>
        </is>
      </c>
      <c r="I130" s="3" t="n">
        <v>795.0</v>
      </c>
      <c r="J130" t="inlineStr">
        <is>
          <t>Rent for flat 23 boden</t>
        </is>
      </c>
      <c r="K130" t="inlineStr">
        <is>
          <t/>
        </is>
      </c>
    </row>
    <row r="131">
      <c r="A131" t="n">
        <v>559.0</v>
      </c>
      <c r="B131" s="2" t="n">
        <v>45860.0</v>
      </c>
      <c r="C131" t="n">
        <v>12.0</v>
      </c>
      <c r="D131" t="n">
        <v>17.0</v>
      </c>
      <c r="E131" t="inlineStr">
        <is>
          <t>Flat 11 - 3 West Gate</t>
        </is>
      </c>
      <c r="F131" t="n">
        <v>17.0</v>
      </c>
      <c r="G131" t="inlineStr">
        <is>
          <t>Rent</t>
        </is>
      </c>
      <c r="H131" t="inlineStr">
        <is>
          <t>incoming_payment</t>
        </is>
      </c>
      <c r="I131" s="3" t="n">
        <v>795.0</v>
      </c>
      <c r="J131" t="inlineStr">
        <is>
          <t>Tenant Payment - Mr Richard Perrotta - Flat 11 - 3 West Gate (Tenant ID: GvJDKLmVZz, Deposit: YTP18)</t>
        </is>
      </c>
      <c r="K131" t="inlineStr">
        <is>
          <t/>
        </is>
      </c>
    </row>
    <row r="132">
      <c r="A132" t="n">
        <v>560.0</v>
      </c>
      <c r="B132" s="2" t="n">
        <v>45860.0</v>
      </c>
      <c r="C132" t="n">
        <v>21.0</v>
      </c>
      <c r="D132" t="n">
        <v>33.0</v>
      </c>
      <c r="E132" t="inlineStr">
        <is>
          <t>Flat 18 - 3 West Gate</t>
        </is>
      </c>
      <c r="F132" t="n">
        <v>31.0</v>
      </c>
      <c r="G132" t="inlineStr">
        <is>
          <t>Rent</t>
        </is>
      </c>
      <c r="H132" t="inlineStr">
        <is>
          <t>incoming_payment</t>
        </is>
      </c>
      <c r="I132" s="3" t="n">
        <v>855.0</v>
      </c>
      <c r="J132" t="inlineStr">
        <is>
          <t>Tenant Payment - Nirmali Gedara and Janith Hetti Arachchilage - Flat 18 - 3 West Gate (Tenant ID: rp19gkVoJA, Deposit: YTP31)</t>
        </is>
      </c>
      <c r="K132" t="inlineStr">
        <is>
          <t/>
        </is>
      </c>
    </row>
    <row r="133">
      <c r="A133" t="n">
        <v>562.0</v>
      </c>
      <c r="B133" s="2" t="n">
        <v>45860.0</v>
      </c>
      <c r="C133" t="n">
        <v>6.0</v>
      </c>
      <c r="D133" t="n">
        <v>1.0</v>
      </c>
      <c r="E133" t="inlineStr">
        <is>
          <t>Flat 6 - 3 West Gate</t>
        </is>
      </c>
      <c r="F133" t="n">
        <v>34.0</v>
      </c>
      <c r="G133" t="inlineStr">
        <is>
          <t>Rent</t>
        </is>
      </c>
      <c r="H133" t="inlineStr">
        <is>
          <t>incoming_payment</t>
        </is>
      </c>
      <c r="I133" s="3" t="n">
        <v>740.0</v>
      </c>
      <c r="J133" t="inlineStr">
        <is>
          <t>Tenant Payment - Miss Shelley Lees - Flat 6 - 3 West Gate (Tenant ID: v0Zo3zLVZD, Deposit: YTP2)</t>
        </is>
      </c>
      <c r="K133" t="inlineStr">
        <is>
          <t/>
        </is>
      </c>
    </row>
    <row r="134">
      <c r="A134" t="n">
        <v>563.0</v>
      </c>
      <c r="B134" s="2" t="n">
        <v>45860.0</v>
      </c>
      <c r="C134" t="n">
        <v>28.0</v>
      </c>
      <c r="D134" t="n">
        <v>37.0</v>
      </c>
      <c r="E134" t="inlineStr">
        <is>
          <t>Flat 24 - 3 West Gate</t>
        </is>
      </c>
      <c r="F134" t="n">
        <v>16.0</v>
      </c>
      <c r="G134" t="inlineStr">
        <is>
          <t>Rent</t>
        </is>
      </c>
      <c r="H134" t="inlineStr">
        <is>
          <t>incoming_payment</t>
        </is>
      </c>
      <c r="I134" s="3" t="n">
        <v>810.0</v>
      </c>
      <c r="J134" t="inlineStr">
        <is>
          <t>Tenant Payment - Mr Ethan Maloney, Miss Soraya Fearon - Flat 24 - 3 West Gate (Tenant ID: ge1aWLDpJE, Deposit: YTP7)</t>
        </is>
      </c>
      <c r="K134" t="inlineStr">
        <is>
          <t/>
        </is>
      </c>
    </row>
    <row r="135">
      <c r="A135" t="n">
        <v>564.0</v>
      </c>
      <c r="B135" s="2" t="n">
        <v>45860.0</v>
      </c>
      <c r="C135" t="n">
        <v>36.0</v>
      </c>
      <c r="D135" t="n">
        <v>16.0</v>
      </c>
      <c r="E135" t="inlineStr">
        <is>
          <t>Apartment F - Knighton Hayes Manor</t>
        </is>
      </c>
      <c r="F135" t="n">
        <v>13.0</v>
      </c>
      <c r="G135" t="inlineStr">
        <is>
          <t>Rent</t>
        </is>
      </c>
      <c r="H135" t="inlineStr">
        <is>
          <t>incoming_payment</t>
        </is>
      </c>
      <c r="I135" s="3" t="n">
        <v>1125.0</v>
      </c>
      <c r="J135" t="inlineStr">
        <is>
          <t>Tenant Payment - Mr Riaz Hamid, Ismat Tarr-Hamid - Apartment F - Knighton Hayes Manor (Tenant ID: D6JmW6jr1v, Deposit: YTP17)</t>
        </is>
      </c>
      <c r="K135" t="inlineStr">
        <is>
          <t/>
        </is>
      </c>
    </row>
    <row r="136">
      <c r="A136" t="n">
        <v>565.0</v>
      </c>
      <c r="B136" s="2" t="n">
        <v>45860.0</v>
      </c>
      <c r="C136" t="n">
        <v>25.0</v>
      </c>
      <c r="D136" t="n">
        <v>31.0</v>
      </c>
      <c r="E136" t="inlineStr">
        <is>
          <t>Flat 21 - 3 West Gate</t>
        </is>
      </c>
      <c r="F136" t="n">
        <v>12.0</v>
      </c>
      <c r="G136" t="inlineStr">
        <is>
          <t>Rent</t>
        </is>
      </c>
      <c r="H136" t="inlineStr">
        <is>
          <t>incoming_payment</t>
        </is>
      </c>
      <c r="I136" s="3" t="n">
        <v>795.0</v>
      </c>
      <c r="J136" t="inlineStr">
        <is>
          <t>Tenant Payment - Mr Felwin Francis - Flat 21 - 3 West Gate (Tenant ID: B6XKzLmzJW, Deposit: YTP8)</t>
        </is>
      </c>
      <c r="K136" t="inlineStr">
        <is>
          <t/>
        </is>
      </c>
    </row>
    <row r="137">
      <c r="A137" t="n">
        <v>566.0</v>
      </c>
      <c r="B137" s="2" t="n">
        <v>45860.0</v>
      </c>
      <c r="C137" t="n">
        <v>18.0</v>
      </c>
      <c r="D137" t="n">
        <v>2.0</v>
      </c>
      <c r="E137" t="inlineStr">
        <is>
          <t>Flat 16 - 3 West Gate</t>
        </is>
      </c>
      <c r="F137" t="n">
        <v>33.0</v>
      </c>
      <c r="G137" t="inlineStr">
        <is>
          <t>Rent</t>
        </is>
      </c>
      <c r="H137" t="inlineStr">
        <is>
          <t>incoming_payment</t>
        </is>
      </c>
      <c r="I137" s="3" t="n">
        <v>740.0</v>
      </c>
      <c r="J137" t="inlineStr">
        <is>
          <t>Tenant Payment - Mr Riley Paul Beresford, Ms Gina Louise Judge - Flat 16 - 3 West Gate (Tenant ID: RwXxk0nWJA, Deposit: YTP19)</t>
        </is>
      </c>
      <c r="K137" t="inlineStr">
        <is>
          <t/>
        </is>
      </c>
    </row>
    <row r="138">
      <c r="A138" t="n">
        <v>567.0</v>
      </c>
      <c r="B138" s="2" t="n">
        <v>45860.0</v>
      </c>
      <c r="C138" t="n">
        <v>7.0</v>
      </c>
      <c r="D138" t="n">
        <v>20.0</v>
      </c>
      <c r="E138" t="inlineStr">
        <is>
          <t>Flat 7 - 3 West Gate</t>
        </is>
      </c>
      <c r="F138" t="n">
        <v>8.0</v>
      </c>
      <c r="G138" t="inlineStr">
        <is>
          <t>Rent</t>
        </is>
      </c>
      <c r="H138" t="inlineStr">
        <is>
          <t>incoming_payment</t>
        </is>
      </c>
      <c r="I138" s="3" t="n">
        <v>700.0</v>
      </c>
      <c r="J138" t="inlineStr">
        <is>
          <t>Tenant Payment - Mr Chun Hung Tang - Flat 7 - 3 West Gate (Tenant ID: 8eJP9LrVXG, Deposit: YTP6)</t>
        </is>
      </c>
      <c r="K138" t="inlineStr">
        <is>
          <t/>
        </is>
      </c>
    </row>
    <row r="139">
      <c r="A139" t="n">
        <v>568.0</v>
      </c>
      <c r="B139" s="2" t="n">
        <v>45860.0</v>
      </c>
      <c r="C139" t="n">
        <v>15.0</v>
      </c>
      <c r="D139" t="n">
        <v>25.0</v>
      </c>
      <c r="E139" t="inlineStr">
        <is>
          <t>Flat 13 - 3 West Gate</t>
        </is>
      </c>
      <c r="F139" t="n">
        <v>18.0</v>
      </c>
      <c r="G139" t="inlineStr">
        <is>
          <t>Rent</t>
        </is>
      </c>
      <c r="H139" t="inlineStr">
        <is>
          <t>incoming_payment</t>
        </is>
      </c>
      <c r="I139" s="3" t="n">
        <v>800.0</v>
      </c>
      <c r="J139" t="inlineStr">
        <is>
          <t>Tenant Payment - Mr Nathan Holland - Flat 13 - 3 West Gate (Tenant ID: GVJjWNLLXE, Deposit: YTP16)</t>
        </is>
      </c>
      <c r="K139" t="inlineStr">
        <is>
          <t/>
        </is>
      </c>
    </row>
    <row r="140">
      <c r="A140" t="n">
        <v>569.0</v>
      </c>
      <c r="B140" s="2" t="n">
        <v>45860.0</v>
      </c>
      <c r="C140" t="n">
        <v>10.0</v>
      </c>
      <c r="D140" t="n">
        <v>7.0</v>
      </c>
      <c r="E140" t="inlineStr">
        <is>
          <t>Flat 10 - 3 West Gate</t>
        </is>
      </c>
      <c r="F140" t="n">
        <v>11.0</v>
      </c>
      <c r="G140" t="inlineStr">
        <is>
          <t>Rent</t>
        </is>
      </c>
      <c r="H140" t="inlineStr">
        <is>
          <t>incoming_payment</t>
        </is>
      </c>
      <c r="I140" s="3" t="n">
        <v>735.0</v>
      </c>
      <c r="J140" t="inlineStr">
        <is>
          <t>Tenant Payment - Mr Ferenc Peter - Flat 10 - 3 West Gate (Tenant ID: aLJMELajJq, Deposit: YTP9)</t>
        </is>
      </c>
      <c r="K140" t="inlineStr">
        <is>
          <t/>
        </is>
      </c>
    </row>
    <row r="141">
      <c r="A141" t="n">
        <v>570.0</v>
      </c>
      <c r="B141" s="2" t="n">
        <v>45860.0</v>
      </c>
      <c r="C141" t="n">
        <v>5.0</v>
      </c>
      <c r="D141" t="n">
        <v>21.0</v>
      </c>
      <c r="E141" t="inlineStr">
        <is>
          <t>Flat 5 - 3 West Gate</t>
        </is>
      </c>
      <c r="F141" t="n">
        <v>28.0</v>
      </c>
      <c r="G141" t="inlineStr">
        <is>
          <t>Rent</t>
        </is>
      </c>
      <c r="H141" t="inlineStr">
        <is>
          <t>incoming_payment</t>
        </is>
      </c>
      <c r="I141" s="3" t="n">
        <v>740.0</v>
      </c>
      <c r="J141" t="inlineStr">
        <is>
          <t>Tenant Payment - Mr Amos Blyth - Flat 5 - 3 West Gate (Tenant ID: qv1pdwLB1d, Deposit: YTP4)</t>
        </is>
      </c>
      <c r="K141" t="inlineStr">
        <is>
          <t/>
        </is>
      </c>
    </row>
    <row r="142">
      <c r="A142" t="n">
        <v>571.0</v>
      </c>
      <c r="B142" s="2" t="n">
        <v>45860.0</v>
      </c>
      <c r="C142" t="n">
        <v>4.0</v>
      </c>
      <c r="D142" t="n">
        <v>30.0</v>
      </c>
      <c r="E142" t="inlineStr">
        <is>
          <t>Flat 4 - 3 West Gate</t>
        </is>
      </c>
      <c r="F142" t="n">
        <v>6.0</v>
      </c>
      <c r="G142" t="inlineStr">
        <is>
          <t>Rent</t>
        </is>
      </c>
      <c r="H142" t="inlineStr">
        <is>
          <t>incoming_payment</t>
        </is>
      </c>
      <c r="I142" s="3" t="n">
        <v>855.0</v>
      </c>
      <c r="J142" t="inlineStr">
        <is>
          <t>Tenant Payment - Miss Megan Delaney, Mr Joseph Williams - Flat 4 - 3 West Gate (Tenant ID: 8b1gv7LNXG, Deposit: YTP1)</t>
        </is>
      </c>
      <c r="K142" t="inlineStr">
        <is>
          <t/>
        </is>
      </c>
    </row>
    <row r="143">
      <c r="A143" t="n">
        <v>572.0</v>
      </c>
      <c r="B143" s="2" t="n">
        <v>45860.0</v>
      </c>
      <c r="C143" t="n">
        <v>26.0</v>
      </c>
      <c r="D143" t="n">
        <v>14.0</v>
      </c>
      <c r="E143" t="inlineStr">
        <is>
          <t>Flat 22 - 3 West Gate</t>
        </is>
      </c>
      <c r="F143" t="n">
        <v>9.0</v>
      </c>
      <c r="G143" t="inlineStr">
        <is>
          <t>Rent</t>
        </is>
      </c>
      <c r="H143" t="inlineStr">
        <is>
          <t>incoming_payment</t>
        </is>
      </c>
      <c r="I143" s="3" t="n">
        <v>740.0</v>
      </c>
      <c r="J143" t="inlineStr">
        <is>
          <t>Tenant Payment - Mr Brian Lowe - Flat 22 - 3 West Gate (Tenant ID: 90JYRLmPXo, Deposit: YTP5)</t>
        </is>
      </c>
      <c r="K143" t="inlineStr">
        <is>
          <t/>
        </is>
      </c>
    </row>
    <row r="144">
      <c r="A144" t="n">
        <v>574.0</v>
      </c>
      <c r="B144" s="2" t="n">
        <v>45860.0</v>
      </c>
      <c r="C144" t="n">
        <v>17.0</v>
      </c>
      <c r="D144" t="n">
        <v>44.0</v>
      </c>
      <c r="E144" t="inlineStr">
        <is>
          <t>Flat 15 - 3 West Gate</t>
        </is>
      </c>
      <c r="F144" t="n">
        <v>36.0</v>
      </c>
      <c r="G144" t="inlineStr">
        <is>
          <t>Rent</t>
        </is>
      </c>
      <c r="H144" t="inlineStr">
        <is>
          <t>incoming_payment</t>
        </is>
      </c>
      <c r="I144" s="3" t="n">
        <v>740.0</v>
      </c>
      <c r="J144" t="inlineStr">
        <is>
          <t>Tenant Payment - Ms Lucy Cassell - Flat 15 - 3 West Gate (Tenant ID: WzJBEL9RZQ, Deposit: YTP24)</t>
        </is>
      </c>
      <c r="K144" t="inlineStr">
        <is>
          <t/>
        </is>
      </c>
    </row>
    <row r="145">
      <c r="A145" t="n">
        <v>575.0</v>
      </c>
      <c r="B145" s="2" t="n">
        <v>45860.0</v>
      </c>
      <c r="C145" t="n">
        <v>30.0</v>
      </c>
      <c r="D145" t="n">
        <v>27.0</v>
      </c>
      <c r="E145" t="inlineStr">
        <is>
          <t>Flat 27 - 3 West Gate</t>
        </is>
      </c>
      <c r="F145" t="n">
        <v>32.0</v>
      </c>
      <c r="G145" t="inlineStr">
        <is>
          <t>Rent</t>
        </is>
      </c>
      <c r="H145" t="inlineStr">
        <is>
          <t>incoming_payment</t>
        </is>
      </c>
      <c r="I145" s="3" t="n">
        <v>700.0</v>
      </c>
      <c r="J145" t="inlineStr">
        <is>
          <t>Tenant Payment - Miss Sophie Murray - Flat 27 - 3 West Gate (Tenant ID: rp19gojwJA, Deposit: YTP3)</t>
        </is>
      </c>
      <c r="K145" t="inlineStr">
        <is>
          <t/>
        </is>
      </c>
    </row>
    <row r="146">
      <c r="A146" t="n">
        <v>576.0</v>
      </c>
      <c r="B146" s="2" t="n">
        <v>45860.0</v>
      </c>
      <c r="C146" t="n">
        <v>9.0</v>
      </c>
      <c r="D146" t="n">
        <v>6.0</v>
      </c>
      <c r="E146" t="inlineStr">
        <is>
          <t>Flat 9 - 3 West Gate</t>
        </is>
      </c>
      <c r="F146" t="n">
        <v>26.0</v>
      </c>
      <c r="G146" t="inlineStr">
        <is>
          <t>Rent</t>
        </is>
      </c>
      <c r="H146" t="inlineStr">
        <is>
          <t>incoming_payment</t>
        </is>
      </c>
      <c r="I146" s="3" t="n">
        <v>700.0</v>
      </c>
      <c r="J146" t="inlineStr">
        <is>
          <t>Tenant Payment - Mr Scott Warner - Flat 9 - 3 West Gate (Tenant ID: mn184gvb19, Deposit: YTP20)</t>
        </is>
      </c>
      <c r="K146" t="inlineStr">
        <is>
          <t/>
        </is>
      </c>
    </row>
    <row r="147">
      <c r="A147" t="n">
        <v>577.0</v>
      </c>
      <c r="B147" s="2" t="n">
        <v>45861.0</v>
      </c>
      <c r="C147" t="n">
        <v>19.0</v>
      </c>
      <c r="D147" t="n">
        <v>5.0</v>
      </c>
      <c r="E147" t="inlineStr">
        <is>
          <t>Flat 17 - 3 West Gate</t>
        </is>
      </c>
      <c r="F147" t="n">
        <v>3.0</v>
      </c>
      <c r="G147" t="inlineStr">
        <is>
          <t>Rent</t>
        </is>
      </c>
      <c r="H147" t="inlineStr">
        <is>
          <t>incoming_payment</t>
        </is>
      </c>
      <c r="I147" s="3" t="n">
        <v>700.0</v>
      </c>
      <c r="J147" t="inlineStr">
        <is>
          <t>Tenant Payment - Mr Harsh Patel - Flat 17 - 3 West Gate (Tenant ID: 7nZ3YqvrXN, Deposit: YTP10)</t>
        </is>
      </c>
      <c r="K147" t="inlineStr">
        <is>
          <t/>
        </is>
      </c>
    </row>
    <row r="148">
      <c r="A148" t="n">
        <v>578.0</v>
      </c>
      <c r="B148" s="2" t="n">
        <v>45861.0</v>
      </c>
      <c r="C148" t="n">
        <v>8.0</v>
      </c>
      <c r="D148" t="n">
        <v>40.0</v>
      </c>
      <c r="E148" t="inlineStr">
        <is>
          <t>Flat 8 - 3 West Gate</t>
        </is>
      </c>
      <c r="F148" t="n">
        <v>7.0</v>
      </c>
      <c r="G148" t="inlineStr">
        <is>
          <t>Rent</t>
        </is>
      </c>
      <c r="H148" t="inlineStr">
        <is>
          <t>incoming_payment</t>
        </is>
      </c>
      <c r="I148" s="3" t="n">
        <v>735.0</v>
      </c>
      <c r="J148" t="inlineStr">
        <is>
          <t>Tenant Payment - Mr Shermal Wijesinghage, Mrs Udeshika Dona - Flat 8 - 3 West Gate (Tenant ID: 8EJA83o9Zj, Deposit: YTP21)</t>
        </is>
      </c>
      <c r="K148" t="inlineStr">
        <is>
          <t/>
        </is>
      </c>
    </row>
    <row r="149">
      <c r="A149" t="n">
        <v>146.0</v>
      </c>
      <c r="B149" s="2" t="n">
        <v>45866.0</v>
      </c>
      <c r="C149" t="n">
        <v>16.0</v>
      </c>
      <c r="D149" t="n">
        <v>24.0</v>
      </c>
      <c r="E149" t="inlineStr">
        <is>
          <t>Flat 14 - 3 West Gate</t>
        </is>
      </c>
      <c r="F149" t="n">
        <v>24.0</v>
      </c>
      <c r="G149" t="inlineStr">
        <is>
          <t>rent</t>
        </is>
      </c>
      <c r="H149" t="inlineStr">
        <is>
          <t>rent_received</t>
        </is>
      </c>
      <c r="I149" s="3" t="n">
        <v>795.0</v>
      </c>
      <c r="J149" t="inlineStr">
        <is>
          <t>Rent for flat 14 boden</t>
        </is>
      </c>
      <c r="K149" t="inlineStr">
        <is>
          <t/>
        </is>
      </c>
    </row>
    <row r="150">
      <c r="A150" t="n">
        <v>149.0</v>
      </c>
      <c r="B150" s="2" t="n">
        <v>45866.0</v>
      </c>
      <c r="C150" t="n">
        <v>29.0</v>
      </c>
      <c r="D150" t="n">
        <v>32.0</v>
      </c>
      <c r="E150" t="inlineStr">
        <is>
          <t>Flat 26 - 3 West Gate</t>
        </is>
      </c>
      <c r="F150" t="n">
        <v>2.0</v>
      </c>
      <c r="G150" t="inlineStr">
        <is>
          <t>rent</t>
        </is>
      </c>
      <c r="H150" t="inlineStr">
        <is>
          <t>rent_received</t>
        </is>
      </c>
      <c r="I150" s="3" t="n">
        <v>675.0</v>
      </c>
      <c r="J150" t="inlineStr">
        <is>
          <t>Rent for flat 26 boden</t>
        </is>
      </c>
      <c r="K150" t="inlineStr">
        <is>
          <t/>
        </is>
      </c>
    </row>
    <row r="151">
      <c r="A151" t="n">
        <v>150.0</v>
      </c>
      <c r="B151" s="2" t="n">
        <v>45868.0</v>
      </c>
      <c r="C151" t="n">
        <v>31.0</v>
      </c>
      <c r="D151" t="n">
        <v>15.0</v>
      </c>
      <c r="E151" t="inlineStr">
        <is>
          <t>Flat 28 - 3 West Gate</t>
        </is>
      </c>
      <c r="F151" t="n">
        <v>38.0</v>
      </c>
      <c r="G151" t="inlineStr">
        <is>
          <t>rent</t>
        </is>
      </c>
      <c r="H151" t="inlineStr">
        <is>
          <t>rent_received</t>
        </is>
      </c>
      <c r="I151" s="3" t="n">
        <v>740.0</v>
      </c>
      <c r="J151" t="inlineStr">
        <is>
          <t>Rent for flat 28 boden</t>
        </is>
      </c>
      <c r="K151" t="inlineStr">
        <is>
          <t/>
        </is>
      </c>
    </row>
    <row r="152">
      <c r="A152" t="n">
        <v>143.0</v>
      </c>
      <c r="B152" s="2" t="n">
        <v>45873.0</v>
      </c>
      <c r="C152" t="n">
        <v>1.0</v>
      </c>
      <c r="D152" t="n">
        <v>22.0</v>
      </c>
      <c r="E152" t="inlineStr">
        <is>
          <t>Flat 1 - 3 West Gate</t>
        </is>
      </c>
      <c r="F152" t="n">
        <v>10.0</v>
      </c>
      <c r="G152" t="inlineStr">
        <is>
          <t>rent</t>
        </is>
      </c>
      <c r="H152" t="inlineStr">
        <is>
          <t>rent_received</t>
        </is>
      </c>
      <c r="I152" s="3" t="n">
        <v>795.0</v>
      </c>
      <c r="J152" t="inlineStr">
        <is>
          <t>Rent for flat 1 boden</t>
        </is>
      </c>
      <c r="K152" t="inlineStr">
        <is>
          <t/>
        </is>
      </c>
    </row>
    <row r="153">
      <c r="A153" t="n">
        <v>144.0</v>
      </c>
      <c r="B153" s="2" t="n">
        <v>45873.0</v>
      </c>
      <c r="C153" t="n">
        <v>2.0</v>
      </c>
      <c r="D153" t="n">
        <v>23.0</v>
      </c>
      <c r="E153" t="inlineStr">
        <is>
          <t>Flat 2 - 3 West Gate</t>
        </is>
      </c>
      <c r="F153" t="n">
        <v>23.0</v>
      </c>
      <c r="G153" t="inlineStr">
        <is>
          <t>rent</t>
        </is>
      </c>
      <c r="H153" t="inlineStr">
        <is>
          <t>rent_received</t>
        </is>
      </c>
      <c r="I153" s="3" t="n">
        <v>740.0</v>
      </c>
      <c r="J153" t="inlineStr">
        <is>
          <t>Rent for flat 2 boden</t>
        </is>
      </c>
      <c r="K153" t="inlineStr">
        <is>
          <t/>
        </is>
      </c>
    </row>
    <row r="154">
      <c r="A154" t="n">
        <v>580.0</v>
      </c>
      <c r="B154" s="2" t="n">
        <v>45877.0</v>
      </c>
      <c r="C154" t="n">
        <v>24.0</v>
      </c>
      <c r="D154" t="n">
        <v>39.0</v>
      </c>
      <c r="E154" t="inlineStr">
        <is>
          <t>Flat 20 - 3 West Gate</t>
        </is>
      </c>
      <c r="F154" t="n">
        <v>22.0</v>
      </c>
      <c r="G154" t="inlineStr">
        <is>
          <t>Rent</t>
        </is>
      </c>
      <c r="H154" t="inlineStr">
        <is>
          <t>incoming_payment</t>
        </is>
      </c>
      <c r="I154" s="3" t="n">
        <v>700.0</v>
      </c>
      <c r="J154" t="inlineStr">
        <is>
          <t>Tenant Payment - Mr James Kay - Flat 20 - 3 West Gate (Tenant ID: lMZnW5L6J7, Deposit: YTP11)</t>
        </is>
      </c>
      <c r="K154" t="inlineStr">
        <is>
          <t/>
        </is>
      </c>
    </row>
    <row r="155">
      <c r="A155" t="n">
        <v>581.0</v>
      </c>
      <c r="B155" s="2" t="n">
        <v>45877.0</v>
      </c>
      <c r="C155" t="n">
        <v>32.0</v>
      </c>
      <c r="D155" t="n">
        <v>11.0</v>
      </c>
      <c r="E155" t="inlineStr">
        <is>
          <t>Flat 29 - 3 West Gate</t>
        </is>
      </c>
      <c r="F155" t="n">
        <v>35.0</v>
      </c>
      <c r="G155" t="inlineStr">
        <is>
          <t>Rent</t>
        </is>
      </c>
      <c r="H155" t="inlineStr">
        <is>
          <t>incoming_payment</t>
        </is>
      </c>
      <c r="I155" s="3" t="n">
        <v>740.0</v>
      </c>
      <c r="J155" t="inlineStr">
        <is>
          <t>Tenant Payment - Mrs Margaret Fritchley - Flat 29 - 3 West Gate (Tenant ID: v2XljeLxZe, Deposit: YTP23)</t>
        </is>
      </c>
      <c r="K155" t="inlineStr">
        <is>
          <t/>
        </is>
      </c>
    </row>
    <row r="156">
      <c r="A156" t="n">
        <v>582.0</v>
      </c>
      <c r="B156" s="2" t="n">
        <v>45877.0</v>
      </c>
      <c r="C156" t="n">
        <v>14.0</v>
      </c>
      <c r="D156" t="n">
        <v>41.0</v>
      </c>
      <c r="E156" t="inlineStr">
        <is>
          <t>Flat 12 - 3 West Gate</t>
        </is>
      </c>
      <c r="F156" t="n">
        <v>15.0</v>
      </c>
      <c r="G156" t="inlineStr">
        <is>
          <t>Rent</t>
        </is>
      </c>
      <c r="H156" t="inlineStr">
        <is>
          <t>incoming_payment</t>
        </is>
      </c>
      <c r="I156" s="3" t="n">
        <v>5687.3</v>
      </c>
      <c r="J156" t="inlineStr">
        <is>
          <t>Tenant Payment - Adam Kirby - Flat 12 - 3 West Gate (Tenant ID: EyJ6PNxk1j, Deposit: YTP32)</t>
        </is>
      </c>
      <c r="K156" t="inlineStr">
        <is>
          <t/>
        </is>
      </c>
    </row>
    <row r="157">
      <c r="A157" t="n">
        <v>583.0</v>
      </c>
      <c r="B157" s="2" t="n">
        <v>45877.0</v>
      </c>
      <c r="C157" t="n">
        <v>4.0</v>
      </c>
      <c r="D157" t="n">
        <v>30.0</v>
      </c>
      <c r="E157" t="inlineStr">
        <is>
          <t>Flat 4 - 3 West Gate</t>
        </is>
      </c>
      <c r="F157" t="n">
        <v>6.0</v>
      </c>
      <c r="G157" t="inlineStr">
        <is>
          <t>Rent</t>
        </is>
      </c>
      <c r="H157" t="inlineStr">
        <is>
          <t>incoming_payment</t>
        </is>
      </c>
      <c r="I157" s="3" t="n">
        <v>855.0</v>
      </c>
      <c r="J157" t="inlineStr">
        <is>
          <t>Tenant Payment - Miss Megan Delaney, Mr Joseph Williams - Flat 4 - 3 West Gate (Tenant ID: 8b1gv7LNXG, Deposit: YTP1)</t>
        </is>
      </c>
      <c r="K157" t="inlineStr">
        <is>
          <t/>
        </is>
      </c>
    </row>
    <row r="158">
      <c r="A158" t="n">
        <v>584.0</v>
      </c>
      <c r="B158" s="2" t="n">
        <v>45877.0</v>
      </c>
      <c r="C158" t="n">
        <v>15.0</v>
      </c>
      <c r="D158" t="n">
        <v>25.0</v>
      </c>
      <c r="E158" t="inlineStr">
        <is>
          <t>Flat 13 - 3 West Gate</t>
        </is>
      </c>
      <c r="F158" t="n">
        <v>18.0</v>
      </c>
      <c r="G158" t="inlineStr">
        <is>
          <t>Rent</t>
        </is>
      </c>
      <c r="H158" t="inlineStr">
        <is>
          <t>incoming_payment</t>
        </is>
      </c>
      <c r="I158" s="3" t="n">
        <v>800.0</v>
      </c>
      <c r="J158" t="inlineStr">
        <is>
          <t>Tenant Payment - Mr Nathan Holland - Flat 13 - 3 West Gate (Tenant ID: GVJjWNLLXE, Deposit: YTP16)</t>
        </is>
      </c>
      <c r="K158" t="inlineStr">
        <is>
          <t/>
        </is>
      </c>
    </row>
    <row r="159">
      <c r="A159" t="n">
        <v>585.0</v>
      </c>
      <c r="B159" s="2" t="n">
        <v>45877.0</v>
      </c>
      <c r="C159" t="n">
        <v>9.0</v>
      </c>
      <c r="D159" t="n">
        <v>6.0</v>
      </c>
      <c r="E159" t="inlineStr">
        <is>
          <t>Flat 9 - 3 West Gate</t>
        </is>
      </c>
      <c r="F159" t="n">
        <v>26.0</v>
      </c>
      <c r="G159" t="inlineStr">
        <is>
          <t>Rent</t>
        </is>
      </c>
      <c r="H159" t="inlineStr">
        <is>
          <t>incoming_payment</t>
        </is>
      </c>
      <c r="I159" s="3" t="n">
        <v>700.0</v>
      </c>
      <c r="J159" t="inlineStr">
        <is>
          <t>Tenant Payment - Mr Scott Warner - Flat 9 - 3 West Gate (Tenant ID: mn184gvb19, Deposit: YTP20)</t>
        </is>
      </c>
      <c r="K159" t="inlineStr">
        <is>
          <t/>
        </is>
      </c>
    </row>
    <row r="160">
      <c r="A160" t="n">
        <v>586.0</v>
      </c>
      <c r="B160" s="2" t="n">
        <v>45877.0</v>
      </c>
      <c r="C160" t="n">
        <v>30.0</v>
      </c>
      <c r="D160" t="n">
        <v>27.0</v>
      </c>
      <c r="E160" t="inlineStr">
        <is>
          <t>Flat 27 - 3 West Gate</t>
        </is>
      </c>
      <c r="F160" t="n">
        <v>32.0</v>
      </c>
      <c r="G160" t="inlineStr">
        <is>
          <t>Rent</t>
        </is>
      </c>
      <c r="H160" t="inlineStr">
        <is>
          <t>incoming_payment</t>
        </is>
      </c>
      <c r="I160" s="3" t="n">
        <v>700.0</v>
      </c>
      <c r="J160" t="inlineStr">
        <is>
          <t>Tenant Payment - Miss Sophie Murray - Flat 27 - 3 West Gate (Tenant ID: rp19gojwJA, Deposit: YTP3)</t>
        </is>
      </c>
      <c r="K160" t="inlineStr">
        <is>
          <t/>
        </is>
      </c>
    </row>
    <row r="161">
      <c r="A161" t="n">
        <v>588.0</v>
      </c>
      <c r="B161" s="2" t="n">
        <v>45877.0</v>
      </c>
      <c r="C161" t="n">
        <v>12.0</v>
      </c>
      <c r="D161" t="n">
        <v>17.0</v>
      </c>
      <c r="E161" t="inlineStr">
        <is>
          <t>Flat 11 - 3 West Gate</t>
        </is>
      </c>
      <c r="F161" t="n">
        <v>17.0</v>
      </c>
      <c r="G161" t="inlineStr">
        <is>
          <t>Rent</t>
        </is>
      </c>
      <c r="H161" t="inlineStr">
        <is>
          <t>incoming_payment</t>
        </is>
      </c>
      <c r="I161" s="3" t="n">
        <v>795.0</v>
      </c>
      <c r="J161" t="inlineStr">
        <is>
          <t>Tenant Payment - Mr Richard Perrotta - Flat 11 - 3 West Gate (Tenant ID: GvJDKLmVZz, Deposit: YTP18)</t>
        </is>
      </c>
      <c r="K161" t="inlineStr">
        <is>
          <t/>
        </is>
      </c>
    </row>
    <row r="162">
      <c r="A162" t="n">
        <v>589.0</v>
      </c>
      <c r="B162" s="2" t="n">
        <v>45877.0</v>
      </c>
      <c r="C162" t="n">
        <v>26.0</v>
      </c>
      <c r="D162" t="n">
        <v>14.0</v>
      </c>
      <c r="E162" t="inlineStr">
        <is>
          <t>Flat 22 - 3 West Gate</t>
        </is>
      </c>
      <c r="F162" t="n">
        <v>9.0</v>
      </c>
      <c r="G162" t="inlineStr">
        <is>
          <t>Rent</t>
        </is>
      </c>
      <c r="H162" t="inlineStr">
        <is>
          <t>incoming_payment</t>
        </is>
      </c>
      <c r="I162" s="3" t="n">
        <v>740.0</v>
      </c>
      <c r="J162" t="inlineStr">
        <is>
          <t>Tenant Payment - Mr Brian Lowe - Flat 22 - 3 West Gate (Tenant ID: 90JYRLmPXo, Deposit: YTP5)</t>
        </is>
      </c>
      <c r="K162" t="inlineStr">
        <is>
          <t/>
        </is>
      </c>
    </row>
    <row r="163">
      <c r="A163" t="n">
        <v>590.0</v>
      </c>
      <c r="B163" s="2" t="n">
        <v>45877.0</v>
      </c>
      <c r="C163" t="n">
        <v>8.0</v>
      </c>
      <c r="D163" t="n">
        <v>40.0</v>
      </c>
      <c r="E163" t="inlineStr">
        <is>
          <t>Flat 8 - 3 West Gate</t>
        </is>
      </c>
      <c r="F163" t="n">
        <v>7.0</v>
      </c>
      <c r="G163" t="inlineStr">
        <is>
          <t>Rent</t>
        </is>
      </c>
      <c r="H163" t="inlineStr">
        <is>
          <t>incoming_payment</t>
        </is>
      </c>
      <c r="I163" s="3" t="n">
        <v>735.0</v>
      </c>
      <c r="J163" t="inlineStr">
        <is>
          <t>Tenant Payment - Mr Shermal Wijesinghage, Mrs Udeshika Dona - Flat 8 - 3 West Gate (Tenant ID: 8EJA83o9Zj, Deposit: YTP21)</t>
        </is>
      </c>
      <c r="K163" t="inlineStr">
        <is>
          <t/>
        </is>
      </c>
    </row>
    <row r="164">
      <c r="A164" t="n">
        <v>591.0</v>
      </c>
      <c r="B164" s="2" t="n">
        <v>45877.0</v>
      </c>
      <c r="C164" t="n">
        <v>6.0</v>
      </c>
      <c r="D164" t="n">
        <v>1.0</v>
      </c>
      <c r="E164" t="inlineStr">
        <is>
          <t>Flat 6 - 3 West Gate</t>
        </is>
      </c>
      <c r="F164" t="n">
        <v>34.0</v>
      </c>
      <c r="G164" t="inlineStr">
        <is>
          <t>Rent</t>
        </is>
      </c>
      <c r="H164" t="inlineStr">
        <is>
          <t>incoming_payment</t>
        </is>
      </c>
      <c r="I164" s="3" t="n">
        <v>740.0</v>
      </c>
      <c r="J164" t="inlineStr">
        <is>
          <t>Tenant Payment - Miss Shelley Lees - Flat 6 - 3 West Gate (Tenant ID: v0Zo3zLVZD, Deposit: YTP2)</t>
        </is>
      </c>
      <c r="K164" t="inlineStr">
        <is>
          <t/>
        </is>
      </c>
    </row>
    <row r="165">
      <c r="A165" t="n">
        <v>151.0</v>
      </c>
      <c r="B165" s="2" t="n">
        <v>45880.0</v>
      </c>
      <c r="C165" t="n">
        <v>33.0</v>
      </c>
      <c r="D165" t="n">
        <v>10.0</v>
      </c>
      <c r="E165" t="inlineStr">
        <is>
          <t>Flat 30 - 3 West Gate</t>
        </is>
      </c>
      <c r="F165" t="n">
        <v>30.0</v>
      </c>
      <c r="G165" t="inlineStr">
        <is>
          <t>rent</t>
        </is>
      </c>
      <c r="H165" t="inlineStr">
        <is>
          <t>rent_received</t>
        </is>
      </c>
      <c r="I165" s="3" t="n">
        <v>740.0</v>
      </c>
      <c r="J165" t="inlineStr">
        <is>
          <t>rent for flat 30 boden</t>
        </is>
      </c>
      <c r="K165" t="inlineStr">
        <is>
          <t/>
        </is>
      </c>
    </row>
    <row r="166">
      <c r="A166" t="n">
        <v>145.0</v>
      </c>
      <c r="B166" s="2" t="n">
        <v>45883.0</v>
      </c>
      <c r="C166" t="n">
        <v>3.0</v>
      </c>
      <c r="D166" t="n">
        <v>42.0</v>
      </c>
      <c r="E166" t="inlineStr">
        <is>
          <t>Flat 3 - 3 West Gate</t>
        </is>
      </c>
      <c r="F166" t="n">
        <v>4.0</v>
      </c>
      <c r="G166" t="inlineStr">
        <is>
          <t>rent</t>
        </is>
      </c>
      <c r="H166" t="inlineStr">
        <is>
          <t>rent_received</t>
        </is>
      </c>
      <c r="I166" s="3" t="n">
        <v>740.0</v>
      </c>
      <c r="J166" t="inlineStr">
        <is>
          <t>Rent for flat 3 boden</t>
        </is>
      </c>
      <c r="K166" t="inlineStr">
        <is>
          <t/>
        </is>
      </c>
    </row>
    <row r="167">
      <c r="A167" t="n">
        <v>592.0</v>
      </c>
      <c r="B167" s="2" t="n">
        <v>45891.0</v>
      </c>
      <c r="C167" t="n">
        <v>36.0</v>
      </c>
      <c r="D167" t="n">
        <v>16.0</v>
      </c>
      <c r="E167" t="inlineStr">
        <is>
          <t>Apartment F - Knighton Hayes Manor</t>
        </is>
      </c>
      <c r="F167" t="n">
        <v>13.0</v>
      </c>
      <c r="G167" t="inlineStr">
        <is>
          <t>Rent</t>
        </is>
      </c>
      <c r="H167" t="inlineStr">
        <is>
          <t>incoming_payment</t>
        </is>
      </c>
      <c r="I167" s="3" t="n">
        <v>1125.0</v>
      </c>
      <c r="J167" t="inlineStr">
        <is>
          <t>Tenant Payment - Mr Riaz Hamid, Ismat Tarr-Hamid - Apartment F - Knighton Hayes Manor (Tenant ID: D6JmW6jr1v, Deposit: YTP17)</t>
        </is>
      </c>
      <c r="K167" t="inlineStr">
        <is>
          <t/>
        </is>
      </c>
    </row>
    <row r="168">
      <c r="A168" t="n">
        <v>593.0</v>
      </c>
      <c r="B168" s="2" t="n">
        <v>45891.0</v>
      </c>
      <c r="C168" t="n">
        <v>28.0</v>
      </c>
      <c r="D168" t="n">
        <v>37.0</v>
      </c>
      <c r="E168" t="inlineStr">
        <is>
          <t>Flat 24 - 3 West Gate</t>
        </is>
      </c>
      <c r="F168" t="n">
        <v>16.0</v>
      </c>
      <c r="G168" t="inlineStr">
        <is>
          <t>Rent</t>
        </is>
      </c>
      <c r="H168" t="inlineStr">
        <is>
          <t>incoming_payment</t>
        </is>
      </c>
      <c r="I168" s="3" t="n">
        <v>810.0</v>
      </c>
      <c r="J168" t="inlineStr">
        <is>
          <t>Tenant Payment - Mr Ethan Maloney, Miss Soraya Fearon - Flat 24 - 3 West Gate (Tenant ID: ge1aWLDpJE, Deposit: YTP7)</t>
        </is>
      </c>
      <c r="K168" t="inlineStr">
        <is>
          <t/>
        </is>
      </c>
    </row>
    <row r="169">
      <c r="A169" t="n">
        <v>594.0</v>
      </c>
      <c r="B169" s="2" t="n">
        <v>45891.0</v>
      </c>
      <c r="C169" t="n">
        <v>19.0</v>
      </c>
      <c r="D169" t="n">
        <v>5.0</v>
      </c>
      <c r="E169" t="inlineStr">
        <is>
          <t>Flat 17 - 3 West Gate</t>
        </is>
      </c>
      <c r="F169" t="n">
        <v>3.0</v>
      </c>
      <c r="G169" t="inlineStr">
        <is>
          <t>Rent</t>
        </is>
      </c>
      <c r="H169" t="inlineStr">
        <is>
          <t>incoming_payment</t>
        </is>
      </c>
      <c r="I169" s="3" t="n">
        <v>700.0</v>
      </c>
      <c r="J169" t="inlineStr">
        <is>
          <t>Tenant Payment - Mr Harsh Patel - Flat 17 - 3 West Gate (Tenant ID: 7nZ3YqvrXN, Deposit: YTP10)</t>
        </is>
      </c>
      <c r="K169" t="inlineStr">
        <is>
          <t/>
        </is>
      </c>
    </row>
    <row r="170">
      <c r="A170" t="n">
        <v>595.0</v>
      </c>
      <c r="B170" s="2" t="n">
        <v>45891.0</v>
      </c>
      <c r="C170" t="n">
        <v>25.0</v>
      </c>
      <c r="D170" t="n">
        <v>31.0</v>
      </c>
      <c r="E170" t="inlineStr">
        <is>
          <t>Flat 21 - 3 West Gate</t>
        </is>
      </c>
      <c r="F170" t="n">
        <v>12.0</v>
      </c>
      <c r="G170" t="inlineStr">
        <is>
          <t>Rent</t>
        </is>
      </c>
      <c r="H170" t="inlineStr">
        <is>
          <t>incoming_payment</t>
        </is>
      </c>
      <c r="I170" s="3" t="n">
        <v>795.0</v>
      </c>
      <c r="J170" t="inlineStr">
        <is>
          <t>Tenant Payment - Mr Felwin Francis - Flat 21 - 3 West Gate (Tenant ID: B6XKzLmzJW, Deposit: YTP8)</t>
        </is>
      </c>
      <c r="K170" t="inlineStr">
        <is>
          <t/>
        </is>
      </c>
    </row>
    <row r="171">
      <c r="A171" t="n">
        <v>596.0</v>
      </c>
      <c r="B171" s="2" t="n">
        <v>45891.0</v>
      </c>
      <c r="C171" t="n">
        <v>17.0</v>
      </c>
      <c r="D171" t="n">
        <v>44.0</v>
      </c>
      <c r="E171" t="inlineStr">
        <is>
          <t>Flat 15 - 3 West Gate</t>
        </is>
      </c>
      <c r="F171" t="n">
        <v>36.0</v>
      </c>
      <c r="G171" t="inlineStr">
        <is>
          <t>Rent</t>
        </is>
      </c>
      <c r="H171" t="inlineStr">
        <is>
          <t>incoming_payment</t>
        </is>
      </c>
      <c r="I171" s="3" t="n">
        <v>740.0</v>
      </c>
      <c r="J171" t="inlineStr">
        <is>
          <t>Tenant Payment - Ms Lucy Cassell - Flat 15 - 3 West Gate (Tenant ID: WzJBEL9RZQ, Deposit: YTP24)</t>
        </is>
      </c>
      <c r="K171" t="inlineStr">
        <is>
          <t/>
        </is>
      </c>
    </row>
    <row r="172">
      <c r="A172" t="n">
        <v>597.0</v>
      </c>
      <c r="B172" s="2" t="n">
        <v>45891.0</v>
      </c>
      <c r="C172" t="n">
        <v>5.0</v>
      </c>
      <c r="D172" t="n">
        <v>21.0</v>
      </c>
      <c r="E172" t="inlineStr">
        <is>
          <t>Flat 5 - 3 West Gate</t>
        </is>
      </c>
      <c r="F172" t="n">
        <v>28.0</v>
      </c>
      <c r="G172" t="inlineStr">
        <is>
          <t>Rent</t>
        </is>
      </c>
      <c r="H172" t="inlineStr">
        <is>
          <t>incoming_payment</t>
        </is>
      </c>
      <c r="I172" s="3" t="n">
        <v>740.0</v>
      </c>
      <c r="J172" t="inlineStr">
        <is>
          <t>Tenant Payment - Mr Amos Blyth - Flat 5 - 3 West Gate (Tenant ID: qv1pdwLB1d, Deposit: YTP4)</t>
        </is>
      </c>
      <c r="K172" t="inlineStr">
        <is>
          <t/>
        </is>
      </c>
    </row>
    <row r="173">
      <c r="A173" t="n">
        <v>598.0</v>
      </c>
      <c r="B173" s="2" t="n">
        <v>45891.0</v>
      </c>
      <c r="C173" t="n">
        <v>21.0</v>
      </c>
      <c r="D173" t="n">
        <v>33.0</v>
      </c>
      <c r="E173" t="inlineStr">
        <is>
          <t>Flat 18 - 3 West Gate</t>
        </is>
      </c>
      <c r="F173" t="n">
        <v>31.0</v>
      </c>
      <c r="G173" t="inlineStr">
        <is>
          <t>Rent</t>
        </is>
      </c>
      <c r="H173" t="inlineStr">
        <is>
          <t>incoming_payment</t>
        </is>
      </c>
      <c r="I173" s="3" t="n">
        <v>855.0</v>
      </c>
      <c r="J173" t="inlineStr">
        <is>
          <t>Tenant Payment - Nirmali Gedara and Janith Hetti Arachchilage - Flat 18 - 3 West Gate (Tenant ID: rp19gkVoJA, Deposit: YTP31)</t>
        </is>
      </c>
      <c r="K173" t="inlineStr">
        <is>
          <t/>
        </is>
      </c>
    </row>
    <row r="174">
      <c r="A174" t="n">
        <v>599.0</v>
      </c>
      <c r="B174" s="2" t="n">
        <v>45891.0</v>
      </c>
      <c r="C174" t="n">
        <v>18.0</v>
      </c>
      <c r="D174" t="n">
        <v>2.0</v>
      </c>
      <c r="E174" t="inlineStr">
        <is>
          <t>Flat 16 - 3 West Gate</t>
        </is>
      </c>
      <c r="F174" t="n">
        <v>33.0</v>
      </c>
      <c r="G174" t="inlineStr">
        <is>
          <t>Rent</t>
        </is>
      </c>
      <c r="H174" t="inlineStr">
        <is>
          <t>incoming_payment</t>
        </is>
      </c>
      <c r="I174" s="3" t="n">
        <v>583.89</v>
      </c>
      <c r="J174" t="inlineStr">
        <is>
          <t>Tenant Payment - Mr Riley Paul Beresford, Ms Gina Louise Judge - Flat 16 - 3 West Gate (Tenant ID: RwXxk0nWJA, Deposit: YTP19)</t>
        </is>
      </c>
      <c r="K174" t="inlineStr">
        <is>
          <t/>
        </is>
      </c>
    </row>
    <row r="175">
      <c r="A175" t="n">
        <v>168.0</v>
      </c>
      <c r="B175" s="2" t="n">
        <v>45895.0</v>
      </c>
      <c r="C175" t="n">
        <v>16.0</v>
      </c>
      <c r="D175" t="n">
        <v>24.0</v>
      </c>
      <c r="E175" t="inlineStr">
        <is>
          <t>Flat 14 - 3 West Gate</t>
        </is>
      </c>
      <c r="F175" t="n">
        <v>24.0</v>
      </c>
      <c r="G175" t="inlineStr">
        <is>
          <t>rent</t>
        </is>
      </c>
      <c r="H175" t="inlineStr">
        <is>
          <t>rent_received</t>
        </is>
      </c>
      <c r="I175" s="3" t="n">
        <v>795.0</v>
      </c>
      <c r="J175" t="inlineStr">
        <is>
          <t>Rent for flat 14 boden</t>
        </is>
      </c>
      <c r="K175" t="inlineStr">
        <is>
          <t/>
        </is>
      </c>
    </row>
    <row r="176">
      <c r="A176" t="n">
        <v>169.0</v>
      </c>
      <c r="B176" s="2" t="n">
        <v>45897.0</v>
      </c>
      <c r="C176" t="n">
        <v>29.0</v>
      </c>
      <c r="D176" t="n">
        <v>32.0</v>
      </c>
      <c r="E176" t="inlineStr">
        <is>
          <t>Flat 26 - 3 West Gate</t>
        </is>
      </c>
      <c r="F176" t="n">
        <v>2.0</v>
      </c>
      <c r="G176" t="inlineStr">
        <is>
          <t>rent</t>
        </is>
      </c>
      <c r="H176" t="inlineStr">
        <is>
          <t>rent_received</t>
        </is>
      </c>
      <c r="I176" s="3" t="n">
        <v>675.0</v>
      </c>
      <c r="J176" t="inlineStr">
        <is>
          <t>Rent for flat 26 boden</t>
        </is>
      </c>
      <c r="K176" t="inlineStr">
        <is>
          <t/>
        </is>
      </c>
    </row>
    <row r="177">
      <c r="A177" t="n">
        <v>170.0</v>
      </c>
      <c r="B177" s="2" t="n">
        <v>45899.0</v>
      </c>
      <c r="C177" t="n">
        <v>31.0</v>
      </c>
      <c r="D177" t="n">
        <v>15.0</v>
      </c>
      <c r="E177" t="inlineStr">
        <is>
          <t>Flat 28 - 3 West Gate</t>
        </is>
      </c>
      <c r="F177" t="n">
        <v>38.0</v>
      </c>
      <c r="G177" t="inlineStr">
        <is>
          <t>rent</t>
        </is>
      </c>
      <c r="H177" t="inlineStr">
        <is>
          <t>rent_received</t>
        </is>
      </c>
      <c r="I177" s="3" t="n">
        <v>740.0</v>
      </c>
      <c r="J177" t="inlineStr">
        <is>
          <t>Rent for flat 28 boden</t>
        </is>
      </c>
      <c r="K177" t="inlineStr">
        <is>
          <t/>
        </is>
      </c>
    </row>
    <row r="178">
      <c r="A178" t="n">
        <v>166.0</v>
      </c>
      <c r="B178" s="2" t="n">
        <v>45902.0</v>
      </c>
      <c r="C178" t="n">
        <v>2.0</v>
      </c>
      <c r="D178" t="n">
        <v>23.0</v>
      </c>
      <c r="E178" t="inlineStr">
        <is>
          <t>Flat 2 - 3 West Gate</t>
        </is>
      </c>
      <c r="F178" t="n">
        <v>23.0</v>
      </c>
      <c r="G178" t="inlineStr">
        <is>
          <t>rent</t>
        </is>
      </c>
      <c r="H178" t="inlineStr">
        <is>
          <t>rent_received</t>
        </is>
      </c>
      <c r="I178" s="3" t="n">
        <v>740.0</v>
      </c>
      <c r="J178" t="inlineStr">
        <is>
          <t>Rent for flat 2 boden</t>
        </is>
      </c>
      <c r="K178" t="inlineStr">
        <is>
          <t/>
        </is>
      </c>
    </row>
    <row r="179">
      <c r="A179" t="n">
        <v>600.0</v>
      </c>
      <c r="B179" s="2" t="n">
        <v>45902.0</v>
      </c>
      <c r="C179" t="n">
        <v>12.0</v>
      </c>
      <c r="D179" t="n">
        <v>17.0</v>
      </c>
      <c r="E179" t="inlineStr">
        <is>
          <t>Flat 11 - 3 West Gate</t>
        </is>
      </c>
      <c r="F179" t="n">
        <v>17.0</v>
      </c>
      <c r="G179" t="inlineStr">
        <is>
          <t>Rent</t>
        </is>
      </c>
      <c r="H179" t="inlineStr">
        <is>
          <t>incoming_payment</t>
        </is>
      </c>
      <c r="I179" s="3" t="n">
        <v>795.0</v>
      </c>
      <c r="J179" t="inlineStr">
        <is>
          <t>Tenant Payment - Mr Richard Perrotta - Flat 11 - 3 West Gate (Tenant ID: GvJDKLmVZz, Deposit: YTP18)</t>
        </is>
      </c>
      <c r="K179" t="inlineStr">
        <is>
          <t/>
        </is>
      </c>
    </row>
    <row r="180">
      <c r="A180" t="n">
        <v>601.0</v>
      </c>
      <c r="B180" s="2" t="n">
        <v>45902.0</v>
      </c>
      <c r="C180" t="n">
        <v>32.0</v>
      </c>
      <c r="D180" t="n">
        <v>11.0</v>
      </c>
      <c r="E180" t="inlineStr">
        <is>
          <t>Flat 29 - 3 West Gate</t>
        </is>
      </c>
      <c r="F180" t="n">
        <v>35.0</v>
      </c>
      <c r="G180" t="inlineStr">
        <is>
          <t>Rent</t>
        </is>
      </c>
      <c r="H180" t="inlineStr">
        <is>
          <t>incoming_payment</t>
        </is>
      </c>
      <c r="I180" s="3" t="n">
        <v>740.0</v>
      </c>
      <c r="J180" t="inlineStr">
        <is>
          <t>Tenant Payment - Mrs Margaret Fritchley - Flat 29 - 3 West Gate (Tenant ID: v2XljeLxZe, Deposit: YTP23)</t>
        </is>
      </c>
      <c r="K180" t="inlineStr">
        <is>
          <t/>
        </is>
      </c>
    </row>
    <row r="181">
      <c r="A181" t="n">
        <v>603.0</v>
      </c>
      <c r="B181" s="2" t="n">
        <v>45902.0</v>
      </c>
      <c r="C181" t="n">
        <v>26.0</v>
      </c>
      <c r="D181" t="n">
        <v>14.0</v>
      </c>
      <c r="E181" t="inlineStr">
        <is>
          <t>Flat 22 - 3 West Gate</t>
        </is>
      </c>
      <c r="F181" t="n">
        <v>9.0</v>
      </c>
      <c r="G181" t="inlineStr">
        <is>
          <t>Rent</t>
        </is>
      </c>
      <c r="H181" t="inlineStr">
        <is>
          <t>incoming_payment</t>
        </is>
      </c>
      <c r="I181" s="3" t="n">
        <v>740.0</v>
      </c>
      <c r="J181" t="inlineStr">
        <is>
          <t>Tenant Payment - Mr Brian Lowe - Flat 22 - 3 West Gate (Tenant ID: 90JYRLmPXo, Deposit: YTP5)</t>
        </is>
      </c>
      <c r="K181" t="inlineStr">
        <is>
          <t/>
        </is>
      </c>
    </row>
    <row r="182">
      <c r="A182" t="n">
        <v>605.0</v>
      </c>
      <c r="B182" s="2" t="n">
        <v>45902.0</v>
      </c>
      <c r="C182" t="n">
        <v>30.0</v>
      </c>
      <c r="D182" t="n">
        <v>27.0</v>
      </c>
      <c r="E182" t="inlineStr">
        <is>
          <t>Flat 27 - 3 West Gate</t>
        </is>
      </c>
      <c r="F182" t="n">
        <v>32.0</v>
      </c>
      <c r="G182" t="inlineStr">
        <is>
          <t>Rent</t>
        </is>
      </c>
      <c r="H182" t="inlineStr">
        <is>
          <t>incoming_payment</t>
        </is>
      </c>
      <c r="I182" s="3" t="n">
        <v>700.0</v>
      </c>
      <c r="J182" t="inlineStr">
        <is>
          <t>Tenant Payment - Miss Sophie Murray - Flat 27 - 3 West Gate (Tenant ID: rp19gojwJA, Deposit: YTP3)</t>
        </is>
      </c>
      <c r="K182" t="inlineStr">
        <is>
          <t/>
        </is>
      </c>
    </row>
    <row r="183">
      <c r="A183" t="n">
        <v>606.0</v>
      </c>
      <c r="B183" s="2" t="n">
        <v>45902.0</v>
      </c>
      <c r="C183" t="n">
        <v>9.0</v>
      </c>
      <c r="D183" t="n">
        <v>6.0</v>
      </c>
      <c r="E183" t="inlineStr">
        <is>
          <t>Flat 9 - 3 West Gate</t>
        </is>
      </c>
      <c r="F183" t="n">
        <v>26.0</v>
      </c>
      <c r="G183" t="inlineStr">
        <is>
          <t>Rent</t>
        </is>
      </c>
      <c r="H183" t="inlineStr">
        <is>
          <t>incoming_payment</t>
        </is>
      </c>
      <c r="I183" s="3" t="n">
        <v>700.0</v>
      </c>
      <c r="J183" t="inlineStr">
        <is>
          <t>Tenant Payment - Mr Scott Warner - Flat 9 - 3 West Gate (Tenant ID: mn184gvb19, Deposit: YTP20)</t>
        </is>
      </c>
      <c r="K183" t="inlineStr">
        <is>
          <t/>
        </is>
      </c>
    </row>
    <row r="184">
      <c r="A184" t="n">
        <v>607.0</v>
      </c>
      <c r="B184" s="2" t="n">
        <v>45902.0</v>
      </c>
      <c r="C184" t="n">
        <v>6.0</v>
      </c>
      <c r="D184" t="n">
        <v>1.0</v>
      </c>
      <c r="E184" t="inlineStr">
        <is>
          <t>Flat 6 - 3 West Gate</t>
        </is>
      </c>
      <c r="F184" t="n">
        <v>34.0</v>
      </c>
      <c r="G184" t="inlineStr">
        <is>
          <t>Rent</t>
        </is>
      </c>
      <c r="H184" t="inlineStr">
        <is>
          <t>incoming_payment</t>
        </is>
      </c>
      <c r="I184" s="3" t="n">
        <v>740.0</v>
      </c>
      <c r="J184" t="inlineStr">
        <is>
          <t>Tenant Payment - Miss Shelley Lees - Flat 6 - 3 West Gate (Tenant ID: v0Zo3zLVZD, Deposit: YTP2)</t>
        </is>
      </c>
      <c r="K184" t="inlineStr">
        <is>
          <t/>
        </is>
      </c>
    </row>
    <row r="185">
      <c r="A185" t="n">
        <v>608.0</v>
      </c>
      <c r="B185" s="2" t="n">
        <v>45902.0</v>
      </c>
      <c r="C185" t="n">
        <v>24.0</v>
      </c>
      <c r="D185" t="n">
        <v>39.0</v>
      </c>
      <c r="E185" t="inlineStr">
        <is>
          <t>Flat 20 - 3 West Gate</t>
        </is>
      </c>
      <c r="F185" t="n">
        <v>22.0</v>
      </c>
      <c r="G185" t="inlineStr">
        <is>
          <t>Rent</t>
        </is>
      </c>
      <c r="H185" t="inlineStr">
        <is>
          <t>incoming_payment</t>
        </is>
      </c>
      <c r="I185" s="3" t="n">
        <v>700.0</v>
      </c>
      <c r="J185" t="inlineStr">
        <is>
          <t>Tenant Payment - Mr James Kay - Flat 20 - 3 West Gate (Tenant ID: lMZnW5L6J7, Deposit: YTP11)</t>
        </is>
      </c>
      <c r="K185" t="inlineStr">
        <is>
          <t/>
        </is>
      </c>
    </row>
    <row r="186">
      <c r="A186" t="n">
        <v>165.0</v>
      </c>
      <c r="B186" s="2" t="n">
        <v>45904.0</v>
      </c>
      <c r="C186" t="n">
        <v>1.0</v>
      </c>
      <c r="D186" t="n">
        <v>22.0</v>
      </c>
      <c r="E186" t="inlineStr">
        <is>
          <t>Flat 1 - 3 West Gate</t>
        </is>
      </c>
      <c r="F186" t="n">
        <v>10.0</v>
      </c>
      <c r="G186" t="inlineStr">
        <is>
          <t>rent</t>
        </is>
      </c>
      <c r="H186" t="inlineStr">
        <is>
          <t>rent_received</t>
        </is>
      </c>
      <c r="I186" s="3" t="n">
        <v>795.0</v>
      </c>
      <c r="J186" t="inlineStr">
        <is>
          <t>Rent for flat 1 boden</t>
        </is>
      </c>
      <c r="K186" t="inlineStr">
        <is>
          <t/>
        </is>
      </c>
    </row>
    <row r="187">
      <c r="A187" t="n">
        <v>609.0</v>
      </c>
      <c r="B187" s="2" t="n">
        <v>45909.0</v>
      </c>
      <c r="C187" t="n">
        <v>4.0</v>
      </c>
      <c r="D187" t="n">
        <v>30.0</v>
      </c>
      <c r="E187" t="inlineStr">
        <is>
          <t>Flat 4 - 3 West Gate</t>
        </is>
      </c>
      <c r="F187" t="n">
        <v>6.0</v>
      </c>
      <c r="G187" t="inlineStr">
        <is>
          <t>Rent</t>
        </is>
      </c>
      <c r="H187" t="inlineStr">
        <is>
          <t>incoming_payment</t>
        </is>
      </c>
      <c r="I187" s="3" t="n">
        <v>855.0</v>
      </c>
      <c r="J187" t="inlineStr">
        <is>
          <t>Tenant Payment - Miss Megan Delaney, Mr Joseph Williams - Flat 4 - 3 West Gate (Tenant ID: 8b1gv7LNXG, Deposit: YTP1)</t>
        </is>
      </c>
      <c r="K187" t="inlineStr">
        <is>
          <t/>
        </is>
      </c>
    </row>
    <row r="188">
      <c r="A188" t="n">
        <v>610.0</v>
      </c>
      <c r="B188" s="2" t="n">
        <v>45909.0</v>
      </c>
      <c r="C188" t="n">
        <v>15.0</v>
      </c>
      <c r="D188" t="n">
        <v>25.0</v>
      </c>
      <c r="E188" t="inlineStr">
        <is>
          <t>Flat 13 - 3 West Gate</t>
        </is>
      </c>
      <c r="F188" t="n">
        <v>18.0</v>
      </c>
      <c r="G188" t="inlineStr">
        <is>
          <t>Rent</t>
        </is>
      </c>
      <c r="H188" t="inlineStr">
        <is>
          <t>incoming_payment</t>
        </is>
      </c>
      <c r="I188" s="3" t="n">
        <v>800.0</v>
      </c>
      <c r="J188" t="inlineStr">
        <is>
          <t>Tenant Payment - Mr Nathan Holland - Flat 13 - 3 West Gate (Tenant ID: GVJjWNLLXE, Deposit: YTP16)</t>
        </is>
      </c>
      <c r="K188" t="inlineStr">
        <is>
          <t/>
        </is>
      </c>
    </row>
    <row r="189">
      <c r="A189" t="n">
        <v>611.0</v>
      </c>
      <c r="B189" s="2" t="n">
        <v>45909.0</v>
      </c>
      <c r="C189" t="n">
        <v>8.0</v>
      </c>
      <c r="D189" t="n">
        <v>40.0</v>
      </c>
      <c r="E189" t="inlineStr">
        <is>
          <t>Flat 8 - 3 West Gate</t>
        </is>
      </c>
      <c r="F189" t="n">
        <v>7.0</v>
      </c>
      <c r="G189" t="inlineStr">
        <is>
          <t>Rent</t>
        </is>
      </c>
      <c r="H189" t="inlineStr">
        <is>
          <t>incoming_payment</t>
        </is>
      </c>
      <c r="I189" s="3" t="n">
        <v>735.0</v>
      </c>
      <c r="J189" t="inlineStr">
        <is>
          <t>Tenant Payment - Mr Shermal Wijesinghage, Mrs Udeshika Dona - Flat 8 - 3 West Gate (Tenant ID: 8EJA83o9Zj, Deposit: YTP21)</t>
        </is>
      </c>
      <c r="K189" t="inlineStr">
        <is>
          <t/>
        </is>
      </c>
    </row>
    <row r="190">
      <c r="A190" t="n">
        <v>171.0</v>
      </c>
      <c r="B190" s="2" t="n">
        <v>45910.0</v>
      </c>
      <c r="C190" t="n">
        <v>33.0</v>
      </c>
      <c r="D190" t="n">
        <v>10.0</v>
      </c>
      <c r="E190" t="inlineStr">
        <is>
          <t>Flat 30 - 3 West Gate</t>
        </is>
      </c>
      <c r="F190" t="n">
        <v>30.0</v>
      </c>
      <c r="G190" t="inlineStr">
        <is>
          <t>rent</t>
        </is>
      </c>
      <c r="H190" t="inlineStr">
        <is>
          <t>rent_received</t>
        </is>
      </c>
      <c r="I190" s="3" t="n">
        <v>740.0</v>
      </c>
      <c r="J190" t="inlineStr">
        <is>
          <t>Rent for flat 30 boden</t>
        </is>
      </c>
      <c r="K190" t="inlineStr">
        <is>
          <t/>
        </is>
      </c>
    </row>
    <row r="191">
      <c r="A191" t="n">
        <v>613.0</v>
      </c>
      <c r="B191" s="2" t="n">
        <v>45911.0</v>
      </c>
      <c r="C191" t="n">
        <v>27.0</v>
      </c>
      <c r="D191" t="n">
        <v>29.0</v>
      </c>
      <c r="E191" t="inlineStr">
        <is>
          <t>Flat 23 - 3 West Gate</t>
        </is>
      </c>
      <c r="F191" t="n">
        <v>29.0</v>
      </c>
      <c r="G191" t="inlineStr">
        <is>
          <t>Rent</t>
        </is>
      </c>
      <c r="H191" t="inlineStr">
        <is>
          <t>incoming_payment</t>
        </is>
      </c>
      <c r="I191" s="3" t="n">
        <v>795.0</v>
      </c>
      <c r="J191" t="inlineStr">
        <is>
          <t>Tenant Payment - Mark Tennick - Flat 23 - 3 West Gate (Tenant ID: qv1pmBppZd, Deposit: YTP33)</t>
        </is>
      </c>
      <c r="K191" t="inlineStr">
        <is>
          <t/>
        </is>
      </c>
    </row>
    <row r="192">
      <c r="A192" t="n">
        <v>614.0</v>
      </c>
      <c r="B192" s="2" t="n">
        <v>45911.0</v>
      </c>
      <c r="C192" t="n">
        <v>10.0</v>
      </c>
      <c r="D192" t="n">
        <v>7.0</v>
      </c>
      <c r="E192" t="inlineStr">
        <is>
          <t>Flat 10 - 3 West Gate</t>
        </is>
      </c>
      <c r="F192" t="n">
        <v>11.0</v>
      </c>
      <c r="G192" t="inlineStr">
        <is>
          <t>Rent</t>
        </is>
      </c>
      <c r="H192" t="inlineStr">
        <is>
          <t>incoming_payment</t>
        </is>
      </c>
      <c r="I192" s="3" t="n">
        <v>483.2</v>
      </c>
      <c r="J192" t="inlineStr">
        <is>
          <t>Tenant Payment - Mr Ferenc Peter - Flat 10 - 3 West Gate (Tenant ID: aLJMELajJq, Deposit: YTP9)</t>
        </is>
      </c>
      <c r="K192" t="inlineStr">
        <is>
          <t/>
        </is>
      </c>
    </row>
    <row r="193">
      <c r="A193" t="n">
        <v>615.0</v>
      </c>
      <c r="B193" s="2" t="n">
        <v>45911.0</v>
      </c>
      <c r="C193" t="n">
        <v>11.0</v>
      </c>
      <c r="D193" t="n">
        <v>7.0</v>
      </c>
      <c r="E193" t="inlineStr">
        <is>
          <t>Flat 10 - 3 West Gate</t>
        </is>
      </c>
      <c r="F193" t="n">
        <v>37.0</v>
      </c>
      <c r="G193" t="inlineStr">
        <is>
          <t>Rent</t>
        </is>
      </c>
      <c r="H193" t="inlineStr">
        <is>
          <t>incoming_payment</t>
        </is>
      </c>
      <c r="I193" s="3" t="n">
        <v>795.0</v>
      </c>
      <c r="J193" t="inlineStr">
        <is>
          <t>Tenant Payment - Anna Stoliarchuk and Octavian Nagalisov - Flat 10 - 3 West Gate (Tenant ID: z2JkaRAN1b, Deposit: YTP35)</t>
        </is>
      </c>
      <c r="K193" t="inlineStr">
        <is>
          <t/>
        </is>
      </c>
    </row>
    <row r="194">
      <c r="A194" t="n">
        <v>616.0</v>
      </c>
      <c r="B194" s="2" t="n">
        <v>45911.0</v>
      </c>
      <c r="C194" t="n">
        <v>21.0</v>
      </c>
      <c r="D194" t="n">
        <v>33.0</v>
      </c>
      <c r="E194" t="inlineStr">
        <is>
          <t>Flat 18 - 3 West Gate</t>
        </is>
      </c>
      <c r="F194" t="n">
        <v>31.0</v>
      </c>
      <c r="G194" t="inlineStr">
        <is>
          <t>Rent</t>
        </is>
      </c>
      <c r="H194" t="inlineStr">
        <is>
          <t>incoming_payment</t>
        </is>
      </c>
      <c r="I194" s="3" t="n">
        <v>855.0</v>
      </c>
      <c r="J194" t="inlineStr">
        <is>
          <t>Tenant Payment - Nirmali Gedara and Janith Hetti Arachchilage - Flat 18 - 3 West Gate (Tenant ID: rp19gkVoJA, Deposit: YTP31)</t>
        </is>
      </c>
      <c r="K194" t="inlineStr">
        <is>
          <t/>
        </is>
      </c>
    </row>
    <row r="195">
      <c r="A195" t="n">
        <v>167.0</v>
      </c>
      <c r="B195" s="2" t="n">
        <v>45915.0</v>
      </c>
      <c r="C195" t="n">
        <v>3.0</v>
      </c>
      <c r="D195" t="n">
        <v>42.0</v>
      </c>
      <c r="E195" t="inlineStr">
        <is>
          <t>Flat 3 - 3 West Gate</t>
        </is>
      </c>
      <c r="F195" t="n">
        <v>4.0</v>
      </c>
      <c r="G195" t="inlineStr">
        <is>
          <t>rent</t>
        </is>
      </c>
      <c r="H195" t="inlineStr">
        <is>
          <t>rent_received</t>
        </is>
      </c>
      <c r="I195" s="3" t="n">
        <v>740.0</v>
      </c>
      <c r="J195" t="inlineStr">
        <is>
          <t>Rent for flat 3 boden</t>
        </is>
      </c>
      <c r="K195" t="inlineStr">
        <is>
          <t/>
        </is>
      </c>
    </row>
    <row r="196">
      <c r="A196" t="n">
        <v>617.0</v>
      </c>
      <c r="B196" s="2" t="n">
        <v>45915.0</v>
      </c>
      <c r="C196" t="n">
        <v>25.0</v>
      </c>
      <c r="D196" t="n">
        <v>31.0</v>
      </c>
      <c r="E196" t="inlineStr">
        <is>
          <t>Flat 21 - 3 West Gate</t>
        </is>
      </c>
      <c r="F196" t="n">
        <v>12.0</v>
      </c>
      <c r="G196" t="inlineStr">
        <is>
          <t>Rent</t>
        </is>
      </c>
      <c r="H196" t="inlineStr">
        <is>
          <t>incoming_payment</t>
        </is>
      </c>
      <c r="I196" s="3" t="n">
        <v>795.0</v>
      </c>
      <c r="J196" t="inlineStr">
        <is>
          <t>Tenant Payment - Mr Felwin Francis - Flat 21 - 3 West Gate (Tenant ID: B6XKzLmzJW, Deposit: YTP8)</t>
        </is>
      </c>
      <c r="K196" t="inlineStr">
        <is>
          <t/>
        </is>
      </c>
    </row>
    <row r="197">
      <c r="A197" t="n">
        <v>618.0</v>
      </c>
      <c r="B197" s="2" t="n">
        <v>45919.0</v>
      </c>
      <c r="C197" t="n">
        <v>5.0</v>
      </c>
      <c r="D197" t="n">
        <v>21.0</v>
      </c>
      <c r="E197" t="inlineStr">
        <is>
          <t>Flat 5 - 3 West Gate</t>
        </is>
      </c>
      <c r="F197" t="n">
        <v>28.0</v>
      </c>
      <c r="G197" t="inlineStr">
        <is>
          <t>Rent</t>
        </is>
      </c>
      <c r="H197" t="inlineStr">
        <is>
          <t>incoming_payment</t>
        </is>
      </c>
      <c r="I197" s="3" t="n">
        <v>740.0</v>
      </c>
      <c r="J197" t="inlineStr">
        <is>
          <t>Tenant Payment - Mr Amos Blyth - Flat 5 - 3 West Gate (Tenant ID: qv1pdwLB1d, Deposit: YTP4)</t>
        </is>
      </c>
      <c r="K197" t="inlineStr">
        <is>
          <t/>
        </is>
      </c>
    </row>
    <row r="198">
      <c r="A198" t="n">
        <v>619.0</v>
      </c>
      <c r="B198" s="2" t="n">
        <v>45919.0</v>
      </c>
      <c r="C198" t="n">
        <v>17.0</v>
      </c>
      <c r="D198" t="n">
        <v>44.0</v>
      </c>
      <c r="E198" t="inlineStr">
        <is>
          <t>Flat 15 - 3 West Gate</t>
        </is>
      </c>
      <c r="F198" t="n">
        <v>36.0</v>
      </c>
      <c r="G198" t="inlineStr">
        <is>
          <t>Rent</t>
        </is>
      </c>
      <c r="H198" t="inlineStr">
        <is>
          <t>incoming_payment</t>
        </is>
      </c>
      <c r="I198" s="3" t="n">
        <v>740.0</v>
      </c>
      <c r="J198" t="inlineStr">
        <is>
          <t>Tenant Payment - Ms Lucy Cassell - Flat 15 - 3 West Gate (Tenant ID: WzJBEL9RZQ, Deposit: YTP24)</t>
        </is>
      </c>
      <c r="K198" t="inlineStr">
        <is>
          <t/>
        </is>
      </c>
    </row>
    <row r="199">
      <c r="A199" t="n">
        <v>620.0</v>
      </c>
      <c r="B199" s="2" t="n">
        <v>45919.0</v>
      </c>
      <c r="C199" t="n">
        <v>28.0</v>
      </c>
      <c r="D199" t="n">
        <v>37.0</v>
      </c>
      <c r="E199" t="inlineStr">
        <is>
          <t>Flat 24 - 3 West Gate</t>
        </is>
      </c>
      <c r="F199" t="n">
        <v>16.0</v>
      </c>
      <c r="G199" t="inlineStr">
        <is>
          <t>Rent</t>
        </is>
      </c>
      <c r="H199" t="inlineStr">
        <is>
          <t>incoming_payment</t>
        </is>
      </c>
      <c r="I199" s="3" t="n">
        <v>810.0</v>
      </c>
      <c r="J199" t="inlineStr">
        <is>
          <t>Tenant Payment - Mr Ethan Maloney, Miss Soraya Fearon - Flat 24 - 3 West Gate (Tenant ID: ge1aWLDpJE, Deposit: YTP7)</t>
        </is>
      </c>
      <c r="K199" t="inlineStr">
        <is>
          <t/>
        </is>
      </c>
    </row>
    <row r="200">
      <c r="A200" t="n">
        <v>621.0</v>
      </c>
      <c r="B200" s="2" t="n">
        <v>45922.0</v>
      </c>
      <c r="C200" t="n">
        <v>36.0</v>
      </c>
      <c r="D200" t="n">
        <v>16.0</v>
      </c>
      <c r="E200" t="inlineStr">
        <is>
          <t>Apartment F - Knighton Hayes Manor</t>
        </is>
      </c>
      <c r="F200" t="n">
        <v>13.0</v>
      </c>
      <c r="G200" t="inlineStr">
        <is>
          <t>Rent</t>
        </is>
      </c>
      <c r="H200" t="inlineStr">
        <is>
          <t>incoming_payment</t>
        </is>
      </c>
      <c r="I200" s="3" t="n">
        <v>1125.0</v>
      </c>
      <c r="J200" t="inlineStr">
        <is>
          <t>Tenant Payment - Mr Riaz Hamid, Ismat Tarr-Hamid - Apartment F - Knighton Hayes Manor (Tenant ID: D6JmW6jr1v, Deposit: YTP17)</t>
        </is>
      </c>
      <c r="K200" t="inlineStr">
        <is>
          <t/>
        </is>
      </c>
    </row>
    <row r="201">
      <c r="A201" t="n">
        <v>622.0</v>
      </c>
      <c r="B201" s="2" t="n">
        <v>45922.0</v>
      </c>
      <c r="C201" t="n">
        <v>19.0</v>
      </c>
      <c r="D201" t="n">
        <v>5.0</v>
      </c>
      <c r="E201" t="inlineStr">
        <is>
          <t>Flat 17 - 3 West Gate</t>
        </is>
      </c>
      <c r="F201" t="n">
        <v>3.0</v>
      </c>
      <c r="G201" t="inlineStr">
        <is>
          <t>Rent</t>
        </is>
      </c>
      <c r="H201" t="inlineStr">
        <is>
          <t>incoming_payment</t>
        </is>
      </c>
      <c r="I201" s="3" t="n">
        <v>700.0</v>
      </c>
      <c r="J201" t="inlineStr">
        <is>
          <t>Tenant Payment - Mr Harsh Patel - Flat 17 - 3 West Gate (Tenant ID: 7nZ3YqvrXN, Deposit: YTP10)</t>
        </is>
      </c>
      <c r="K201" t="inlineStr">
        <is>
          <t/>
        </is>
      </c>
    </row>
    <row r="202">
      <c r="A202" t="n">
        <v>623.0</v>
      </c>
      <c r="B202" s="2" t="n">
        <v>45922.0</v>
      </c>
      <c r="C202" t="n">
        <v>27.0</v>
      </c>
      <c r="D202" t="n">
        <v>29.0</v>
      </c>
      <c r="E202" t="inlineStr">
        <is>
          <t>Flat 23 - 3 West Gate</t>
        </is>
      </c>
      <c r="F202" t="n">
        <v>29.0</v>
      </c>
      <c r="G202" t="inlineStr">
        <is>
          <t>Rent</t>
        </is>
      </c>
      <c r="H202" t="inlineStr">
        <is>
          <t>incoming_payment</t>
        </is>
      </c>
      <c r="I202" s="3" t="n">
        <v>795.0</v>
      </c>
      <c r="J202" t="inlineStr">
        <is>
          <t>Tenant Payment - Mark Tennick - Flat 23 - 3 West Gate (Tenant ID: qv1pmBppZd, Deposit: YTP33)</t>
        </is>
      </c>
      <c r="K202" t="inlineStr">
        <is>
          <t/>
        </is>
      </c>
    </row>
    <row r="203">
      <c r="A203" t="n">
        <v>183.0</v>
      </c>
      <c r="B203" s="2" t="n">
        <v>45926.0</v>
      </c>
      <c r="C203" t="n">
        <v>16.0</v>
      </c>
      <c r="D203" t="n">
        <v>24.0</v>
      </c>
      <c r="E203" t="inlineStr">
        <is>
          <t>Flat 14 - 3 West Gate</t>
        </is>
      </c>
      <c r="F203" t="n">
        <v>24.0</v>
      </c>
      <c r="G203" t="inlineStr">
        <is>
          <t>rent</t>
        </is>
      </c>
      <c r="H203" t="inlineStr">
        <is>
          <t>rent_received</t>
        </is>
      </c>
      <c r="I203" s="3" t="n">
        <v>795.0</v>
      </c>
      <c r="J203" t="inlineStr">
        <is>
          <t>Rent for flat 14 boden</t>
        </is>
      </c>
      <c r="K203" t="inlineStr">
        <is>
          <t/>
        </is>
      </c>
    </row>
    <row r="204">
      <c r="A204" t="n">
        <v>186.0</v>
      </c>
      <c r="B204" s="2" t="n">
        <v>45929.0</v>
      </c>
      <c r="C204" t="n">
        <v>29.0</v>
      </c>
      <c r="D204" t="n">
        <v>32.0</v>
      </c>
      <c r="E204" t="inlineStr">
        <is>
          <t>Flat 26 - 3 West Gate</t>
        </is>
      </c>
      <c r="F204" t="n">
        <v>2.0</v>
      </c>
      <c r="G204" t="inlineStr">
        <is>
          <t>rent</t>
        </is>
      </c>
      <c r="H204" t="inlineStr">
        <is>
          <t>rent_received</t>
        </is>
      </c>
      <c r="I204" s="3" t="n">
        <v>675.0</v>
      </c>
      <c r="J204" t="inlineStr">
        <is>
          <t>Rent for flat 26 boden</t>
        </is>
      </c>
      <c r="K204" t="inlineStr">
        <is>
          <t/>
        </is>
      </c>
    </row>
    <row r="205">
      <c r="A205" t="n">
        <v>177.0</v>
      </c>
      <c r="B205" s="2" t="n">
        <v>45932.0</v>
      </c>
      <c r="C205" t="n">
        <v>2.0</v>
      </c>
      <c r="D205" t="n">
        <v>23.0</v>
      </c>
      <c r="E205" t="inlineStr">
        <is>
          <t>Flat 2 - 3 West Gate</t>
        </is>
      </c>
      <c r="F205" t="n">
        <v>23.0</v>
      </c>
      <c r="G205" t="inlineStr">
        <is>
          <t>rent</t>
        </is>
      </c>
      <c r="H205" t="inlineStr">
        <is>
          <t>rent_received</t>
        </is>
      </c>
      <c r="I205" s="3" t="n">
        <v>740.0</v>
      </c>
      <c r="J205" t="inlineStr">
        <is>
          <t>Rent for flat 2 boden</t>
        </is>
      </c>
      <c r="K205" t="inlineStr">
        <is>
          <t/>
        </is>
      </c>
    </row>
    <row r="206">
      <c r="A206" t="n">
        <v>179.0</v>
      </c>
      <c r="B206" s="2" t="n">
        <v>45936.0</v>
      </c>
      <c r="C206" t="n">
        <v>1.0</v>
      </c>
      <c r="D206" t="n">
        <v>22.0</v>
      </c>
      <c r="E206" t="inlineStr">
        <is>
          <t>Flat 1 - 3 West Gate</t>
        </is>
      </c>
      <c r="F206" t="n">
        <v>10.0</v>
      </c>
      <c r="G206" t="inlineStr">
        <is>
          <t>rent</t>
        </is>
      </c>
      <c r="H206" t="inlineStr">
        <is>
          <t>rent_received</t>
        </is>
      </c>
      <c r="I206" s="3" t="n">
        <v>795.0</v>
      </c>
      <c r="J206" t="inlineStr">
        <is>
          <t>Rent for flat 1 boden</t>
        </is>
      </c>
      <c r="K206" t="inlineStr">
        <is>
          <t/>
        </is>
      </c>
    </row>
    <row r="207">
      <c r="A207" t="n">
        <v>624.0</v>
      </c>
      <c r="B207" s="2" t="n">
        <v>45936.0</v>
      </c>
      <c r="C207" t="n">
        <v>26.0</v>
      </c>
      <c r="D207" t="n">
        <v>14.0</v>
      </c>
      <c r="E207" t="inlineStr">
        <is>
          <t>Flat 22 - 3 West Gate</t>
        </is>
      </c>
      <c r="F207" t="n">
        <v>9.0</v>
      </c>
      <c r="G207" t="inlineStr">
        <is>
          <t>Rent</t>
        </is>
      </c>
      <c r="H207" t="inlineStr">
        <is>
          <t>incoming_payment</t>
        </is>
      </c>
      <c r="I207" s="3" t="n">
        <v>740.0</v>
      </c>
      <c r="J207" t="inlineStr">
        <is>
          <t>Tenant Payment - Mr Brian Lowe - Flat 22 - 3 West Gate (Tenant ID: 90JYRLmPXo, Deposit: YTP5)</t>
        </is>
      </c>
      <c r="K207" t="inlineStr">
        <is>
          <t/>
        </is>
      </c>
    </row>
    <row r="208">
      <c r="A208" t="n">
        <v>625.0</v>
      </c>
      <c r="B208" s="2" t="n">
        <v>45936.0</v>
      </c>
      <c r="C208" t="n">
        <v>23.0</v>
      </c>
      <c r="D208" t="n">
        <v>43.0</v>
      </c>
      <c r="E208" t="inlineStr">
        <is>
          <t>Flat 19 - 3 West Gate</t>
        </is>
      </c>
      <c r="F208" t="n">
        <v>21.0</v>
      </c>
      <c r="G208" t="inlineStr">
        <is>
          <t>Rent</t>
        </is>
      </c>
      <c r="H208" t="inlineStr">
        <is>
          <t>incoming_payment</t>
        </is>
      </c>
      <c r="I208" s="3" t="n">
        <v>795.0</v>
      </c>
      <c r="J208" t="inlineStr">
        <is>
          <t>Tenant Payment - Charanya Kaliamoorthy - Flat 19 - 3 West Gate (Tenant ID: lMZnal7717, Deposit: YTP34)</t>
        </is>
      </c>
      <c r="K208" t="inlineStr">
        <is>
          <t/>
        </is>
      </c>
    </row>
    <row r="209">
      <c r="A209" t="n">
        <v>626.0</v>
      </c>
      <c r="B209" s="2" t="n">
        <v>45936.0</v>
      </c>
      <c r="C209" t="n">
        <v>23.0</v>
      </c>
      <c r="D209" t="n">
        <v>43.0</v>
      </c>
      <c r="E209" t="inlineStr">
        <is>
          <t>Flat 19 - 3 West Gate</t>
        </is>
      </c>
      <c r="F209" t="n">
        <v>21.0</v>
      </c>
      <c r="G209" t="inlineStr">
        <is>
          <t>Rent</t>
        </is>
      </c>
      <c r="H209" t="inlineStr">
        <is>
          <t>incoming_payment</t>
        </is>
      </c>
      <c r="I209" s="3" t="n">
        <v>795.0</v>
      </c>
      <c r="J209" t="inlineStr">
        <is>
          <t>Tenant Payment - Charanya Kaliamoorthy - Flat 19 - 3 West Gate (Tenant ID: lMZnal7717, Deposit: YTP34)</t>
        </is>
      </c>
      <c r="K209" t="inlineStr">
        <is>
          <t/>
        </is>
      </c>
    </row>
    <row r="210">
      <c r="A210" t="n">
        <v>627.0</v>
      </c>
      <c r="B210" s="2" t="n">
        <v>45936.0</v>
      </c>
      <c r="C210" t="n">
        <v>12.0</v>
      </c>
      <c r="D210" t="n">
        <v>17.0</v>
      </c>
      <c r="E210" t="inlineStr">
        <is>
          <t>Flat 11 - 3 West Gate</t>
        </is>
      </c>
      <c r="F210" t="n">
        <v>17.0</v>
      </c>
      <c r="G210" t="inlineStr">
        <is>
          <t>Rent</t>
        </is>
      </c>
      <c r="H210" t="inlineStr">
        <is>
          <t>incoming_payment</t>
        </is>
      </c>
      <c r="I210" s="3" t="n">
        <v>795.0</v>
      </c>
      <c r="J210" t="inlineStr">
        <is>
          <t>Tenant Payment - Mr Richard Perrotta - Flat 11 - 3 West Gate (Tenant ID: GvJDKLmVZz, Deposit: YTP18)</t>
        </is>
      </c>
      <c r="K210" t="inlineStr">
        <is>
          <t/>
        </is>
      </c>
    </row>
    <row r="211">
      <c r="A211" t="n">
        <v>628.0</v>
      </c>
      <c r="B211" s="2" t="n">
        <v>45936.0</v>
      </c>
      <c r="C211" t="n">
        <v>24.0</v>
      </c>
      <c r="D211" t="n">
        <v>39.0</v>
      </c>
      <c r="E211" t="inlineStr">
        <is>
          <t>Flat 20 - 3 West Gate</t>
        </is>
      </c>
      <c r="F211" t="n">
        <v>22.0</v>
      </c>
      <c r="G211" t="inlineStr">
        <is>
          <t>Rent</t>
        </is>
      </c>
      <c r="H211" t="inlineStr">
        <is>
          <t>incoming_payment</t>
        </is>
      </c>
      <c r="I211" s="3" t="n">
        <v>700.0</v>
      </c>
      <c r="J211" t="inlineStr">
        <is>
          <t>Tenant Payment - Mr James Kay - Flat 20 - 3 West Gate (Tenant ID: lMZnW5L6J7, Deposit: YTP11)</t>
        </is>
      </c>
      <c r="K211" t="inlineStr">
        <is>
          <t/>
        </is>
      </c>
    </row>
    <row r="212">
      <c r="A212" t="n">
        <v>629.0</v>
      </c>
      <c r="B212" s="2" t="n">
        <v>45936.0</v>
      </c>
      <c r="C212" t="n">
        <v>9.0</v>
      </c>
      <c r="D212" t="n">
        <v>6.0</v>
      </c>
      <c r="E212" t="inlineStr">
        <is>
          <t>Flat 9 - 3 West Gate</t>
        </is>
      </c>
      <c r="F212" t="n">
        <v>26.0</v>
      </c>
      <c r="G212" t="inlineStr">
        <is>
          <t>Rent</t>
        </is>
      </c>
      <c r="H212" t="inlineStr">
        <is>
          <t>incoming_payment</t>
        </is>
      </c>
      <c r="I212" s="3" t="n">
        <v>700.0</v>
      </c>
      <c r="J212" t="inlineStr">
        <is>
          <t>Tenant Payment - Mr Scott Warner - Flat 9 - 3 West Gate (Tenant ID: mn184gvb19, Deposit: YTP20)</t>
        </is>
      </c>
      <c r="K212" t="inlineStr">
        <is>
          <t/>
        </is>
      </c>
    </row>
    <row r="213">
      <c r="A213" t="n">
        <v>630.0</v>
      </c>
      <c r="B213" s="2" t="n">
        <v>45936.0</v>
      </c>
      <c r="C213" t="n">
        <v>8.0</v>
      </c>
      <c r="D213" t="n">
        <v>40.0</v>
      </c>
      <c r="E213" t="inlineStr">
        <is>
          <t>Flat 8 - 3 West Gate</t>
        </is>
      </c>
      <c r="F213" t="n">
        <v>7.0</v>
      </c>
      <c r="G213" t="inlineStr">
        <is>
          <t>Rent</t>
        </is>
      </c>
      <c r="H213" t="inlineStr">
        <is>
          <t>incoming_payment</t>
        </is>
      </c>
      <c r="I213" s="3" t="n">
        <v>735.0</v>
      </c>
      <c r="J213" t="inlineStr">
        <is>
          <t>Tenant Payment - Mr Shermal Wijesinghage, Mrs Udeshika Dona - Flat 8 - 3 West Gate (Tenant ID: 8EJA83o9Zj, Deposit: YTP21)</t>
        </is>
      </c>
      <c r="K213" t="inlineStr">
        <is>
          <t/>
        </is>
      </c>
    </row>
    <row r="214">
      <c r="A214" t="n">
        <v>631.0</v>
      </c>
      <c r="B214" s="2" t="n">
        <v>45936.0</v>
      </c>
      <c r="C214" t="n">
        <v>30.0</v>
      </c>
      <c r="D214" t="n">
        <v>27.0</v>
      </c>
      <c r="E214" t="inlineStr">
        <is>
          <t>Flat 27 - 3 West Gate</t>
        </is>
      </c>
      <c r="F214" t="n">
        <v>32.0</v>
      </c>
      <c r="G214" t="inlineStr">
        <is>
          <t>Rent</t>
        </is>
      </c>
      <c r="H214" t="inlineStr">
        <is>
          <t>incoming_payment</t>
        </is>
      </c>
      <c r="I214" s="3" t="n">
        <v>700.0</v>
      </c>
      <c r="J214" t="inlineStr">
        <is>
          <t>Tenant Payment - Miss Sophie Murray - Flat 27 - 3 West Gate (Tenant ID: rp19gojwJA, Deposit: YTP3)</t>
        </is>
      </c>
      <c r="K214" t="inlineStr">
        <is>
          <t/>
        </is>
      </c>
    </row>
    <row r="215">
      <c r="A215" t="n">
        <v>632.0</v>
      </c>
      <c r="B215" s="2" t="n">
        <v>45936.0</v>
      </c>
      <c r="C215" t="n">
        <v>79.0</v>
      </c>
      <c r="D215" t="n">
        <v>28.0</v>
      </c>
      <c r="E215" t="inlineStr">
        <is>
          <t>Flat 25 - 3 West Gate</t>
        </is>
      </c>
      <c r="F215" t="n">
        <v>75.0</v>
      </c>
      <c r="G215" t="inlineStr">
        <is>
          <t>Rent</t>
        </is>
      </c>
      <c r="H215" t="inlineStr">
        <is>
          <t>incoming_payment</t>
        </is>
      </c>
      <c r="I215" s="3" t="n">
        <v>775.0</v>
      </c>
      <c r="J215" t="inlineStr">
        <is>
          <t>Tenant Payment - Beatriz Silva - Flat 25 - 3 West Gate (Tenant ID: mLZdAw6wJn, Deposit: YTP36)</t>
        </is>
      </c>
      <c r="K215" t="inlineStr">
        <is>
          <t/>
        </is>
      </c>
    </row>
    <row r="216">
      <c r="A216" t="n">
        <v>633.0</v>
      </c>
      <c r="B216" s="2" t="n">
        <v>45936.0</v>
      </c>
      <c r="C216" t="n">
        <v>6.0</v>
      </c>
      <c r="D216" t="n">
        <v>1.0</v>
      </c>
      <c r="E216" t="inlineStr">
        <is>
          <t>Flat 6 - 3 West Gate</t>
        </is>
      </c>
      <c r="F216" t="n">
        <v>34.0</v>
      </c>
      <c r="G216" t="inlineStr">
        <is>
          <t>Rent</t>
        </is>
      </c>
      <c r="H216" t="inlineStr">
        <is>
          <t>incoming_payment</t>
        </is>
      </c>
      <c r="I216" s="3" t="n">
        <v>740.0</v>
      </c>
      <c r="J216" t="inlineStr">
        <is>
          <t>Tenant Payment - Miss Shelley Lees - Flat 6 - 3 West Gate (Tenant ID: v0Zo3zLVZD, Deposit: YTP2)</t>
        </is>
      </c>
      <c r="K216" t="inlineStr">
        <is>
          <t/>
        </is>
      </c>
    </row>
    <row r="217">
      <c r="A217" t="n">
        <v>634.0</v>
      </c>
      <c r="B217" s="2" t="n">
        <v>45936.0</v>
      </c>
      <c r="C217" t="n">
        <v>32.0</v>
      </c>
      <c r="D217" t="n">
        <v>11.0</v>
      </c>
      <c r="E217" t="inlineStr">
        <is>
          <t>Flat 29 - 3 West Gate</t>
        </is>
      </c>
      <c r="F217" t="n">
        <v>35.0</v>
      </c>
      <c r="G217" t="inlineStr">
        <is>
          <t>Rent</t>
        </is>
      </c>
      <c r="H217" t="inlineStr">
        <is>
          <t>incoming_payment</t>
        </is>
      </c>
      <c r="I217" s="3" t="n">
        <v>740.0</v>
      </c>
      <c r="J217" t="inlineStr">
        <is>
          <t>Tenant Payment - Mrs Margaret Fritchley - Flat 29 - 3 West Gate (Tenant ID: v2XljeLxZe, Deposit: YTP23)</t>
        </is>
      </c>
      <c r="K217" t="inlineStr">
        <is>
          <t/>
        </is>
      </c>
    </row>
    <row r="218">
      <c r="A218" t="n">
        <v>636.0</v>
      </c>
      <c r="B218" s="2" t="n">
        <v>45936.0</v>
      </c>
      <c r="C218" t="n">
        <v>23.0</v>
      </c>
      <c r="D218" t="n">
        <v>43.0</v>
      </c>
      <c r="E218" t="inlineStr">
        <is>
          <t>Flat 19 - 3 West Gate</t>
        </is>
      </c>
      <c r="F218" t="n">
        <v>21.0</v>
      </c>
      <c r="G218" t="inlineStr">
        <is>
          <t>Rent</t>
        </is>
      </c>
      <c r="H218" t="inlineStr">
        <is>
          <t>incoming_payment</t>
        </is>
      </c>
      <c r="I218" s="3" t="n">
        <v>795.0</v>
      </c>
      <c r="J218" t="inlineStr">
        <is>
          <t>Tenant Payment - Charanya Kaliamoorthy - Flat 19 - 3 West Gate (Tenant ID: lMZnal7717, Deposit: YTP34)</t>
        </is>
      </c>
      <c r="K218" t="inlineStr">
        <is>
          <t/>
        </is>
      </c>
    </row>
    <row r="219">
      <c r="A219" t="n">
        <v>639.0</v>
      </c>
      <c r="B219" s="2" t="n">
        <v>45936.0</v>
      </c>
      <c r="C219" t="n">
        <v>4.0</v>
      </c>
      <c r="D219" t="n">
        <v>30.0</v>
      </c>
      <c r="E219" t="inlineStr">
        <is>
          <t>Flat 4 - 3 West Gate</t>
        </is>
      </c>
      <c r="F219" t="n">
        <v>6.0</v>
      </c>
      <c r="G219" t="inlineStr">
        <is>
          <t>Rent</t>
        </is>
      </c>
      <c r="H219" t="inlineStr">
        <is>
          <t>incoming_payment</t>
        </is>
      </c>
      <c r="I219" s="3" t="n">
        <v>855.0</v>
      </c>
      <c r="J219" t="inlineStr">
        <is>
          <t>Tenant Payment - Miss Megan Delaney, Mr Joseph Williams - Flat 4 - 3 West Gate (Tenant ID: 8b1gv7LNXG, Deposit: YTP1)</t>
        </is>
      </c>
      <c r="K219" t="inlineStr">
        <is>
          <t/>
        </is>
      </c>
    </row>
    <row r="220">
      <c r="A220" t="n">
        <v>640.0</v>
      </c>
      <c r="B220" s="2" t="n">
        <v>45936.0</v>
      </c>
      <c r="C220" t="n">
        <v>15.0</v>
      </c>
      <c r="D220" t="n">
        <v>25.0</v>
      </c>
      <c r="E220" t="inlineStr">
        <is>
          <t>Flat 13 - 3 West Gate</t>
        </is>
      </c>
      <c r="F220" t="n">
        <v>18.0</v>
      </c>
      <c r="G220" t="inlineStr">
        <is>
          <t>Rent</t>
        </is>
      </c>
      <c r="H220" t="inlineStr">
        <is>
          <t>incoming_payment</t>
        </is>
      </c>
      <c r="I220" s="3" t="n">
        <v>800.0</v>
      </c>
      <c r="J220" t="inlineStr">
        <is>
          <t>Tenant Payment - Mr Nathan Holland - Flat 13 - 3 West Gate (Tenant ID: GVJjWNLLXE, Deposit: YTP16)</t>
        </is>
      </c>
      <c r="K220" t="inlineStr">
        <is>
          <t/>
        </is>
      </c>
    </row>
    <row r="221">
      <c r="A221" t="n">
        <v>181.0</v>
      </c>
      <c r="B221" s="2" t="n">
        <v>45940.0</v>
      </c>
      <c r="C221" t="n">
        <v>33.0</v>
      </c>
      <c r="D221" t="n">
        <v>10.0</v>
      </c>
      <c r="E221" t="inlineStr">
        <is>
          <t>Flat 30 - 3 West Gate</t>
        </is>
      </c>
      <c r="F221" t="n">
        <v>30.0</v>
      </c>
      <c r="G221" t="inlineStr">
        <is>
          <t>rent</t>
        </is>
      </c>
      <c r="H221" t="inlineStr">
        <is>
          <t>rent_received</t>
        </is>
      </c>
      <c r="I221" s="3" t="n">
        <v>740.0</v>
      </c>
      <c r="J221" t="inlineStr">
        <is>
          <t>Rent for flat 30 boden</t>
        </is>
      </c>
      <c r="K221" t="inlineStr">
        <is>
          <t/>
        </is>
      </c>
    </row>
    <row r="222">
      <c r="A222" t="n">
        <v>182.0</v>
      </c>
      <c r="B222" s="2" t="n">
        <v>45944.0</v>
      </c>
      <c r="C222" t="n">
        <v>3.0</v>
      </c>
      <c r="D222" t="n">
        <v>42.0</v>
      </c>
      <c r="E222" t="inlineStr">
        <is>
          <t>Flat 3 - 3 West Gate</t>
        </is>
      </c>
      <c r="F222" t="n">
        <v>4.0</v>
      </c>
      <c r="G222" t="inlineStr">
        <is>
          <t>rent</t>
        </is>
      </c>
      <c r="H222" t="inlineStr">
        <is>
          <t>rent_received</t>
        </is>
      </c>
      <c r="I222" s="3" t="n">
        <v>740.0</v>
      </c>
      <c r="J222" t="inlineStr">
        <is>
          <t>Rent for flat 3 boden</t>
        </is>
      </c>
      <c r="K222" t="inlineStr">
        <is>
          <t/>
        </is>
      </c>
    </row>
    <row r="223">
      <c r="A223" t="n">
        <v>665.0</v>
      </c>
      <c r="B223" s="2" t="n">
        <v>45953.0</v>
      </c>
      <c r="C223" t="n">
        <v>27.0</v>
      </c>
      <c r="D223" t="n">
        <v>29.0</v>
      </c>
      <c r="E223" t="inlineStr">
        <is>
          <t>Flat 23 - 3 West Gate</t>
        </is>
      </c>
      <c r="F223" t="n">
        <v>29.0</v>
      </c>
      <c r="G223" t="inlineStr">
        <is>
          <t>Rent</t>
        </is>
      </c>
      <c r="H223" t="inlineStr">
        <is>
          <t>incoming_payment</t>
        </is>
      </c>
      <c r="I223" s="3" t="n">
        <v>795.0</v>
      </c>
      <c r="J223" t="inlineStr">
        <is>
          <t>Tenant Payment - Mark Tennick - Flat 23 - 3 West Gate (Tenant ID: qv1pmBppZd, Deposit: YTP33)</t>
        </is>
      </c>
      <c r="K223" t="inlineStr">
        <is>
          <t/>
        </is>
      </c>
    </row>
    <row r="224">
      <c r="A224" t="n">
        <v>666.0</v>
      </c>
      <c r="B224" s="2" t="n">
        <v>45953.0</v>
      </c>
      <c r="C224" t="n">
        <v>17.0</v>
      </c>
      <c r="D224" t="n">
        <v>44.0</v>
      </c>
      <c r="E224" t="inlineStr">
        <is>
          <t>Flat 15 - 3 West Gate</t>
        </is>
      </c>
      <c r="F224" t="n">
        <v>36.0</v>
      </c>
      <c r="G224" t="inlineStr">
        <is>
          <t>Rent</t>
        </is>
      </c>
      <c r="H224" t="inlineStr">
        <is>
          <t>incoming_payment</t>
        </is>
      </c>
      <c r="I224" s="3" t="n">
        <v>740.0</v>
      </c>
      <c r="J224" t="inlineStr">
        <is>
          <t>Tenant Payment - Ms Lucy Cassell - Flat 15 - 3 West Gate (Tenant ID: WzJBEL9RZQ, Deposit: YTP24)</t>
        </is>
      </c>
      <c r="K224" t="inlineStr">
        <is>
          <t/>
        </is>
      </c>
    </row>
    <row r="225">
      <c r="A225" t="n">
        <v>667.0</v>
      </c>
      <c r="B225" s="2" t="n">
        <v>45953.0</v>
      </c>
      <c r="C225" t="n">
        <v>78.0</v>
      </c>
      <c r="D225" t="n">
        <v>41.0</v>
      </c>
      <c r="E225" t="inlineStr">
        <is>
          <t>Flat 12 - 3 West Gate</t>
        </is>
      </c>
      <c r="F225" t="n">
        <v>94.0</v>
      </c>
      <c r="G225" t="inlineStr">
        <is>
          <t>Rent</t>
        </is>
      </c>
      <c r="H225" t="inlineStr">
        <is>
          <t>incoming_payment</t>
        </is>
      </c>
      <c r="I225" s="3" t="n">
        <v>795.0</v>
      </c>
      <c r="J225" t="inlineStr">
        <is>
          <t>Tenant Payment - Jemimah	Nallarajah &amp; Arulnesan Anthony - Flat 12 - 3 West Gate (Tenant ID: KV1z40RlJO, Deposit: YTP37)</t>
        </is>
      </c>
      <c r="K225" t="inlineStr">
        <is>
          <t/>
        </is>
      </c>
    </row>
    <row r="226">
      <c r="A226" t="n">
        <v>668.0</v>
      </c>
      <c r="B226" s="2" t="n">
        <v>45953.0</v>
      </c>
      <c r="C226" t="n">
        <v>21.0</v>
      </c>
      <c r="D226" t="n">
        <v>33.0</v>
      </c>
      <c r="E226" t="inlineStr">
        <is>
          <t>Flat 18 - 3 West Gate</t>
        </is>
      </c>
      <c r="F226" t="n">
        <v>31.0</v>
      </c>
      <c r="G226" t="inlineStr">
        <is>
          <t>Rent</t>
        </is>
      </c>
      <c r="H226" t="inlineStr">
        <is>
          <t>incoming_payment</t>
        </is>
      </c>
      <c r="I226" s="3" t="n">
        <v>795.0</v>
      </c>
      <c r="J226" t="inlineStr">
        <is>
          <t>Tenant Payment - Nirmali Gedara and Janith Hetti Arachchilage - Flat 18 - 3 West Gate (Tenant ID: rp19gkVoJA, Deposit: YTP31)</t>
        </is>
      </c>
      <c r="K226" t="inlineStr">
        <is>
          <t/>
        </is>
      </c>
    </row>
    <row r="227">
      <c r="A227" t="n">
        <v>669.0</v>
      </c>
      <c r="B227" s="2" t="n">
        <v>45953.0</v>
      </c>
      <c r="C227" t="n">
        <v>5.0</v>
      </c>
      <c r="D227" t="n">
        <v>21.0</v>
      </c>
      <c r="E227" t="inlineStr">
        <is>
          <t>Flat 5 - 3 West Gate</t>
        </is>
      </c>
      <c r="F227" t="n">
        <v>28.0</v>
      </c>
      <c r="G227" t="inlineStr">
        <is>
          <t>Rent</t>
        </is>
      </c>
      <c r="H227" t="inlineStr">
        <is>
          <t>incoming_payment</t>
        </is>
      </c>
      <c r="I227" s="3" t="n">
        <v>740.0</v>
      </c>
      <c r="J227" t="inlineStr">
        <is>
          <t>Tenant Payment - Mr Amos Blyth - Flat 5 - 3 West Gate (Tenant ID: qv1pdwLB1d, Deposit: YTP4)</t>
        </is>
      </c>
      <c r="K227" t="inlineStr">
        <is>
          <t/>
        </is>
      </c>
    </row>
    <row r="228">
      <c r="A228" t="n">
        <v>670.0</v>
      </c>
      <c r="B228" s="2" t="n">
        <v>45953.0</v>
      </c>
      <c r="C228" t="n">
        <v>78.0</v>
      </c>
      <c r="D228" t="n">
        <v>41.0</v>
      </c>
      <c r="E228" t="inlineStr">
        <is>
          <t>Flat 12 - 3 West Gate</t>
        </is>
      </c>
      <c r="F228" t="n">
        <v>94.0</v>
      </c>
      <c r="G228" t="inlineStr">
        <is>
          <t>Rent</t>
        </is>
      </c>
      <c r="H228" t="inlineStr">
        <is>
          <t>incoming_payment</t>
        </is>
      </c>
      <c r="I228" s="3" t="n">
        <v>795.0</v>
      </c>
      <c r="J228" t="inlineStr">
        <is>
          <t>Tenant Payment - Jemimah	Nallarajah &amp; Arulnesan Anthony - Flat 12 - 3 West Gate (Tenant ID: KV1z40RlJO, Deposit: YTP37)</t>
        </is>
      </c>
      <c r="K228" t="inlineStr">
        <is>
          <t/>
        </is>
      </c>
    </row>
    <row r="229">
      <c r="A229" t="n">
        <v>671.0</v>
      </c>
      <c r="B229" s="2" t="n">
        <v>45953.0</v>
      </c>
      <c r="C229" t="n">
        <v>11.0</v>
      </c>
      <c r="D229" t="n">
        <v>7.0</v>
      </c>
      <c r="E229" t="inlineStr">
        <is>
          <t>Flat 10 - 3 West Gate</t>
        </is>
      </c>
      <c r="F229" t="n">
        <v>37.0</v>
      </c>
      <c r="G229" t="inlineStr">
        <is>
          <t>Rent</t>
        </is>
      </c>
      <c r="H229" t="inlineStr">
        <is>
          <t>incoming_payment</t>
        </is>
      </c>
      <c r="I229" s="3" t="n">
        <v>785.0</v>
      </c>
      <c r="J229" t="inlineStr">
        <is>
          <t>Tenant Payment - Anna Stoliarchuk and Octavian Nagalisov - Flat 10 - 3 West Gate (Tenant ID: z2JkaRAN1b, Deposit: YTP35)</t>
        </is>
      </c>
      <c r="K229" t="inlineStr">
        <is>
          <t/>
        </is>
      </c>
    </row>
    <row r="230">
      <c r="A230" t="n">
        <v>672.0</v>
      </c>
      <c r="B230" s="2" t="n">
        <v>45953.0</v>
      </c>
      <c r="C230" t="n">
        <v>28.0</v>
      </c>
      <c r="D230" t="n">
        <v>37.0</v>
      </c>
      <c r="E230" t="inlineStr">
        <is>
          <t>Flat 24 - 3 West Gate</t>
        </is>
      </c>
      <c r="F230" t="n">
        <v>16.0</v>
      </c>
      <c r="G230" t="inlineStr">
        <is>
          <t>Rent</t>
        </is>
      </c>
      <c r="H230" t="inlineStr">
        <is>
          <t>incoming_payment</t>
        </is>
      </c>
      <c r="I230" s="3" t="n">
        <v>810.0</v>
      </c>
      <c r="J230" t="inlineStr">
        <is>
          <t>Tenant Payment - Mr Ethan Maloney, Miss Soraya Fearon - Flat 24 - 3 West Gate (Tenant ID: ge1aWLDpJE, Deposit: YTP7)</t>
        </is>
      </c>
      <c r="K230" t="inlineStr">
        <is>
          <t/>
        </is>
      </c>
    </row>
    <row r="231">
      <c r="A231" t="n">
        <v>673.0</v>
      </c>
      <c r="B231" s="2" t="n">
        <v>45953.0</v>
      </c>
      <c r="C231" t="n">
        <v>78.0</v>
      </c>
      <c r="D231" t="n">
        <v>41.0</v>
      </c>
      <c r="E231" t="inlineStr">
        <is>
          <t>Flat 12 - 3 West Gate</t>
        </is>
      </c>
      <c r="F231" t="n">
        <v>94.0</v>
      </c>
      <c r="G231" t="inlineStr">
        <is>
          <t>Rent</t>
        </is>
      </c>
      <c r="H231" t="inlineStr">
        <is>
          <t>incoming_payment</t>
        </is>
      </c>
      <c r="I231" s="3" t="n">
        <v>795.0</v>
      </c>
      <c r="J231" t="inlineStr">
        <is>
          <t>Tenant Payment - Jemimah	Nallarajah &amp; Arulnesan Anthony - Flat 12 - 3 West Gate (Tenant ID: KV1z40RlJO, Deposit: YTP37)</t>
        </is>
      </c>
      <c r="K231" t="inlineStr">
        <is>
          <t/>
        </is>
      </c>
    </row>
    <row r="232">
      <c r="A232" t="n">
        <v>674.0</v>
      </c>
      <c r="B232" s="2" t="n">
        <v>45953.0</v>
      </c>
      <c r="C232" t="n">
        <v>21.0</v>
      </c>
      <c r="D232" t="n">
        <v>33.0</v>
      </c>
      <c r="E232" t="inlineStr">
        <is>
          <t>Flat 18 - 3 West Gate</t>
        </is>
      </c>
      <c r="F232" t="n">
        <v>31.0</v>
      </c>
      <c r="G232" t="inlineStr">
        <is>
          <t>Rent</t>
        </is>
      </c>
      <c r="H232" t="inlineStr">
        <is>
          <t>incoming_payment</t>
        </is>
      </c>
      <c r="I232" s="3" t="n">
        <v>60.0</v>
      </c>
      <c r="J232" t="inlineStr">
        <is>
          <t>Tenant Payment - Nirmali Gedara and Janith Hetti Arachchilage - Flat 18 - 3 West Gate (Tenant ID: rp19gkVoJA, Deposit: YTP31)</t>
        </is>
      </c>
      <c r="K232" t="inlineStr">
        <is>
          <t/>
        </is>
      </c>
    </row>
    <row r="233">
      <c r="A233" t="n">
        <v>675.0</v>
      </c>
      <c r="B233" s="2" t="n">
        <v>45953.0</v>
      </c>
      <c r="C233" t="n">
        <v>78.0</v>
      </c>
      <c r="D233" t="n">
        <v>41.0</v>
      </c>
      <c r="E233" t="inlineStr">
        <is>
          <t>Flat 12 - 3 West Gate</t>
        </is>
      </c>
      <c r="F233" t="n">
        <v>94.0</v>
      </c>
      <c r="G233" t="inlineStr">
        <is>
          <t>Rent</t>
        </is>
      </c>
      <c r="H233" t="inlineStr">
        <is>
          <t>incoming_payment</t>
        </is>
      </c>
      <c r="I233" s="3" t="n">
        <v>795.0</v>
      </c>
      <c r="J233" t="inlineStr">
        <is>
          <t>Tenant Payment - Jemimah	Nallarajah &amp; Arulnesan Anthony - Flat 12 - 3 West Gate (Tenant ID: KV1z40RlJO, Deposit: YTP37)</t>
        </is>
      </c>
      <c r="K233" t="inlineStr">
        <is>
          <t/>
        </is>
      </c>
    </row>
    <row r="234">
      <c r="A234" t="n">
        <v>676.0</v>
      </c>
      <c r="B234" s="2" t="n">
        <v>45953.0</v>
      </c>
      <c r="C234" t="n">
        <v>19.0</v>
      </c>
      <c r="D234" t="n">
        <v>5.0</v>
      </c>
      <c r="E234" t="inlineStr">
        <is>
          <t>Flat 17 - 3 West Gate</t>
        </is>
      </c>
      <c r="F234" t="n">
        <v>3.0</v>
      </c>
      <c r="G234" t="inlineStr">
        <is>
          <t>Rent</t>
        </is>
      </c>
      <c r="H234" t="inlineStr">
        <is>
          <t>incoming_payment</t>
        </is>
      </c>
      <c r="I234" s="3" t="n">
        <v>700.0</v>
      </c>
      <c r="J234" t="inlineStr">
        <is>
          <t>Tenant Payment - Mr Harsh Patel - Flat 17 - 3 West Gate (Tenant ID: 7nZ3YqvrXN, Deposit: YTP10)</t>
        </is>
      </c>
      <c r="K234" t="inlineStr">
        <is>
          <t/>
        </is>
      </c>
    </row>
    <row r="235">
      <c r="A235" t="n">
        <v>677.0</v>
      </c>
      <c r="B235" s="2" t="n">
        <v>45953.0</v>
      </c>
      <c r="C235" t="n">
        <v>25.0</v>
      </c>
      <c r="D235" t="n">
        <v>31.0</v>
      </c>
      <c r="E235" t="inlineStr">
        <is>
          <t>Flat 21 - 3 West Gate</t>
        </is>
      </c>
      <c r="F235" t="n">
        <v>12.0</v>
      </c>
      <c r="G235" t="inlineStr">
        <is>
          <t>Rent</t>
        </is>
      </c>
      <c r="H235" t="inlineStr">
        <is>
          <t>incoming_payment</t>
        </is>
      </c>
      <c r="I235" s="3" t="n">
        <v>795.0</v>
      </c>
      <c r="J235" t="inlineStr">
        <is>
          <t>Tenant Payment - Mr Felwin Francis - Flat 21 - 3 West Gate (Tenant ID: B6XKzLmzJW, Deposit: YTP8)</t>
        </is>
      </c>
      <c r="K235" t="inlineStr">
        <is>
          <t/>
        </is>
      </c>
    </row>
    <row r="236">
      <c r="A236" t="n">
        <v>678.0</v>
      </c>
      <c r="B236" s="2" t="n">
        <v>45953.0</v>
      </c>
      <c r="C236" t="n">
        <v>78.0</v>
      </c>
      <c r="D236" t="n">
        <v>41.0</v>
      </c>
      <c r="E236" t="inlineStr">
        <is>
          <t>Flat 12 - 3 West Gate</t>
        </is>
      </c>
      <c r="F236" t="n">
        <v>94.0</v>
      </c>
      <c r="G236" t="inlineStr">
        <is>
          <t>Rent</t>
        </is>
      </c>
      <c r="H236" t="inlineStr">
        <is>
          <t>incoming_payment</t>
        </is>
      </c>
      <c r="I236" s="3" t="n">
        <v>795.0</v>
      </c>
      <c r="J236" t="inlineStr">
        <is>
          <t>Tenant Payment - Jemimah	Nallarajah &amp; Arulnesan Anthony - Flat 12 - 3 West Gate (Tenant ID: KV1z40RlJO, Deposit: YTP37)</t>
        </is>
      </c>
      <c r="K236" t="inlineStr">
        <is>
          <t/>
        </is>
      </c>
    </row>
    <row r="237">
      <c r="A237" t="n">
        <v>679.0</v>
      </c>
      <c r="B237" s="2" t="n">
        <v>45953.0</v>
      </c>
      <c r="C237" t="n">
        <v>36.0</v>
      </c>
      <c r="D237" t="n">
        <v>16.0</v>
      </c>
      <c r="E237" t="inlineStr">
        <is>
          <t>Apartment F - Knighton Hayes Manor</t>
        </is>
      </c>
      <c r="F237" t="n">
        <v>13.0</v>
      </c>
      <c r="G237" t="inlineStr">
        <is>
          <t>Rent</t>
        </is>
      </c>
      <c r="H237" t="inlineStr">
        <is>
          <t>incoming_payment</t>
        </is>
      </c>
      <c r="I237" s="3" t="n">
        <v>1125.0</v>
      </c>
      <c r="J237" t="inlineStr">
        <is>
          <t>Tenant Payment - Mr Riaz Hamid, Ismat Tarr-Hamid - Apartment F - Knighton Hayes Manor (Tenant ID: D6JmW6jr1v, Deposit: YTP17)</t>
        </is>
      </c>
      <c r="K237" t="inlineStr">
        <is>
          <t/>
        </is>
      </c>
    </row>
    <row r="238">
      <c r="A238" t="n">
        <v>680.0</v>
      </c>
      <c r="B238" s="2" t="n">
        <v>45953.0</v>
      </c>
      <c r="C238" t="n">
        <v>79.0</v>
      </c>
      <c r="D238" t="n">
        <v>28.0</v>
      </c>
      <c r="E238" t="inlineStr">
        <is>
          <t>Flat 25 - 3 West Gate</t>
        </is>
      </c>
      <c r="F238" t="n">
        <v>75.0</v>
      </c>
      <c r="G238" t="inlineStr">
        <is>
          <t>Rent</t>
        </is>
      </c>
      <c r="H238" t="inlineStr">
        <is>
          <t>incoming_payment</t>
        </is>
      </c>
      <c r="I238" s="3" t="n">
        <v>765.0</v>
      </c>
      <c r="J238" t="inlineStr">
        <is>
          <t>Tenant Payment - Beatriz Silva - Flat 25 - 3 West Gate (Tenant ID: mLZdAw6wJn, Deposit: YTP36)</t>
        </is>
      </c>
      <c r="K238" t="inlineStr">
        <is>
          <t/>
        </is>
      </c>
    </row>
    <row r="239">
      <c r="A239" t="n">
        <v>681.0</v>
      </c>
      <c r="B239" s="2" t="n">
        <v>45953.0</v>
      </c>
      <c r="C239" t="n">
        <v>78.0</v>
      </c>
      <c r="D239" t="n">
        <v>41.0</v>
      </c>
      <c r="E239" t="inlineStr">
        <is>
          <t>Flat 12 - 3 West Gate</t>
        </is>
      </c>
      <c r="F239" t="n">
        <v>94.0</v>
      </c>
      <c r="G239" t="inlineStr">
        <is>
          <t>Rent</t>
        </is>
      </c>
      <c r="H239" t="inlineStr">
        <is>
          <t>incoming_payment</t>
        </is>
      </c>
      <c r="I239" s="3" t="n">
        <v>795.0</v>
      </c>
      <c r="J239" t="inlineStr">
        <is>
          <t>Tenant Payment - Jemimah	Nallarajah &amp; Arulnesan Anthony - Flat 12 - 3 West Gate (Tenant ID: KV1z40RlJO, Deposit: YTP37)</t>
        </is>
      </c>
      <c r="K239" t="inlineStr">
        <is>
          <t/>
        </is>
      </c>
    </row>
    <row r="240">
      <c r="A240" t="n">
        <v>184.0</v>
      </c>
      <c r="B240" s="2" t="n">
        <v>45957.0</v>
      </c>
      <c r="C240" t="n">
        <v>16.0</v>
      </c>
      <c r="D240" t="n">
        <v>24.0</v>
      </c>
      <c r="E240" t="inlineStr">
        <is>
          <t>Flat 14 - 3 West Gate</t>
        </is>
      </c>
      <c r="F240" t="n">
        <v>24.0</v>
      </c>
      <c r="G240" t="inlineStr">
        <is>
          <t>rent</t>
        </is>
      </c>
      <c r="H240" t="inlineStr">
        <is>
          <t>rent_received</t>
        </is>
      </c>
      <c r="I240" s="3" t="n">
        <v>795.0</v>
      </c>
      <c r="J240" t="inlineStr">
        <is>
          <t>Rent for flat 14 boden</t>
        </is>
      </c>
      <c r="K240" t="inlineStr">
        <is>
          <t/>
        </is>
      </c>
    </row>
    <row r="241">
      <c r="A241" t="n">
        <v>187.0</v>
      </c>
      <c r="B241" s="2" t="n">
        <v>45958.0</v>
      </c>
      <c r="C241" t="n">
        <v>29.0</v>
      </c>
      <c r="D241" t="n">
        <v>32.0</v>
      </c>
      <c r="E241" t="inlineStr">
        <is>
          <t>Flat 26 - 3 West Gate</t>
        </is>
      </c>
      <c r="F241" t="n">
        <v>2.0</v>
      </c>
      <c r="G241" t="inlineStr">
        <is>
          <t>rent</t>
        </is>
      </c>
      <c r="H241" t="inlineStr">
        <is>
          <t>rent_received</t>
        </is>
      </c>
      <c r="I241" s="3" t="n">
        <v>675.0</v>
      </c>
      <c r="J241" t="inlineStr">
        <is>
          <t>Rent for flat 26 boden</t>
        </is>
      </c>
      <c r="K241" t="inlineStr">
        <is>
          <t/>
        </is>
      </c>
    </row>
    <row r="242">
      <c r="A242" t="n">
        <v>178.0</v>
      </c>
      <c r="B242" s="2" t="n">
        <v>45964.0</v>
      </c>
      <c r="C242" t="n">
        <v>2.0</v>
      </c>
      <c r="D242" t="n">
        <v>23.0</v>
      </c>
      <c r="E242" t="inlineStr">
        <is>
          <t>Flat 2 - 3 West Gate</t>
        </is>
      </c>
      <c r="F242" t="n">
        <v>23.0</v>
      </c>
      <c r="G242" t="inlineStr">
        <is>
          <t>rent</t>
        </is>
      </c>
      <c r="H242" t="inlineStr">
        <is>
          <t>rent_received</t>
        </is>
      </c>
      <c r="I242" s="3" t="n">
        <v>740.0</v>
      </c>
      <c r="J242" t="inlineStr">
        <is>
          <t>Rent for flat 2 boden</t>
        </is>
      </c>
      <c r="K242" t="inlineStr">
        <is>
          <t/>
        </is>
      </c>
    </row>
    <row r="243">
      <c r="A243" t="n">
        <v>180.0</v>
      </c>
      <c r="B243" s="2" t="n">
        <v>45965.0</v>
      </c>
      <c r="C243" t="n">
        <v>1.0</v>
      </c>
      <c r="D243" t="n">
        <v>22.0</v>
      </c>
      <c r="E243" t="inlineStr">
        <is>
          <t>Flat 1 - 3 West Gate</t>
        </is>
      </c>
      <c r="F243" t="n">
        <v>10.0</v>
      </c>
      <c r="G243" t="inlineStr">
        <is>
          <t>rent</t>
        </is>
      </c>
      <c r="H243" t="inlineStr">
        <is>
          <t>rent_received</t>
        </is>
      </c>
      <c r="I243" s="3" t="n">
        <v>795.0</v>
      </c>
      <c r="J243" t="inlineStr">
        <is>
          <t>Rent for flat 1 boden</t>
        </is>
      </c>
      <c r="K243" t="inlineStr">
        <is>
          <t/>
        </is>
      </c>
    </row>
    <row r="244">
      <c r="A244" t="n">
        <v>774.0</v>
      </c>
      <c r="B244" s="2" t="n">
        <v>45981.0</v>
      </c>
      <c r="C244" t="n">
        <v>5.0</v>
      </c>
      <c r="D244" t="n">
        <v>21.0</v>
      </c>
      <c r="E244" t="inlineStr">
        <is>
          <t>Flat 5 - 3 West Gate</t>
        </is>
      </c>
      <c r="F244" t="n">
        <v>28.0</v>
      </c>
      <c r="G244" t="inlineStr">
        <is>
          <t>Rent</t>
        </is>
      </c>
      <c r="H244" t="inlineStr">
        <is>
          <t>incoming_payment</t>
        </is>
      </c>
      <c r="I244" s="3" t="n">
        <v>740.0</v>
      </c>
      <c r="J244" t="inlineStr">
        <is>
          <t>Tenant Payment - Mr Amos Blyth - Flat 5 - 3 West Gate (Tenant ID: qv1pdwLB1d, Deposit: YTP4)</t>
        </is>
      </c>
      <c r="K244" t="inlineStr">
        <is>
          <t/>
        </is>
      </c>
    </row>
    <row r="245">
      <c r="A245" t="n">
        <v>775.0</v>
      </c>
      <c r="B245" s="2" t="n">
        <v>45981.0</v>
      </c>
      <c r="C245" t="n">
        <v>12.0</v>
      </c>
      <c r="D245" t="n">
        <v>17.0</v>
      </c>
      <c r="E245" t="inlineStr">
        <is>
          <t>Flat 11 - 3 West Gate</t>
        </is>
      </c>
      <c r="F245" t="n">
        <v>17.0</v>
      </c>
      <c r="G245" t="inlineStr">
        <is>
          <t>Rent</t>
        </is>
      </c>
      <c r="H245" t="inlineStr">
        <is>
          <t>incoming_payment</t>
        </is>
      </c>
      <c r="I245" s="3" t="n">
        <v>795.0</v>
      </c>
      <c r="J245" t="inlineStr">
        <is>
          <t>Tenant Payment - Mr Richard Perrotta - Flat 11 - 3 West Gate (Tenant ID: GvJDKLmVZz, Deposit: YTP18)</t>
        </is>
      </c>
      <c r="K245" t="inlineStr">
        <is>
          <t/>
        </is>
      </c>
    </row>
    <row r="246">
      <c r="A246" t="n">
        <v>776.0</v>
      </c>
      <c r="B246" s="2" t="n">
        <v>45982.0</v>
      </c>
      <c r="C246" t="n">
        <v>3.0</v>
      </c>
      <c r="D246" t="n">
        <v>42.0</v>
      </c>
      <c r="E246" t="inlineStr">
        <is>
          <t>Flat 3 - 3 West Gate</t>
        </is>
      </c>
      <c r="F246" t="n">
        <v>4.0</v>
      </c>
      <c r="G246" t="inlineStr">
        <is>
          <t>Rent</t>
        </is>
      </c>
      <c r="H246" t="inlineStr">
        <is>
          <t>incoming_payment</t>
        </is>
      </c>
      <c r="I246" s="3" t="n">
        <v>740.0</v>
      </c>
      <c r="J246" t="inlineStr">
        <is>
          <t>Tenant Payment - Mr Tracy Whyte - Flat 3 - 3 West Gate (Tenant ID: 7QZGajgnX9, Deposit: YTP22)</t>
        </is>
      </c>
      <c r="K246" t="inlineStr">
        <is>
          <t/>
        </is>
      </c>
    </row>
    <row r="247">
      <c r="A247" t="n">
        <v>777.0</v>
      </c>
      <c r="B247" s="2" t="n">
        <v>45982.0</v>
      </c>
      <c r="C247" t="n">
        <v>11.0</v>
      </c>
      <c r="D247" t="n">
        <v>7.0</v>
      </c>
      <c r="E247" t="inlineStr">
        <is>
          <t>Flat 10 - 3 West Gate</t>
        </is>
      </c>
      <c r="F247" t="n">
        <v>37.0</v>
      </c>
      <c r="G247" t="inlineStr">
        <is>
          <t>Rent</t>
        </is>
      </c>
      <c r="H247" t="inlineStr">
        <is>
          <t>incoming_payment</t>
        </is>
      </c>
      <c r="I247" s="3" t="n">
        <v>785.0</v>
      </c>
      <c r="J247" t="inlineStr">
        <is>
          <t>Tenant Payment - Anna Stoliarchuk and Octavian Nagalisov - Flat 10 - 3 West Gate (Tenant ID: z2JkaRAN1b, Deposit: YTP35)</t>
        </is>
      </c>
      <c r="K247" t="inlineStr">
        <is>
          <t/>
        </is>
      </c>
    </row>
    <row r="248">
      <c r="A248" t="n">
        <v>778.0</v>
      </c>
      <c r="B248" s="2" t="n">
        <v>45982.0</v>
      </c>
      <c r="C248" t="n">
        <v>17.0</v>
      </c>
      <c r="D248" t="n">
        <v>44.0</v>
      </c>
      <c r="E248" t="inlineStr">
        <is>
          <t>Flat 15 - 3 West Gate</t>
        </is>
      </c>
      <c r="F248" t="n">
        <v>36.0</v>
      </c>
      <c r="G248" t="inlineStr">
        <is>
          <t>Rent</t>
        </is>
      </c>
      <c r="H248" t="inlineStr">
        <is>
          <t>incoming_payment</t>
        </is>
      </c>
      <c r="I248" s="3" t="n">
        <v>740.0</v>
      </c>
      <c r="J248" t="inlineStr">
        <is>
          <t>Tenant Payment - Ms Lucy Cassell - Flat 15 - 3 West Gate (Tenant ID: WzJBEL9RZQ, Deposit: YTP24)</t>
        </is>
      </c>
      <c r="K248" t="inlineStr">
        <is>
          <t/>
        </is>
      </c>
    </row>
    <row r="249">
      <c r="A249" t="n">
        <v>779.0</v>
      </c>
      <c r="B249" s="2" t="n">
        <v>45982.0</v>
      </c>
      <c r="C249" t="n">
        <v>26.0</v>
      </c>
      <c r="D249" t="n">
        <v>14.0</v>
      </c>
      <c r="E249" t="inlineStr">
        <is>
          <t>Flat 22 - 3 West Gate</t>
        </is>
      </c>
      <c r="F249" t="n">
        <v>9.0</v>
      </c>
      <c r="G249" t="inlineStr">
        <is>
          <t>Rent</t>
        </is>
      </c>
      <c r="H249" t="inlineStr">
        <is>
          <t>incoming_payment</t>
        </is>
      </c>
      <c r="I249" s="3" t="n">
        <v>740.0</v>
      </c>
      <c r="J249" t="inlineStr">
        <is>
          <t>Tenant Payment - Mr Brian Lowe - Flat 22 - 3 West Gate (Tenant ID: 90JYRLmPXo, Deposit: YTP5)</t>
        </is>
      </c>
      <c r="K249" t="inlineStr">
        <is>
          <t/>
        </is>
      </c>
    </row>
    <row r="250">
      <c r="A250" t="n">
        <v>780.0</v>
      </c>
      <c r="B250" s="2" t="n">
        <v>45982.0</v>
      </c>
      <c r="C250" t="n">
        <v>79.0</v>
      </c>
      <c r="D250" t="n">
        <v>28.0</v>
      </c>
      <c r="E250" t="inlineStr">
        <is>
          <t>Flat 25 - 3 West Gate</t>
        </is>
      </c>
      <c r="F250" t="n">
        <v>75.0</v>
      </c>
      <c r="G250" t="inlineStr">
        <is>
          <t>Rent</t>
        </is>
      </c>
      <c r="H250" t="inlineStr">
        <is>
          <t>incoming_payment</t>
        </is>
      </c>
      <c r="I250" s="3" t="n">
        <v>765.0</v>
      </c>
      <c r="J250" t="inlineStr">
        <is>
          <t>Tenant Payment - Beatriz Silva - Flat 25 - 3 West Gate (Tenant ID: mLZdAw6wJn, Deposit: YTP36)</t>
        </is>
      </c>
      <c r="K250" t="inlineStr">
        <is>
          <t/>
        </is>
      </c>
    </row>
    <row r="251">
      <c r="A251" t="n">
        <v>781.0</v>
      </c>
      <c r="B251" s="2" t="n">
        <v>45982.0</v>
      </c>
      <c r="C251" t="n">
        <v>23.0</v>
      </c>
      <c r="D251" t="n">
        <v>43.0</v>
      </c>
      <c r="E251" t="inlineStr">
        <is>
          <t>Flat 19 - 3 West Gate</t>
        </is>
      </c>
      <c r="F251" t="n">
        <v>21.0</v>
      </c>
      <c r="G251" t="inlineStr">
        <is>
          <t>Rent</t>
        </is>
      </c>
      <c r="H251" t="inlineStr">
        <is>
          <t>incoming_payment</t>
        </is>
      </c>
      <c r="I251" s="3" t="n">
        <v>785.0</v>
      </c>
      <c r="J251" t="inlineStr">
        <is>
          <t>Tenant Payment - Charanya Kaliamoorthy - Flat 19 - 3 West Gate (Tenant ID: lMZnal7717, Deposit: YTP34)</t>
        </is>
      </c>
      <c r="K251" t="inlineStr">
        <is>
          <t/>
        </is>
      </c>
    </row>
    <row r="252">
      <c r="A252" t="n">
        <v>782.0</v>
      </c>
      <c r="B252" s="2" t="n">
        <v>45982.0</v>
      </c>
      <c r="C252" t="n">
        <v>86.0</v>
      </c>
      <c r="D252" t="n">
        <v>69.0</v>
      </c>
      <c r="E252" t="inlineStr">
        <is>
          <t>Boden House Block - Block Property</t>
        </is>
      </c>
      <c r="F252" t="n">
        <v>107.0</v>
      </c>
      <c r="G252" t="inlineStr">
        <is>
          <t>Rent</t>
        </is>
      </c>
      <c r="H252" t="inlineStr">
        <is>
          <t>incoming_payment</t>
        </is>
      </c>
      <c r="I252" s="3" t="n">
        <v>120.0</v>
      </c>
      <c r="J252" t="inlineStr">
        <is>
          <t>Tenant Payment - Prestvale Properties Limited - Boden House Block - Block Property (Tenant ID: D6JmvOjPXv, Deposit: YTP38)</t>
        </is>
      </c>
      <c r="K252" t="inlineStr">
        <is>
          <t/>
        </is>
      </c>
    </row>
    <row r="253">
      <c r="A253" t="n">
        <v>783.0</v>
      </c>
      <c r="B253" s="2" t="n">
        <v>45982.0</v>
      </c>
      <c r="C253" t="n">
        <v>28.0</v>
      </c>
      <c r="D253" t="n">
        <v>37.0</v>
      </c>
      <c r="E253" t="inlineStr">
        <is>
          <t>Flat 24 - 3 West Gate</t>
        </is>
      </c>
      <c r="F253" t="n">
        <v>16.0</v>
      </c>
      <c r="G253" t="inlineStr">
        <is>
          <t>Rent</t>
        </is>
      </c>
      <c r="H253" t="inlineStr">
        <is>
          <t>incoming_payment</t>
        </is>
      </c>
      <c r="I253" s="3" t="n">
        <v>810.0</v>
      </c>
      <c r="J253" t="inlineStr">
        <is>
          <t>Tenant Payment - Mr Ethan Maloney, Miss Soraya Fearon - Flat 24 - 3 West Gate (Tenant ID: ge1aWLDpJE, Deposit: YTP7)</t>
        </is>
      </c>
      <c r="K253" t="inlineStr">
        <is>
          <t/>
        </is>
      </c>
    </row>
    <row r="254">
      <c r="A254" t="n">
        <v>784.0</v>
      </c>
      <c r="B254" s="2" t="n">
        <v>45982.0</v>
      </c>
      <c r="C254" t="n">
        <v>25.0</v>
      </c>
      <c r="D254" t="n">
        <v>31.0</v>
      </c>
      <c r="E254" t="inlineStr">
        <is>
          <t>Flat 21 - 3 West Gate</t>
        </is>
      </c>
      <c r="F254" t="n">
        <v>12.0</v>
      </c>
      <c r="G254" t="inlineStr">
        <is>
          <t>Rent</t>
        </is>
      </c>
      <c r="H254" t="inlineStr">
        <is>
          <t>incoming_payment</t>
        </is>
      </c>
      <c r="I254" s="3" t="n">
        <v>795.0</v>
      </c>
      <c r="J254" t="inlineStr">
        <is>
          <t>Tenant Payment - Mr Felwin Francis - Flat 21 - 3 West Gate (Tenant ID: B6XKzLmzJW, Deposit: YTP8)</t>
        </is>
      </c>
      <c r="K254" t="inlineStr">
        <is>
          <t/>
        </is>
      </c>
    </row>
    <row r="255">
      <c r="A255" t="n">
        <v>785.0</v>
      </c>
      <c r="B255" s="2" t="n">
        <v>45982.0</v>
      </c>
      <c r="C255" t="n">
        <v>4.0</v>
      </c>
      <c r="D255" t="n">
        <v>30.0</v>
      </c>
      <c r="E255" t="inlineStr">
        <is>
          <t>Flat 4 - 3 West Gate</t>
        </is>
      </c>
      <c r="F255" t="n">
        <v>6.0</v>
      </c>
      <c r="G255" t="inlineStr">
        <is>
          <t>Rent</t>
        </is>
      </c>
      <c r="H255" t="inlineStr">
        <is>
          <t>incoming_payment</t>
        </is>
      </c>
      <c r="I255" s="3" t="n">
        <v>855.0</v>
      </c>
      <c r="J255" t="inlineStr">
        <is>
          <t>Tenant Payment - Miss Megan Delaney, Mr Joseph Williams - Flat 4 - 3 West Gate (Tenant ID: 8b1gv7LNXG, Deposit: YTP1)</t>
        </is>
      </c>
      <c r="K255" t="inlineStr">
        <is>
          <t/>
        </is>
      </c>
    </row>
    <row r="256">
      <c r="A256" t="n">
        <v>786.0</v>
      </c>
      <c r="B256" s="2" t="n">
        <v>45982.0</v>
      </c>
      <c r="C256" t="n">
        <v>24.0</v>
      </c>
      <c r="D256" t="n">
        <v>39.0</v>
      </c>
      <c r="E256" t="inlineStr">
        <is>
          <t>Flat 20 - 3 West Gate</t>
        </is>
      </c>
      <c r="F256" t="n">
        <v>22.0</v>
      </c>
      <c r="G256" t="inlineStr">
        <is>
          <t>Rent</t>
        </is>
      </c>
      <c r="H256" t="inlineStr">
        <is>
          <t>incoming_payment</t>
        </is>
      </c>
      <c r="I256" s="3" t="n">
        <v>700.0</v>
      </c>
      <c r="J256" t="inlineStr">
        <is>
          <t>Tenant Payment - Mr James Kay - Flat 20 - 3 West Gate (Tenant ID: lMZnW5L6J7, Deposit: YTP11)</t>
        </is>
      </c>
      <c r="K256" t="inlineStr">
        <is>
          <t/>
        </is>
      </c>
    </row>
    <row r="257">
      <c r="A257" t="n">
        <v>787.0</v>
      </c>
      <c r="B257" s="2" t="n">
        <v>45982.0</v>
      </c>
      <c r="C257" t="n">
        <v>19.0</v>
      </c>
      <c r="D257" t="n">
        <v>5.0</v>
      </c>
      <c r="E257" t="inlineStr">
        <is>
          <t>Flat 17 - 3 West Gate</t>
        </is>
      </c>
      <c r="F257" t="n">
        <v>3.0</v>
      </c>
      <c r="G257" t="inlineStr">
        <is>
          <t>Rent</t>
        </is>
      </c>
      <c r="H257" t="inlineStr">
        <is>
          <t>incoming_payment</t>
        </is>
      </c>
      <c r="I257" s="3" t="n">
        <v>700.0</v>
      </c>
      <c r="J257" t="inlineStr">
        <is>
          <t>Tenant Payment - Mr Harsh Patel - Flat 17 - 3 West Gate (Tenant ID: 7nZ3YqvrXN, Deposit: YTP10)</t>
        </is>
      </c>
      <c r="K257" t="inlineStr">
        <is>
          <t/>
        </is>
      </c>
    </row>
    <row r="258">
      <c r="A258" t="n">
        <v>788.0</v>
      </c>
      <c r="B258" s="2" t="n">
        <v>45982.0</v>
      </c>
      <c r="C258" t="n">
        <v>27.0</v>
      </c>
      <c r="D258" t="n">
        <v>29.0</v>
      </c>
      <c r="E258" t="inlineStr">
        <is>
          <t>Flat 23 - 3 West Gate</t>
        </is>
      </c>
      <c r="F258" t="n">
        <v>29.0</v>
      </c>
      <c r="G258" t="inlineStr">
        <is>
          <t>Rent</t>
        </is>
      </c>
      <c r="H258" t="inlineStr">
        <is>
          <t>incoming_payment</t>
        </is>
      </c>
      <c r="I258" s="3" t="n">
        <v>795.0</v>
      </c>
      <c r="J258" t="inlineStr">
        <is>
          <t>Tenant Payment - Mark Tennick - Flat 23 - 3 West Gate (Tenant ID: qv1pmBppZd, Deposit: YTP33)</t>
        </is>
      </c>
      <c r="K258" t="inlineStr">
        <is>
          <t/>
        </is>
      </c>
    </row>
    <row r="259">
      <c r="A259" t="n">
        <v>789.0</v>
      </c>
      <c r="B259" s="2" t="n">
        <v>45982.0</v>
      </c>
      <c r="C259" t="n">
        <v>36.0</v>
      </c>
      <c r="D259" t="n">
        <v>16.0</v>
      </c>
      <c r="E259" t="inlineStr">
        <is>
          <t>Apartment F - Knighton Hayes Manor</t>
        </is>
      </c>
      <c r="F259" t="n">
        <v>13.0</v>
      </c>
      <c r="G259" t="inlineStr">
        <is>
          <t>Rent</t>
        </is>
      </c>
      <c r="H259" t="inlineStr">
        <is>
          <t>incoming_payment</t>
        </is>
      </c>
      <c r="I259" s="3" t="n">
        <v>1125.0</v>
      </c>
      <c r="J259" t="inlineStr">
        <is>
          <t>Tenant Payment - Mr Riaz Hamid, Ismat Tarr-Hamid - Apartment F - Knighton Hayes Manor (Tenant ID: D6JmW6jr1v, Deposit: YTP17)</t>
        </is>
      </c>
      <c r="K259" t="inlineStr">
        <is>
          <t/>
        </is>
      </c>
    </row>
    <row r="260">
      <c r="A260" t="n">
        <v>790.0</v>
      </c>
      <c r="B260" s="2" t="n">
        <v>45982.0</v>
      </c>
      <c r="C260" t="n">
        <v>8.0</v>
      </c>
      <c r="D260" t="n">
        <v>40.0</v>
      </c>
      <c r="E260" t="inlineStr">
        <is>
          <t>Flat 8 - 3 West Gate</t>
        </is>
      </c>
      <c r="F260" t="n">
        <v>7.0</v>
      </c>
      <c r="G260" t="inlineStr">
        <is>
          <t>Rent</t>
        </is>
      </c>
      <c r="H260" t="inlineStr">
        <is>
          <t>incoming_payment</t>
        </is>
      </c>
      <c r="I260" s="3" t="n">
        <v>735.0</v>
      </c>
      <c r="J260" t="inlineStr">
        <is>
          <t>Tenant Payment - Mr Shermal Wijesinghage, Mrs Udeshika Dona - Flat 8 - 3 West Gate (Tenant ID: 8EJA83o9Zj, Deposit: YTP21)</t>
        </is>
      </c>
      <c r="K260" t="inlineStr">
        <is>
          <t/>
        </is>
      </c>
    </row>
    <row r="261">
      <c r="A261" t="n">
        <v>791.0</v>
      </c>
      <c r="B261" s="2" t="n">
        <v>45982.0</v>
      </c>
      <c r="C261" t="n">
        <v>30.0</v>
      </c>
      <c r="D261" t="n">
        <v>27.0</v>
      </c>
      <c r="E261" t="inlineStr">
        <is>
          <t>Flat 27 - 3 West Gate</t>
        </is>
      </c>
      <c r="F261" t="n">
        <v>32.0</v>
      </c>
      <c r="G261" t="inlineStr">
        <is>
          <t>Rent</t>
        </is>
      </c>
      <c r="H261" t="inlineStr">
        <is>
          <t>incoming_payment</t>
        </is>
      </c>
      <c r="I261" s="3" t="n">
        <v>700.0</v>
      </c>
      <c r="J261" t="inlineStr">
        <is>
          <t>Tenant Payment - Miss Sophie Murray - Flat 27 - 3 West Gate (Tenant ID: rp19gojwJA, Deposit: YTP3)</t>
        </is>
      </c>
      <c r="K261" t="inlineStr">
        <is>
          <t/>
        </is>
      </c>
    </row>
    <row r="262">
      <c r="A262" t="n">
        <v>792.0</v>
      </c>
      <c r="B262" s="2" t="n">
        <v>45982.0</v>
      </c>
      <c r="C262" t="n">
        <v>6.0</v>
      </c>
      <c r="D262" t="n">
        <v>1.0</v>
      </c>
      <c r="E262" t="inlineStr">
        <is>
          <t>Flat 6 - 3 West Gate</t>
        </is>
      </c>
      <c r="F262" t="n">
        <v>34.0</v>
      </c>
      <c r="G262" t="inlineStr">
        <is>
          <t>Rent</t>
        </is>
      </c>
      <c r="H262" t="inlineStr">
        <is>
          <t>incoming_payment</t>
        </is>
      </c>
      <c r="I262" s="3" t="n">
        <v>740.0</v>
      </c>
      <c r="J262" t="inlineStr">
        <is>
          <t>Tenant Payment - Miss Shelley Lees - Flat 6 - 3 West Gate (Tenant ID: v0Zo3zLVZD, Deposit: YTP2)</t>
        </is>
      </c>
      <c r="K262" t="inlineStr">
        <is>
          <t/>
        </is>
      </c>
    </row>
    <row r="263">
      <c r="A263" t="n">
        <v>793.0</v>
      </c>
      <c r="B263" s="2" t="n">
        <v>45982.0</v>
      </c>
      <c r="C263" t="n">
        <v>21.0</v>
      </c>
      <c r="D263" t="n">
        <v>33.0</v>
      </c>
      <c r="E263" t="inlineStr">
        <is>
          <t>Flat 18 - 3 West Gate</t>
        </is>
      </c>
      <c r="F263" t="n">
        <v>31.0</v>
      </c>
      <c r="G263" t="inlineStr">
        <is>
          <t>Rent</t>
        </is>
      </c>
      <c r="H263" t="inlineStr">
        <is>
          <t>incoming_payment</t>
        </is>
      </c>
      <c r="I263" s="3" t="n">
        <v>855.0</v>
      </c>
      <c r="J263" t="inlineStr">
        <is>
          <t>Tenant Payment - Nirmali Gedara and Janith Hetti Arachchilage - Flat 18 - 3 West Gate (Tenant ID: rp19gkVoJA, Deposit: YTP31)</t>
        </is>
      </c>
      <c r="K263" t="inlineStr">
        <is>
          <t/>
        </is>
      </c>
    </row>
    <row r="264">
      <c r="A264" t="n">
        <v>794.0</v>
      </c>
      <c r="B264" s="2" t="n">
        <v>45982.0</v>
      </c>
      <c r="C264" t="n">
        <v>9.0</v>
      </c>
      <c r="D264" t="n">
        <v>6.0</v>
      </c>
      <c r="E264" t="inlineStr">
        <is>
          <t>Flat 9 - 3 West Gate</t>
        </is>
      </c>
      <c r="F264" t="n">
        <v>26.0</v>
      </c>
      <c r="G264" t="inlineStr">
        <is>
          <t>Rent</t>
        </is>
      </c>
      <c r="H264" t="inlineStr">
        <is>
          <t>incoming_payment</t>
        </is>
      </c>
      <c r="I264" s="3" t="n">
        <v>700.0</v>
      </c>
      <c r="J264" t="inlineStr">
        <is>
          <t>Tenant Payment - Mr Scott Warner - Flat 9 - 3 West Gate (Tenant ID: mn184gvb19, Deposit: YTP20)</t>
        </is>
      </c>
      <c r="K264" t="inlineStr">
        <is>
          <t/>
        </is>
      </c>
    </row>
    <row r="265">
      <c r="A265" t="n">
        <v>795.0</v>
      </c>
      <c r="B265" s="2" t="n">
        <v>45982.0</v>
      </c>
      <c r="C265" t="n">
        <v>88.0</v>
      </c>
      <c r="D265" t="n">
        <v>15.0</v>
      </c>
      <c r="E265" t="inlineStr">
        <is>
          <t>Flat 28 - 3 West Gate</t>
        </is>
      </c>
      <c r="F265" t="n">
        <v>108.0</v>
      </c>
      <c r="G265" t="inlineStr">
        <is>
          <t>Rent</t>
        </is>
      </c>
      <c r="H265" t="inlineStr">
        <is>
          <t>incoming_payment</t>
        </is>
      </c>
      <c r="I265" s="3" t="n">
        <v>750.0</v>
      </c>
      <c r="J265" t="inlineStr">
        <is>
          <t>Tenant Payment - Masie Van - Flat 28 - 3 West Gate (Tenant ID: WzJB7nN3XQ, Deposit: YTP39)</t>
        </is>
      </c>
      <c r="K265" t="inlineStr">
        <is>
          <t/>
        </is>
      </c>
    </row>
    <row r="266">
      <c r="A266" t="n">
        <v>796.0</v>
      </c>
      <c r="B266" s="2" t="n">
        <v>45982.0</v>
      </c>
      <c r="C266" t="n">
        <v>32.0</v>
      </c>
      <c r="D266" t="n">
        <v>11.0</v>
      </c>
      <c r="E266" t="inlineStr">
        <is>
          <t>Flat 29 - 3 West Gate</t>
        </is>
      </c>
      <c r="F266" t="n">
        <v>35.0</v>
      </c>
      <c r="G266" t="inlineStr">
        <is>
          <t>Rent</t>
        </is>
      </c>
      <c r="H266" t="inlineStr">
        <is>
          <t>incoming_payment</t>
        </is>
      </c>
      <c r="I266" s="3" t="n">
        <v>740.0</v>
      </c>
      <c r="J266" t="inlineStr">
        <is>
          <t>Tenant Payment - Mrs Margaret Fritchley - Flat 29 - 3 West Gate (Tenant ID: v2XljeLxZe, Deposit: YTP23)</t>
        </is>
      </c>
      <c r="K266" t="inlineStr">
        <is>
          <t/>
        </is>
      </c>
    </row>
    <row r="267">
      <c r="A267" t="n">
        <v>797.0</v>
      </c>
      <c r="B267" s="2" t="n">
        <v>45985.0</v>
      </c>
      <c r="C267" t="n">
        <v>86.0</v>
      </c>
      <c r="D267" t="n">
        <v>69.0</v>
      </c>
      <c r="E267" t="inlineStr">
        <is>
          <t>Boden House Block - Block Property</t>
        </is>
      </c>
      <c r="F267" t="n">
        <v>107.0</v>
      </c>
      <c r="G267" t="inlineStr">
        <is>
          <t>Rent</t>
        </is>
      </c>
      <c r="H267" t="inlineStr">
        <is>
          <t>incoming_payment</t>
        </is>
      </c>
      <c r="I267" s="3" t="n">
        <v>100.0</v>
      </c>
      <c r="J267" t="inlineStr">
        <is>
          <t>Tenant Payment - Prestvale Properties Limited - Boden House Block - Block Property (Tenant ID: D6JmvOjPXv, Deposit: YTP38)</t>
        </is>
      </c>
      <c r="K267" t="inlineStr">
        <is>
          <t/>
        </is>
      </c>
    </row>
    <row r="268">
      <c r="A268" t="n">
        <v>798.0</v>
      </c>
      <c r="B268" s="2" t="n">
        <v>45985.0</v>
      </c>
      <c r="C268" t="n">
        <v>86.0</v>
      </c>
      <c r="D268" t="n">
        <v>69.0</v>
      </c>
      <c r="E268" t="inlineStr">
        <is>
          <t>Boden House Block - Block Property</t>
        </is>
      </c>
      <c r="F268" t="n">
        <v>107.0</v>
      </c>
      <c r="G268" t="inlineStr">
        <is>
          <t>Rent</t>
        </is>
      </c>
      <c r="H268" t="inlineStr">
        <is>
          <t>incoming_payment</t>
        </is>
      </c>
      <c r="I268" s="3" t="n">
        <v>1650.0</v>
      </c>
      <c r="J268" t="inlineStr">
        <is>
          <t>Tenant Payment - Prestvale Properties Limited - Boden House Block - Block Property (Tenant ID: D6JmvOjPXv, Deposit: YTP38)</t>
        </is>
      </c>
      <c r="K268" t="inlineStr">
        <is>
          <t/>
        </is>
      </c>
    </row>
    <row r="269">
      <c r="A269" t="n">
        <v>799.0</v>
      </c>
      <c r="B269" s="2" t="n">
        <v>45985.0</v>
      </c>
      <c r="C269" t="n">
        <v>86.0</v>
      </c>
      <c r="D269" t="n">
        <v>69.0</v>
      </c>
      <c r="E269" t="inlineStr">
        <is>
          <t>Boden House Block - Block Property</t>
        </is>
      </c>
      <c r="F269" t="n">
        <v>107.0</v>
      </c>
      <c r="G269" t="inlineStr">
        <is>
          <t>Rent</t>
        </is>
      </c>
      <c r="H269" t="inlineStr">
        <is>
          <t>incoming_payment</t>
        </is>
      </c>
      <c r="I269" s="3" t="n">
        <v>120.0</v>
      </c>
      <c r="J269" t="inlineStr">
        <is>
          <t>Tenant Payment - Prestvale Properties Limited - Boden House Block - Block Property (Tenant ID: D6JmvOjPXv, Deposit: YTP38)</t>
        </is>
      </c>
      <c r="K269" t="inlineStr">
        <is>
          <t/>
        </is>
      </c>
    </row>
    <row r="270">
      <c r="A270" t="n">
        <v>800.0</v>
      </c>
      <c r="B270" s="2" t="n">
        <v>45985.0</v>
      </c>
      <c r="C270" t="n">
        <v>86.0</v>
      </c>
      <c r="D270" t="n">
        <v>69.0</v>
      </c>
      <c r="E270" t="inlineStr">
        <is>
          <t>Boden House Block - Block Property</t>
        </is>
      </c>
      <c r="F270" t="n">
        <v>107.0</v>
      </c>
      <c r="G270" t="inlineStr">
        <is>
          <t>Rent</t>
        </is>
      </c>
      <c r="H270" t="inlineStr">
        <is>
          <t>incoming_payment</t>
        </is>
      </c>
      <c r="I270" s="3" t="n">
        <v>120.0</v>
      </c>
      <c r="J270" t="inlineStr">
        <is>
          <t>Tenant Payment - Prestvale Properties Limited - Boden House Block - Block Property (Tenant ID: D6JmvOjPXv, Deposit: YTP38)</t>
        </is>
      </c>
      <c r="K270" t="inlineStr">
        <is>
          <t/>
        </is>
      </c>
    </row>
    <row r="271">
      <c r="A271" t="n">
        <v>185.0</v>
      </c>
      <c r="B271" s="2" t="n">
        <v>45987.0</v>
      </c>
      <c r="C271" t="n">
        <v>16.0</v>
      </c>
      <c r="D271" t="n">
        <v>24.0</v>
      </c>
      <c r="E271" t="inlineStr">
        <is>
          <t>Flat 14 - 3 West Gate</t>
        </is>
      </c>
      <c r="F271" t="n">
        <v>24.0</v>
      </c>
      <c r="G271" t="inlineStr">
        <is>
          <t>rent</t>
        </is>
      </c>
      <c r="H271" t="inlineStr">
        <is>
          <t>rent_received</t>
        </is>
      </c>
      <c r="I271" s="3" t="n">
        <v>795.0</v>
      </c>
      <c r="J271" t="inlineStr">
        <is>
          <t>Rent for flat 14 boden</t>
        </is>
      </c>
      <c r="K271" t="inlineStr">
        <is>
          <t/>
        </is>
      </c>
    </row>
    <row r="272">
      <c r="A272" t="n">
        <v>805.0</v>
      </c>
      <c r="B272" s="2" t="n">
        <v>45993.0</v>
      </c>
      <c r="C272" t="n">
        <v>86.0</v>
      </c>
      <c r="D272" t="n">
        <v>69.0</v>
      </c>
      <c r="E272" t="inlineStr">
        <is>
          <t>Boden House Block - Block Property</t>
        </is>
      </c>
      <c r="F272" t="n">
        <v>0.0</v>
      </c>
      <c r="G272" t="inlineStr">
        <is>
          <t>Rent</t>
        </is>
      </c>
      <c r="H272" t="inlineStr">
        <is>
          <t>incoming_payment</t>
        </is>
      </c>
      <c r="I272" s="3" t="n">
        <v>1000.0</v>
      </c>
      <c r="J272" t="inlineStr">
        <is>
          <t>Tenant Payment - property account - Boden House Block - Block Property (Tenant ID: , Deposit: N/A)</t>
        </is>
      </c>
      <c r="K272" t="inlineStr">
        <is>
          <t/>
        </is>
      </c>
    </row>
    <row r="273">
      <c r="A273" t="n">
        <v>806.0</v>
      </c>
      <c r="B273" s="2" t="n">
        <v>45993.0</v>
      </c>
      <c r="C273" t="n">
        <v>86.0</v>
      </c>
      <c r="D273" t="n">
        <v>69.0</v>
      </c>
      <c r="E273" t="inlineStr">
        <is>
          <t>Boden House Block - Block Property</t>
        </is>
      </c>
      <c r="F273" t="n">
        <v>0.0</v>
      </c>
      <c r="G273" t="inlineStr">
        <is>
          <t>Rent</t>
        </is>
      </c>
      <c r="H273" t="inlineStr">
        <is>
          <t>incoming_payment</t>
        </is>
      </c>
      <c r="I273" s="3" t="n">
        <v>1000.0</v>
      </c>
      <c r="J273" t="inlineStr">
        <is>
          <t>Tenant Payment - property account - Boden House Block - Block Property (Tenant ID: , Deposit: N/A)</t>
        </is>
      </c>
      <c r="K273" t="inlineStr">
        <is>
          <t/>
        </is>
      </c>
    </row>
  </sheetData>
  <pageMargins bottom="0.75" footer="0.3" header="0.3" left="0.7" right="0.7" top="0.75"/>
</worksheet>
</file>

<file path=xl/worksheets/sheet3.xml><?xml version="1.0" encoding="utf-8"?>
<worksheet xmlns="http://schemas.openxmlformats.org/spreadsheetml/2006/main">
  <dimension ref="A1:P281"/>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1">
      <c r="A1" s="1" t="inlineStr">
        <is>
          <t>lease_id</t>
        </is>
      </c>
      <c r="B1" s="1" t="inlineStr">
        <is>
          <t>lease_reference</t>
        </is>
      </c>
      <c r="C1" s="1" t="inlineStr">
        <is>
          <t>property_name</t>
        </is>
      </c>
      <c r="D1" s="1" t="inlineStr">
        <is>
          <t>period_start</t>
        </is>
      </c>
      <c r="E1" s="1" t="inlineStr">
        <is>
          <t>period_end</t>
        </is>
      </c>
      <c r="F1" s="1" t="inlineStr">
        <is>
          <t>period_days</t>
        </is>
      </c>
      <c r="G1" s="1" t="inlineStr">
        <is>
          <t>lease_start</t>
        </is>
      </c>
      <c r="H1" s="1" t="inlineStr">
        <is>
          <t>lease_end</t>
        </is>
      </c>
      <c r="I1" s="1" t="inlineStr">
        <is>
          <t>monthly_rent</t>
        </is>
      </c>
      <c r="J1" s="1" t="inlineStr">
        <is>
          <t>rent_due_day</t>
        </is>
      </c>
      <c r="K1" s="1" t="inlineStr">
        <is>
          <t>lease_days_in_period</t>
        </is>
      </c>
      <c r="L1" s="1" t="inlineStr">
        <is>
          <t>prorated_rent_due</t>
        </is>
      </c>
      <c r="M1" s="1" t="inlineStr">
        <is>
          <t>management_fee</t>
        </is>
      </c>
      <c r="N1" s="1" t="inlineStr">
        <is>
          <t>service_fee</t>
        </is>
      </c>
      <c r="O1" s="1" t="inlineStr">
        <is>
          <t>total_commission</t>
        </is>
      </c>
      <c r="P1" s="1" t="inlineStr">
        <is>
          <t>net_to_owner</t>
        </is>
      </c>
    </row>
    <row r="2">
      <c r="A2" t="n">
        <v>1.0</v>
      </c>
      <c r="B2" t="inlineStr">
        <is>
          <t>LEASE-BH-F1-2025</t>
        </is>
      </c>
      <c r="C2" t="inlineStr">
        <is>
          <t>Flat 1 - 3 West Gate</t>
        </is>
      </c>
      <c r="D2" s="2" t="n">
        <v>45715.0</v>
      </c>
      <c r="E2" s="2" t="n">
        <v>45742.0</v>
      </c>
      <c r="F2" t="n">
        <v>28.0</v>
      </c>
      <c r="G2" s="2" t="n">
        <v>45715.0</v>
      </c>
      <c r="H2"/>
      <c r="I2" s="3" t="n">
        <v>795.0</v>
      </c>
      <c r="J2" t="n">
        <v>27.0</v>
      </c>
      <c r="K2" t="n">
        <v>28.0</v>
      </c>
      <c r="L2" s="3" t="n">
        <f>IF(F2 &lt; 28, ROUND(F2 / DAY(EOMONTH(D2, 0)) * I2, 2), I2)</f>
        <v>0.0</v>
      </c>
      <c r="M2" s="3" t="n">
        <f>L2 * 0.10</f>
        <v>0.0</v>
      </c>
      <c r="N2" s="3" t="n">
        <f>L2 * 0.05</f>
        <v>0.0</v>
      </c>
      <c r="O2" s="3" t="n">
        <f>M2 + N2</f>
        <v>0.0</v>
      </c>
      <c r="P2" s="3" t="n">
        <f>L2 - O2</f>
        <v>0.0</v>
      </c>
    </row>
    <row r="3">
      <c r="A3" t="n">
        <v>1.0</v>
      </c>
      <c r="B3" t="inlineStr">
        <is>
          <t>LEASE-BH-F1-2025</t>
        </is>
      </c>
      <c r="C3" t="inlineStr">
        <is>
          <t>Flat 1 - 3 West Gate</t>
        </is>
      </c>
      <c r="D3" s="2" t="n">
        <v>45743.0</v>
      </c>
      <c r="E3" s="2" t="n">
        <v>45773.0</v>
      </c>
      <c r="F3" t="n">
        <v>31.0</v>
      </c>
      <c r="G3" s="2" t="n">
        <v>45715.0</v>
      </c>
      <c r="H3"/>
      <c r="I3" s="3" t="n">
        <v>795.0</v>
      </c>
      <c r="J3" t="n">
        <v>27.0</v>
      </c>
      <c r="K3" t="n">
        <v>31.0</v>
      </c>
      <c r="L3" s="3" t="n">
        <f>IF(F3 &lt; 28, ROUND(F3 / DAY(EOMONTH(D3, 0)) * I3, 2), I3)</f>
        <v>0.0</v>
      </c>
      <c r="M3" s="3" t="n">
        <f>L3 * 0.10</f>
        <v>0.0</v>
      </c>
      <c r="N3" s="3" t="n">
        <f>L3 * 0.05</f>
        <v>0.0</v>
      </c>
      <c r="O3" s="3" t="n">
        <f>M3 + N3</f>
        <v>0.0</v>
      </c>
      <c r="P3" s="3" t="n">
        <f>L3 - O3</f>
        <v>0.0</v>
      </c>
    </row>
    <row r="4">
      <c r="A4" t="n">
        <v>1.0</v>
      </c>
      <c r="B4" t="inlineStr">
        <is>
          <t>LEASE-BH-F1-2025</t>
        </is>
      </c>
      <c r="C4" t="inlineStr">
        <is>
          <t>Flat 1 - 3 West Gate</t>
        </is>
      </c>
      <c r="D4" s="2" t="n">
        <v>45774.0</v>
      </c>
      <c r="E4" s="2" t="n">
        <v>45803.0</v>
      </c>
      <c r="F4" t="n">
        <v>30.0</v>
      </c>
      <c r="G4" s="2" t="n">
        <v>45715.0</v>
      </c>
      <c r="H4"/>
      <c r="I4" s="3" t="n">
        <v>795.0</v>
      </c>
      <c r="J4" t="n">
        <v>27.0</v>
      </c>
      <c r="K4" t="n">
        <v>30.0</v>
      </c>
      <c r="L4" s="3" t="n">
        <f>IF(F4 &lt; 28, ROUND(F4 / DAY(EOMONTH(D4, 0)) * I4, 2), I4)</f>
        <v>0.0</v>
      </c>
      <c r="M4" s="3" t="n">
        <f>L4 * 0.10</f>
        <v>0.0</v>
      </c>
      <c r="N4" s="3" t="n">
        <f>L4 * 0.05</f>
        <v>0.0</v>
      </c>
      <c r="O4" s="3" t="n">
        <f>M4 + N4</f>
        <v>0.0</v>
      </c>
      <c r="P4" s="3" t="n">
        <f>L4 - O4</f>
        <v>0.0</v>
      </c>
    </row>
    <row r="5">
      <c r="A5" t="n">
        <v>1.0</v>
      </c>
      <c r="B5" t="inlineStr">
        <is>
          <t>LEASE-BH-F1-2025</t>
        </is>
      </c>
      <c r="C5" t="inlineStr">
        <is>
          <t>Flat 1 - 3 West Gate</t>
        </is>
      </c>
      <c r="D5" s="2" t="n">
        <v>45804.0</v>
      </c>
      <c r="E5" s="2" t="n">
        <v>45834.0</v>
      </c>
      <c r="F5" t="n">
        <v>31.0</v>
      </c>
      <c r="G5" s="2" t="n">
        <v>45715.0</v>
      </c>
      <c r="H5"/>
      <c r="I5" s="3" t="n">
        <v>795.0</v>
      </c>
      <c r="J5" t="n">
        <v>27.0</v>
      </c>
      <c r="K5" t="n">
        <v>31.0</v>
      </c>
      <c r="L5" s="3" t="n">
        <f>IF(F5 &lt; 28, ROUND(F5 / DAY(EOMONTH(D5, 0)) * I5, 2), I5)</f>
        <v>0.0</v>
      </c>
      <c r="M5" s="3" t="n">
        <f>L5 * 0.10</f>
        <v>0.0</v>
      </c>
      <c r="N5" s="3" t="n">
        <f>L5 * 0.05</f>
        <v>0.0</v>
      </c>
      <c r="O5" s="3" t="n">
        <f>M5 + N5</f>
        <v>0.0</v>
      </c>
      <c r="P5" s="3" t="n">
        <f>L5 - O5</f>
        <v>0.0</v>
      </c>
    </row>
    <row r="6">
      <c r="A6" t="n">
        <v>1.0</v>
      </c>
      <c r="B6" t="inlineStr">
        <is>
          <t>LEASE-BH-F1-2025</t>
        </is>
      </c>
      <c r="C6" t="inlineStr">
        <is>
          <t>Flat 1 - 3 West Gate</t>
        </is>
      </c>
      <c r="D6" s="2" t="n">
        <v>45835.0</v>
      </c>
      <c r="E6" s="2" t="n">
        <v>45864.0</v>
      </c>
      <c r="F6" t="n">
        <v>30.0</v>
      </c>
      <c r="G6" s="2" t="n">
        <v>45715.0</v>
      </c>
      <c r="H6"/>
      <c r="I6" s="3" t="n">
        <v>795.0</v>
      </c>
      <c r="J6" t="n">
        <v>27.0</v>
      </c>
      <c r="K6" t="n">
        <v>30.0</v>
      </c>
      <c r="L6" s="3" t="n">
        <f>IF(F6 &lt; 28, ROUND(F6 / DAY(EOMONTH(D6, 0)) * I6, 2), I6)</f>
        <v>0.0</v>
      </c>
      <c r="M6" s="3" t="n">
        <f>L6 * 0.10</f>
        <v>0.0</v>
      </c>
      <c r="N6" s="3" t="n">
        <f>L6 * 0.05</f>
        <v>0.0</v>
      </c>
      <c r="O6" s="3" t="n">
        <f>M6 + N6</f>
        <v>0.0</v>
      </c>
      <c r="P6" s="3" t="n">
        <f>L6 - O6</f>
        <v>0.0</v>
      </c>
    </row>
    <row r="7">
      <c r="A7" t="n">
        <v>1.0</v>
      </c>
      <c r="B7" t="inlineStr">
        <is>
          <t>LEASE-BH-F1-2025</t>
        </is>
      </c>
      <c r="C7" t="inlineStr">
        <is>
          <t>Flat 1 - 3 West Gate</t>
        </is>
      </c>
      <c r="D7" s="2" t="n">
        <v>45865.0</v>
      </c>
      <c r="E7" s="2" t="n">
        <v>45895.0</v>
      </c>
      <c r="F7" t="n">
        <v>31.0</v>
      </c>
      <c r="G7" s="2" t="n">
        <v>45715.0</v>
      </c>
      <c r="H7"/>
      <c r="I7" s="3" t="n">
        <v>795.0</v>
      </c>
      <c r="J7" t="n">
        <v>27.0</v>
      </c>
      <c r="K7" t="n">
        <v>31.0</v>
      </c>
      <c r="L7" s="3" t="n">
        <f>IF(F7 &lt; 28, ROUND(F7 / DAY(EOMONTH(D7, 0)) * I7, 2), I7)</f>
        <v>0.0</v>
      </c>
      <c r="M7" s="3" t="n">
        <f>L7 * 0.10</f>
        <v>0.0</v>
      </c>
      <c r="N7" s="3" t="n">
        <f>L7 * 0.05</f>
        <v>0.0</v>
      </c>
      <c r="O7" s="3" t="n">
        <f>M7 + N7</f>
        <v>0.0</v>
      </c>
      <c r="P7" s="3" t="n">
        <f>L7 - O7</f>
        <v>0.0</v>
      </c>
    </row>
    <row r="8">
      <c r="A8" t="n">
        <v>1.0</v>
      </c>
      <c r="B8" t="inlineStr">
        <is>
          <t>LEASE-BH-F1-2025</t>
        </is>
      </c>
      <c r="C8" t="inlineStr">
        <is>
          <t>Flat 1 - 3 West Gate</t>
        </is>
      </c>
      <c r="D8" s="2" t="n">
        <v>45896.0</v>
      </c>
      <c r="E8" s="2" t="n">
        <v>45926.0</v>
      </c>
      <c r="F8" t="n">
        <v>31.0</v>
      </c>
      <c r="G8" s="2" t="n">
        <v>45715.0</v>
      </c>
      <c r="H8"/>
      <c r="I8" s="3" t="n">
        <v>795.0</v>
      </c>
      <c r="J8" t="n">
        <v>27.0</v>
      </c>
      <c r="K8" t="n">
        <v>31.0</v>
      </c>
      <c r="L8" s="3" t="n">
        <f>IF(F8 &lt; 28, ROUND(F8 / DAY(EOMONTH(D8, 0)) * I8, 2), I8)</f>
        <v>0.0</v>
      </c>
      <c r="M8" s="3" t="n">
        <f>L8 * 0.10</f>
        <v>0.0</v>
      </c>
      <c r="N8" s="3" t="n">
        <f>L8 * 0.05</f>
        <v>0.0</v>
      </c>
      <c r="O8" s="3" t="n">
        <f>M8 + N8</f>
        <v>0.0</v>
      </c>
      <c r="P8" s="3" t="n">
        <f>L8 - O8</f>
        <v>0.0</v>
      </c>
    </row>
    <row r="9">
      <c r="A9" t="n">
        <v>1.0</v>
      </c>
      <c r="B9" t="inlineStr">
        <is>
          <t>LEASE-BH-F1-2025</t>
        </is>
      </c>
      <c r="C9" t="inlineStr">
        <is>
          <t>Flat 1 - 3 West Gate</t>
        </is>
      </c>
      <c r="D9" s="2" t="n">
        <v>45927.0</v>
      </c>
      <c r="E9" s="2" t="n">
        <v>45956.0</v>
      </c>
      <c r="F9" t="n">
        <v>30.0</v>
      </c>
      <c r="G9" s="2" t="n">
        <v>45715.0</v>
      </c>
      <c r="H9"/>
      <c r="I9" s="3" t="n">
        <v>795.0</v>
      </c>
      <c r="J9" t="n">
        <v>27.0</v>
      </c>
      <c r="K9" t="n">
        <v>30.0</v>
      </c>
      <c r="L9" s="3" t="n">
        <f>IF(F9 &lt; 28, ROUND(F9 / DAY(EOMONTH(D9, 0)) * I9, 2), I9)</f>
        <v>0.0</v>
      </c>
      <c r="M9" s="3" t="n">
        <f>L9 * 0.10</f>
        <v>0.0</v>
      </c>
      <c r="N9" s="3" t="n">
        <f>L9 * 0.05</f>
        <v>0.0</v>
      </c>
      <c r="O9" s="3" t="n">
        <f>M9 + N9</f>
        <v>0.0</v>
      </c>
      <c r="P9" s="3" t="n">
        <f>L9 - O9</f>
        <v>0.0</v>
      </c>
    </row>
    <row r="10">
      <c r="A10" t="n">
        <v>1.0</v>
      </c>
      <c r="B10" t="inlineStr">
        <is>
          <t>LEASE-BH-F1-2025</t>
        </is>
      </c>
      <c r="C10" t="inlineStr">
        <is>
          <t>Flat 1 - 3 West Gate</t>
        </is>
      </c>
      <c r="D10" s="2" t="n">
        <v>45957.0</v>
      </c>
      <c r="E10" s="2" t="n">
        <v>45987.0</v>
      </c>
      <c r="F10" t="n">
        <v>31.0</v>
      </c>
      <c r="G10" s="2" t="n">
        <v>45715.0</v>
      </c>
      <c r="H10"/>
      <c r="I10" s="3" t="n">
        <v>795.0</v>
      </c>
      <c r="J10" t="n">
        <v>27.0</v>
      </c>
      <c r="K10" t="n">
        <v>31.0</v>
      </c>
      <c r="L10" s="3" t="n">
        <f>IF(F10 &lt; 28, ROUND(F10 / DAY(EOMONTH(D10, 0)) * I10, 2), I10)</f>
        <v>0.0</v>
      </c>
      <c r="M10" s="3" t="n">
        <f>L10 * 0.10</f>
        <v>0.0</v>
      </c>
      <c r="N10" s="3" t="n">
        <f>L10 * 0.05</f>
        <v>0.0</v>
      </c>
      <c r="O10" s="3" t="n">
        <f>M10 + N10</f>
        <v>0.0</v>
      </c>
      <c r="P10" s="3" t="n">
        <f>L10 - O10</f>
        <v>0.0</v>
      </c>
    </row>
    <row r="11">
      <c r="A11" t="n">
        <v>2.0</v>
      </c>
      <c r="B11" t="inlineStr">
        <is>
          <t>LEASE-BH-F2-2025</t>
        </is>
      </c>
      <c r="C11" t="inlineStr">
        <is>
          <t>Flat 2 - 3 West Gate</t>
        </is>
      </c>
      <c r="D11" s="2" t="n">
        <v>45715.0</v>
      </c>
      <c r="E11" s="2" t="n">
        <v>45742.0</v>
      </c>
      <c r="F11" t="n">
        <v>28.0</v>
      </c>
      <c r="G11" s="2" t="n">
        <v>45715.0</v>
      </c>
      <c r="H11"/>
      <c r="I11" s="3" t="n">
        <v>740.0</v>
      </c>
      <c r="J11" t="n">
        <v>27.0</v>
      </c>
      <c r="K11" t="n">
        <v>28.0</v>
      </c>
      <c r="L11" s="3" t="n">
        <f>IF(F11 &lt; 28, ROUND(F11 / DAY(EOMONTH(D11, 0)) * I11, 2), I11)</f>
        <v>0.0</v>
      </c>
      <c r="M11" s="3" t="n">
        <f>L11 * 0.10</f>
        <v>0.0</v>
      </c>
      <c r="N11" s="3" t="n">
        <f>L11 * 0.05</f>
        <v>0.0</v>
      </c>
      <c r="O11" s="3" t="n">
        <f>M11 + N11</f>
        <v>0.0</v>
      </c>
      <c r="P11" s="3" t="n">
        <f>L11 - O11</f>
        <v>0.0</v>
      </c>
    </row>
    <row r="12">
      <c r="A12" t="n">
        <v>2.0</v>
      </c>
      <c r="B12" t="inlineStr">
        <is>
          <t>LEASE-BH-F2-2025</t>
        </is>
      </c>
      <c r="C12" t="inlineStr">
        <is>
          <t>Flat 2 - 3 West Gate</t>
        </is>
      </c>
      <c r="D12" s="2" t="n">
        <v>45743.0</v>
      </c>
      <c r="E12" s="2" t="n">
        <v>45773.0</v>
      </c>
      <c r="F12" t="n">
        <v>31.0</v>
      </c>
      <c r="G12" s="2" t="n">
        <v>45715.0</v>
      </c>
      <c r="H12"/>
      <c r="I12" s="3" t="n">
        <v>740.0</v>
      </c>
      <c r="J12" t="n">
        <v>27.0</v>
      </c>
      <c r="K12" t="n">
        <v>31.0</v>
      </c>
      <c r="L12" s="3" t="n">
        <f>IF(F12 &lt; 28, ROUND(F12 / DAY(EOMONTH(D12, 0)) * I12, 2), I12)</f>
        <v>0.0</v>
      </c>
      <c r="M12" s="3" t="n">
        <f>L12 * 0.10</f>
        <v>0.0</v>
      </c>
      <c r="N12" s="3" t="n">
        <f>L12 * 0.05</f>
        <v>0.0</v>
      </c>
      <c r="O12" s="3" t="n">
        <f>M12 + N12</f>
        <v>0.0</v>
      </c>
      <c r="P12" s="3" t="n">
        <f>L12 - O12</f>
        <v>0.0</v>
      </c>
    </row>
    <row r="13">
      <c r="A13" t="n">
        <v>2.0</v>
      </c>
      <c r="B13" t="inlineStr">
        <is>
          <t>LEASE-BH-F2-2025</t>
        </is>
      </c>
      <c r="C13" t="inlineStr">
        <is>
          <t>Flat 2 - 3 West Gate</t>
        </is>
      </c>
      <c r="D13" s="2" t="n">
        <v>45774.0</v>
      </c>
      <c r="E13" s="2" t="n">
        <v>45803.0</v>
      </c>
      <c r="F13" t="n">
        <v>30.0</v>
      </c>
      <c r="G13" s="2" t="n">
        <v>45715.0</v>
      </c>
      <c r="H13"/>
      <c r="I13" s="3" t="n">
        <v>740.0</v>
      </c>
      <c r="J13" t="n">
        <v>27.0</v>
      </c>
      <c r="K13" t="n">
        <v>30.0</v>
      </c>
      <c r="L13" s="3" t="n">
        <f>IF(F13 &lt; 28, ROUND(F13 / DAY(EOMONTH(D13, 0)) * I13, 2), I13)</f>
        <v>0.0</v>
      </c>
      <c r="M13" s="3" t="n">
        <f>L13 * 0.10</f>
        <v>0.0</v>
      </c>
      <c r="N13" s="3" t="n">
        <f>L13 * 0.05</f>
        <v>0.0</v>
      </c>
      <c r="O13" s="3" t="n">
        <f>M13 + N13</f>
        <v>0.0</v>
      </c>
      <c r="P13" s="3" t="n">
        <f>L13 - O13</f>
        <v>0.0</v>
      </c>
    </row>
    <row r="14">
      <c r="A14" t="n">
        <v>2.0</v>
      </c>
      <c r="B14" t="inlineStr">
        <is>
          <t>LEASE-BH-F2-2025</t>
        </is>
      </c>
      <c r="C14" t="inlineStr">
        <is>
          <t>Flat 2 - 3 West Gate</t>
        </is>
      </c>
      <c r="D14" s="2" t="n">
        <v>45804.0</v>
      </c>
      <c r="E14" s="2" t="n">
        <v>45834.0</v>
      </c>
      <c r="F14" t="n">
        <v>31.0</v>
      </c>
      <c r="G14" s="2" t="n">
        <v>45715.0</v>
      </c>
      <c r="H14"/>
      <c r="I14" s="3" t="n">
        <v>740.0</v>
      </c>
      <c r="J14" t="n">
        <v>27.0</v>
      </c>
      <c r="K14" t="n">
        <v>31.0</v>
      </c>
      <c r="L14" s="3" t="n">
        <f>IF(F14 &lt; 28, ROUND(F14 / DAY(EOMONTH(D14, 0)) * I14, 2), I14)</f>
        <v>0.0</v>
      </c>
      <c r="M14" s="3" t="n">
        <f>L14 * 0.10</f>
        <v>0.0</v>
      </c>
      <c r="N14" s="3" t="n">
        <f>L14 * 0.05</f>
        <v>0.0</v>
      </c>
      <c r="O14" s="3" t="n">
        <f>M14 + N14</f>
        <v>0.0</v>
      </c>
      <c r="P14" s="3" t="n">
        <f>L14 - O14</f>
        <v>0.0</v>
      </c>
    </row>
    <row r="15">
      <c r="A15" t="n">
        <v>2.0</v>
      </c>
      <c r="B15" t="inlineStr">
        <is>
          <t>LEASE-BH-F2-2025</t>
        </is>
      </c>
      <c r="C15" t="inlineStr">
        <is>
          <t>Flat 2 - 3 West Gate</t>
        </is>
      </c>
      <c r="D15" s="2" t="n">
        <v>45835.0</v>
      </c>
      <c r="E15" s="2" t="n">
        <v>45864.0</v>
      </c>
      <c r="F15" t="n">
        <v>30.0</v>
      </c>
      <c r="G15" s="2" t="n">
        <v>45715.0</v>
      </c>
      <c r="H15"/>
      <c r="I15" s="3" t="n">
        <v>740.0</v>
      </c>
      <c r="J15" t="n">
        <v>27.0</v>
      </c>
      <c r="K15" t="n">
        <v>30.0</v>
      </c>
      <c r="L15" s="3" t="n">
        <f>IF(F15 &lt; 28, ROUND(F15 / DAY(EOMONTH(D15, 0)) * I15, 2), I15)</f>
        <v>0.0</v>
      </c>
      <c r="M15" s="3" t="n">
        <f>L15 * 0.10</f>
        <v>0.0</v>
      </c>
      <c r="N15" s="3" t="n">
        <f>L15 * 0.05</f>
        <v>0.0</v>
      </c>
      <c r="O15" s="3" t="n">
        <f>M15 + N15</f>
        <v>0.0</v>
      </c>
      <c r="P15" s="3" t="n">
        <f>L15 - O15</f>
        <v>0.0</v>
      </c>
    </row>
    <row r="16">
      <c r="A16" t="n">
        <v>2.0</v>
      </c>
      <c r="B16" t="inlineStr">
        <is>
          <t>LEASE-BH-F2-2025</t>
        </is>
      </c>
      <c r="C16" t="inlineStr">
        <is>
          <t>Flat 2 - 3 West Gate</t>
        </is>
      </c>
      <c r="D16" s="2" t="n">
        <v>45865.0</v>
      </c>
      <c r="E16" s="2" t="n">
        <v>45895.0</v>
      </c>
      <c r="F16" t="n">
        <v>31.0</v>
      </c>
      <c r="G16" s="2" t="n">
        <v>45715.0</v>
      </c>
      <c r="H16"/>
      <c r="I16" s="3" t="n">
        <v>740.0</v>
      </c>
      <c r="J16" t="n">
        <v>27.0</v>
      </c>
      <c r="K16" t="n">
        <v>31.0</v>
      </c>
      <c r="L16" s="3" t="n">
        <f>IF(F16 &lt; 28, ROUND(F16 / DAY(EOMONTH(D16, 0)) * I16, 2), I16)</f>
        <v>0.0</v>
      </c>
      <c r="M16" s="3" t="n">
        <f>L16 * 0.10</f>
        <v>0.0</v>
      </c>
      <c r="N16" s="3" t="n">
        <f>L16 * 0.05</f>
        <v>0.0</v>
      </c>
      <c r="O16" s="3" t="n">
        <f>M16 + N16</f>
        <v>0.0</v>
      </c>
      <c r="P16" s="3" t="n">
        <f>L16 - O16</f>
        <v>0.0</v>
      </c>
    </row>
    <row r="17">
      <c r="A17" t="n">
        <v>2.0</v>
      </c>
      <c r="B17" t="inlineStr">
        <is>
          <t>LEASE-BH-F2-2025</t>
        </is>
      </c>
      <c r="C17" t="inlineStr">
        <is>
          <t>Flat 2 - 3 West Gate</t>
        </is>
      </c>
      <c r="D17" s="2" t="n">
        <v>45896.0</v>
      </c>
      <c r="E17" s="2" t="n">
        <v>45926.0</v>
      </c>
      <c r="F17" t="n">
        <v>31.0</v>
      </c>
      <c r="G17" s="2" t="n">
        <v>45715.0</v>
      </c>
      <c r="H17"/>
      <c r="I17" s="3" t="n">
        <v>740.0</v>
      </c>
      <c r="J17" t="n">
        <v>27.0</v>
      </c>
      <c r="K17" t="n">
        <v>31.0</v>
      </c>
      <c r="L17" s="3" t="n">
        <f>IF(F17 &lt; 28, ROUND(F17 / DAY(EOMONTH(D17, 0)) * I17, 2), I17)</f>
        <v>0.0</v>
      </c>
      <c r="M17" s="3" t="n">
        <f>L17 * 0.10</f>
        <v>0.0</v>
      </c>
      <c r="N17" s="3" t="n">
        <f>L17 * 0.05</f>
        <v>0.0</v>
      </c>
      <c r="O17" s="3" t="n">
        <f>M17 + N17</f>
        <v>0.0</v>
      </c>
      <c r="P17" s="3" t="n">
        <f>L17 - O17</f>
        <v>0.0</v>
      </c>
    </row>
    <row r="18">
      <c r="A18" t="n">
        <v>2.0</v>
      </c>
      <c r="B18" t="inlineStr">
        <is>
          <t>LEASE-BH-F2-2025</t>
        </is>
      </c>
      <c r="C18" t="inlineStr">
        <is>
          <t>Flat 2 - 3 West Gate</t>
        </is>
      </c>
      <c r="D18" s="2" t="n">
        <v>45927.0</v>
      </c>
      <c r="E18" s="2" t="n">
        <v>45956.0</v>
      </c>
      <c r="F18" t="n">
        <v>30.0</v>
      </c>
      <c r="G18" s="2" t="n">
        <v>45715.0</v>
      </c>
      <c r="H18"/>
      <c r="I18" s="3" t="n">
        <v>740.0</v>
      </c>
      <c r="J18" t="n">
        <v>27.0</v>
      </c>
      <c r="K18" t="n">
        <v>30.0</v>
      </c>
      <c r="L18" s="3" t="n">
        <f>IF(F18 &lt; 28, ROUND(F18 / DAY(EOMONTH(D18, 0)) * I18, 2), I18)</f>
        <v>0.0</v>
      </c>
      <c r="M18" s="3" t="n">
        <f>L18 * 0.10</f>
        <v>0.0</v>
      </c>
      <c r="N18" s="3" t="n">
        <f>L18 * 0.05</f>
        <v>0.0</v>
      </c>
      <c r="O18" s="3" t="n">
        <f>M18 + N18</f>
        <v>0.0</v>
      </c>
      <c r="P18" s="3" t="n">
        <f>L18 - O18</f>
        <v>0.0</v>
      </c>
    </row>
    <row r="19">
      <c r="A19" t="n">
        <v>2.0</v>
      </c>
      <c r="B19" t="inlineStr">
        <is>
          <t>LEASE-BH-F2-2025</t>
        </is>
      </c>
      <c r="C19" t="inlineStr">
        <is>
          <t>Flat 2 - 3 West Gate</t>
        </is>
      </c>
      <c r="D19" s="2" t="n">
        <v>45957.0</v>
      </c>
      <c r="E19" s="2" t="n">
        <v>45987.0</v>
      </c>
      <c r="F19" t="n">
        <v>31.0</v>
      </c>
      <c r="G19" s="2" t="n">
        <v>45715.0</v>
      </c>
      <c r="H19"/>
      <c r="I19" s="3" t="n">
        <v>740.0</v>
      </c>
      <c r="J19" t="n">
        <v>27.0</v>
      </c>
      <c r="K19" t="n">
        <v>31.0</v>
      </c>
      <c r="L19" s="3" t="n">
        <f>IF(F19 &lt; 28, ROUND(F19 / DAY(EOMONTH(D19, 0)) * I19, 2), I19)</f>
        <v>0.0</v>
      </c>
      <c r="M19" s="3" t="n">
        <f>L19 * 0.10</f>
        <v>0.0</v>
      </c>
      <c r="N19" s="3" t="n">
        <f>L19 * 0.05</f>
        <v>0.0</v>
      </c>
      <c r="O19" s="3" t="n">
        <f>M19 + N19</f>
        <v>0.0</v>
      </c>
      <c r="P19" s="3" t="n">
        <f>L19 - O19</f>
        <v>0.0</v>
      </c>
    </row>
    <row r="20">
      <c r="A20" t="n">
        <v>3.0</v>
      </c>
      <c r="B20" t="inlineStr">
        <is>
          <t>LEASE-BH-F3-2025</t>
        </is>
      </c>
      <c r="C20" t="inlineStr">
        <is>
          <t>Flat 3 - 3 West Gate</t>
        </is>
      </c>
      <c r="D20" s="2" t="n">
        <v>45727.0</v>
      </c>
      <c r="E20" s="2" t="n">
        <v>45757.0</v>
      </c>
      <c r="F20" t="n">
        <v>31.0</v>
      </c>
      <c r="G20" s="2" t="n">
        <v>45727.0</v>
      </c>
      <c r="H20"/>
      <c r="I20" s="3" t="n">
        <v>740.0</v>
      </c>
      <c r="J20" t="n">
        <v>11.0</v>
      </c>
      <c r="K20" t="n">
        <v>31.0</v>
      </c>
      <c r="L20" s="3" t="n">
        <f>IF(F20 &lt; 28, ROUND(F20 / DAY(EOMONTH(D20, 0)) * I20, 2), I20)</f>
        <v>0.0</v>
      </c>
      <c r="M20" s="3" t="n">
        <f>L20 * 0.10</f>
        <v>0.0</v>
      </c>
      <c r="N20" s="3" t="n">
        <f>L20 * 0.05</f>
        <v>0.0</v>
      </c>
      <c r="O20" s="3" t="n">
        <f>M20 + N20</f>
        <v>0.0</v>
      </c>
      <c r="P20" s="3" t="n">
        <f>L20 - O20</f>
        <v>0.0</v>
      </c>
    </row>
    <row r="21">
      <c r="A21" t="n">
        <v>3.0</v>
      </c>
      <c r="B21" t="inlineStr">
        <is>
          <t>LEASE-BH-F3-2025</t>
        </is>
      </c>
      <c r="C21" t="inlineStr">
        <is>
          <t>Flat 3 - 3 West Gate</t>
        </is>
      </c>
      <c r="D21" s="2" t="n">
        <v>45758.0</v>
      </c>
      <c r="E21" s="2" t="n">
        <v>45787.0</v>
      </c>
      <c r="F21" t="n">
        <v>30.0</v>
      </c>
      <c r="G21" s="2" t="n">
        <v>45727.0</v>
      </c>
      <c r="H21"/>
      <c r="I21" s="3" t="n">
        <v>740.0</v>
      </c>
      <c r="J21" t="n">
        <v>11.0</v>
      </c>
      <c r="K21" t="n">
        <v>30.0</v>
      </c>
      <c r="L21" s="3" t="n">
        <f>IF(F21 &lt; 28, ROUND(F21 / DAY(EOMONTH(D21, 0)) * I21, 2), I21)</f>
        <v>0.0</v>
      </c>
      <c r="M21" s="3" t="n">
        <f>L21 * 0.10</f>
        <v>0.0</v>
      </c>
      <c r="N21" s="3" t="n">
        <f>L21 * 0.05</f>
        <v>0.0</v>
      </c>
      <c r="O21" s="3" t="n">
        <f>M21 + N21</f>
        <v>0.0</v>
      </c>
      <c r="P21" s="3" t="n">
        <f>L21 - O21</f>
        <v>0.0</v>
      </c>
    </row>
    <row r="22">
      <c r="A22" t="n">
        <v>3.0</v>
      </c>
      <c r="B22" t="inlineStr">
        <is>
          <t>LEASE-BH-F3-2025</t>
        </is>
      </c>
      <c r="C22" t="inlineStr">
        <is>
          <t>Flat 3 - 3 West Gate</t>
        </is>
      </c>
      <c r="D22" s="2" t="n">
        <v>45788.0</v>
      </c>
      <c r="E22" s="2" t="n">
        <v>45818.0</v>
      </c>
      <c r="F22" t="n">
        <v>31.0</v>
      </c>
      <c r="G22" s="2" t="n">
        <v>45727.0</v>
      </c>
      <c r="H22"/>
      <c r="I22" s="3" t="n">
        <v>740.0</v>
      </c>
      <c r="J22" t="n">
        <v>11.0</v>
      </c>
      <c r="K22" t="n">
        <v>31.0</v>
      </c>
      <c r="L22" s="3" t="n">
        <f>IF(F22 &lt; 28, ROUND(F22 / DAY(EOMONTH(D22, 0)) * I22, 2), I22)</f>
        <v>0.0</v>
      </c>
      <c r="M22" s="3" t="n">
        <f>L22 * 0.10</f>
        <v>0.0</v>
      </c>
      <c r="N22" s="3" t="n">
        <f>L22 * 0.05</f>
        <v>0.0</v>
      </c>
      <c r="O22" s="3" t="n">
        <f>M22 + N22</f>
        <v>0.0</v>
      </c>
      <c r="P22" s="3" t="n">
        <f>L22 - O22</f>
        <v>0.0</v>
      </c>
    </row>
    <row r="23">
      <c r="A23" t="n">
        <v>3.0</v>
      </c>
      <c r="B23" t="inlineStr">
        <is>
          <t>LEASE-BH-F3-2025</t>
        </is>
      </c>
      <c r="C23" t="inlineStr">
        <is>
          <t>Flat 3 - 3 West Gate</t>
        </is>
      </c>
      <c r="D23" s="2" t="n">
        <v>45819.0</v>
      </c>
      <c r="E23" s="2" t="n">
        <v>45848.0</v>
      </c>
      <c r="F23" t="n">
        <v>30.0</v>
      </c>
      <c r="G23" s="2" t="n">
        <v>45727.0</v>
      </c>
      <c r="H23"/>
      <c r="I23" s="3" t="n">
        <v>740.0</v>
      </c>
      <c r="J23" t="n">
        <v>11.0</v>
      </c>
      <c r="K23" t="n">
        <v>30.0</v>
      </c>
      <c r="L23" s="3" t="n">
        <f>IF(F23 &lt; 28, ROUND(F23 / DAY(EOMONTH(D23, 0)) * I23, 2), I23)</f>
        <v>0.0</v>
      </c>
      <c r="M23" s="3" t="n">
        <f>L23 * 0.10</f>
        <v>0.0</v>
      </c>
      <c r="N23" s="3" t="n">
        <f>L23 * 0.05</f>
        <v>0.0</v>
      </c>
      <c r="O23" s="3" t="n">
        <f>M23 + N23</f>
        <v>0.0</v>
      </c>
      <c r="P23" s="3" t="n">
        <f>L23 - O23</f>
        <v>0.0</v>
      </c>
    </row>
    <row r="24">
      <c r="A24" t="n">
        <v>3.0</v>
      </c>
      <c r="B24" t="inlineStr">
        <is>
          <t>LEASE-BH-F3-2025</t>
        </is>
      </c>
      <c r="C24" t="inlineStr">
        <is>
          <t>Flat 3 - 3 West Gate</t>
        </is>
      </c>
      <c r="D24" s="2" t="n">
        <v>45849.0</v>
      </c>
      <c r="E24" s="2" t="n">
        <v>45879.0</v>
      </c>
      <c r="F24" t="n">
        <v>31.0</v>
      </c>
      <c r="G24" s="2" t="n">
        <v>45727.0</v>
      </c>
      <c r="H24"/>
      <c r="I24" s="3" t="n">
        <v>740.0</v>
      </c>
      <c r="J24" t="n">
        <v>11.0</v>
      </c>
      <c r="K24" t="n">
        <v>31.0</v>
      </c>
      <c r="L24" s="3" t="n">
        <f>IF(F24 &lt; 28, ROUND(F24 / DAY(EOMONTH(D24, 0)) * I24, 2), I24)</f>
        <v>0.0</v>
      </c>
      <c r="M24" s="3" t="n">
        <f>L24 * 0.10</f>
        <v>0.0</v>
      </c>
      <c r="N24" s="3" t="n">
        <f>L24 * 0.05</f>
        <v>0.0</v>
      </c>
      <c r="O24" s="3" t="n">
        <f>M24 + N24</f>
        <v>0.0</v>
      </c>
      <c r="P24" s="3" t="n">
        <f>L24 - O24</f>
        <v>0.0</v>
      </c>
    </row>
    <row r="25">
      <c r="A25" t="n">
        <v>3.0</v>
      </c>
      <c r="B25" t="inlineStr">
        <is>
          <t>LEASE-BH-F3-2025</t>
        </is>
      </c>
      <c r="C25" t="inlineStr">
        <is>
          <t>Flat 3 - 3 West Gate</t>
        </is>
      </c>
      <c r="D25" s="2" t="n">
        <v>45880.0</v>
      </c>
      <c r="E25" s="2" t="n">
        <v>45910.0</v>
      </c>
      <c r="F25" t="n">
        <v>31.0</v>
      </c>
      <c r="G25" s="2" t="n">
        <v>45727.0</v>
      </c>
      <c r="H25"/>
      <c r="I25" s="3" t="n">
        <v>740.0</v>
      </c>
      <c r="J25" t="n">
        <v>11.0</v>
      </c>
      <c r="K25" t="n">
        <v>31.0</v>
      </c>
      <c r="L25" s="3" t="n">
        <f>IF(F25 &lt; 28, ROUND(F25 / DAY(EOMONTH(D25, 0)) * I25, 2), I25)</f>
        <v>0.0</v>
      </c>
      <c r="M25" s="3" t="n">
        <f>L25 * 0.10</f>
        <v>0.0</v>
      </c>
      <c r="N25" s="3" t="n">
        <f>L25 * 0.05</f>
        <v>0.0</v>
      </c>
      <c r="O25" s="3" t="n">
        <f>M25 + N25</f>
        <v>0.0</v>
      </c>
      <c r="P25" s="3" t="n">
        <f>L25 - O25</f>
        <v>0.0</v>
      </c>
    </row>
    <row r="26">
      <c r="A26" t="n">
        <v>3.0</v>
      </c>
      <c r="B26" t="inlineStr">
        <is>
          <t>LEASE-BH-F3-2025</t>
        </is>
      </c>
      <c r="C26" t="inlineStr">
        <is>
          <t>Flat 3 - 3 West Gate</t>
        </is>
      </c>
      <c r="D26" s="2" t="n">
        <v>45911.0</v>
      </c>
      <c r="E26" s="2" t="n">
        <v>45940.0</v>
      </c>
      <c r="F26" t="n">
        <v>30.0</v>
      </c>
      <c r="G26" s="2" t="n">
        <v>45727.0</v>
      </c>
      <c r="H26"/>
      <c r="I26" s="3" t="n">
        <v>740.0</v>
      </c>
      <c r="J26" t="n">
        <v>11.0</v>
      </c>
      <c r="K26" t="n">
        <v>30.0</v>
      </c>
      <c r="L26" s="3" t="n">
        <f>IF(F26 &lt; 28, ROUND(F26 / DAY(EOMONTH(D26, 0)) * I26, 2), I26)</f>
        <v>0.0</v>
      </c>
      <c r="M26" s="3" t="n">
        <f>L26 * 0.10</f>
        <v>0.0</v>
      </c>
      <c r="N26" s="3" t="n">
        <f>L26 * 0.05</f>
        <v>0.0</v>
      </c>
      <c r="O26" s="3" t="n">
        <f>M26 + N26</f>
        <v>0.0</v>
      </c>
      <c r="P26" s="3" t="n">
        <f>L26 - O26</f>
        <v>0.0</v>
      </c>
    </row>
    <row r="27">
      <c r="A27" t="n">
        <v>3.0</v>
      </c>
      <c r="B27" t="inlineStr">
        <is>
          <t>LEASE-BH-F3-2025</t>
        </is>
      </c>
      <c r="C27" t="inlineStr">
        <is>
          <t>Flat 3 - 3 West Gate</t>
        </is>
      </c>
      <c r="D27" s="2" t="n">
        <v>45941.0</v>
      </c>
      <c r="E27" s="2" t="n">
        <v>45971.0</v>
      </c>
      <c r="F27" t="n">
        <v>31.0</v>
      </c>
      <c r="G27" s="2" t="n">
        <v>45727.0</v>
      </c>
      <c r="H27"/>
      <c r="I27" s="3" t="n">
        <v>740.0</v>
      </c>
      <c r="J27" t="n">
        <v>11.0</v>
      </c>
      <c r="K27" t="n">
        <v>31.0</v>
      </c>
      <c r="L27" s="3" t="n">
        <f>IF(F27 &lt; 28, ROUND(F27 / DAY(EOMONTH(D27, 0)) * I27, 2), I27)</f>
        <v>0.0</v>
      </c>
      <c r="M27" s="3" t="n">
        <f>L27 * 0.10</f>
        <v>0.0</v>
      </c>
      <c r="N27" s="3" t="n">
        <f>L27 * 0.05</f>
        <v>0.0</v>
      </c>
      <c r="O27" s="3" t="n">
        <f>M27 + N27</f>
        <v>0.0</v>
      </c>
      <c r="P27" s="3" t="n">
        <f>L27 - O27</f>
        <v>0.0</v>
      </c>
    </row>
    <row r="28">
      <c r="A28" t="n">
        <v>3.0</v>
      </c>
      <c r="B28" t="inlineStr">
        <is>
          <t>LEASE-BH-F3-2025</t>
        </is>
      </c>
      <c r="C28" t="inlineStr">
        <is>
          <t>Flat 3 - 3 West Gate</t>
        </is>
      </c>
      <c r="D28" s="2" t="n">
        <v>45972.0</v>
      </c>
      <c r="E28" s="2" t="n">
        <v>46001.0</v>
      </c>
      <c r="F28" t="n">
        <v>30.0</v>
      </c>
      <c r="G28" s="2" t="n">
        <v>45727.0</v>
      </c>
      <c r="H28"/>
      <c r="I28" s="3" t="n">
        <v>740.0</v>
      </c>
      <c r="J28" t="n">
        <v>11.0</v>
      </c>
      <c r="K28" t="n">
        <v>30.0</v>
      </c>
      <c r="L28" s="3" t="n">
        <f>IF(F28 &lt; 28, ROUND(F28 / DAY(EOMONTH(D28, 0)) * I28, 2), I28)</f>
        <v>0.0</v>
      </c>
      <c r="M28" s="3" t="n">
        <f>L28 * 0.10</f>
        <v>0.0</v>
      </c>
      <c r="N28" s="3" t="n">
        <f>L28 * 0.05</f>
        <v>0.0</v>
      </c>
      <c r="O28" s="3" t="n">
        <f>M28 + N28</f>
        <v>0.0</v>
      </c>
      <c r="P28" s="3" t="n">
        <f>L28 - O28</f>
        <v>0.0</v>
      </c>
    </row>
    <row r="29">
      <c r="A29" t="n">
        <v>4.0</v>
      </c>
      <c r="B29" t="inlineStr">
        <is>
          <t>LEASE-BH-F4-2025</t>
        </is>
      </c>
      <c r="C29" t="inlineStr">
        <is>
          <t>Flat 4 - 3 West Gate</t>
        </is>
      </c>
      <c r="D29" s="2" t="n">
        <v>45713.0</v>
      </c>
      <c r="E29" s="2" t="n">
        <v>45740.0</v>
      </c>
      <c r="F29" t="n">
        <v>28.0</v>
      </c>
      <c r="G29" s="2" t="n">
        <v>45713.0</v>
      </c>
      <c r="H29"/>
      <c r="I29" s="3" t="n">
        <v>855.0</v>
      </c>
      <c r="J29" t="n">
        <v>25.0</v>
      </c>
      <c r="K29" t="n">
        <v>28.0</v>
      </c>
      <c r="L29" s="3" t="n">
        <f>IF(F29 &lt; 28, ROUND(F29 / DAY(EOMONTH(D29, 0)) * I29, 2), I29)</f>
        <v>0.0</v>
      </c>
      <c r="M29" s="3" t="n">
        <f>L29 * 0.10</f>
        <v>0.0</v>
      </c>
      <c r="N29" s="3" t="n">
        <f>L29 * 0.05</f>
        <v>0.0</v>
      </c>
      <c r="O29" s="3" t="n">
        <f>M29 + N29</f>
        <v>0.0</v>
      </c>
      <c r="P29" s="3" t="n">
        <f>L29 - O29</f>
        <v>0.0</v>
      </c>
    </row>
    <row r="30">
      <c r="A30" t="n">
        <v>4.0</v>
      </c>
      <c r="B30" t="inlineStr">
        <is>
          <t>LEASE-BH-F4-2025</t>
        </is>
      </c>
      <c r="C30" t="inlineStr">
        <is>
          <t>Flat 4 - 3 West Gate</t>
        </is>
      </c>
      <c r="D30" s="2" t="n">
        <v>45741.0</v>
      </c>
      <c r="E30" s="2" t="n">
        <v>45771.0</v>
      </c>
      <c r="F30" t="n">
        <v>31.0</v>
      </c>
      <c r="G30" s="2" t="n">
        <v>45713.0</v>
      </c>
      <c r="H30"/>
      <c r="I30" s="3" t="n">
        <v>855.0</v>
      </c>
      <c r="J30" t="n">
        <v>25.0</v>
      </c>
      <c r="K30" t="n">
        <v>31.0</v>
      </c>
      <c r="L30" s="3" t="n">
        <f>IF(F30 &lt; 28, ROUND(F30 / DAY(EOMONTH(D30, 0)) * I30, 2), I30)</f>
        <v>0.0</v>
      </c>
      <c r="M30" s="3" t="n">
        <f>L30 * 0.10</f>
        <v>0.0</v>
      </c>
      <c r="N30" s="3" t="n">
        <f>L30 * 0.05</f>
        <v>0.0</v>
      </c>
      <c r="O30" s="3" t="n">
        <f>M30 + N30</f>
        <v>0.0</v>
      </c>
      <c r="P30" s="3" t="n">
        <f>L30 - O30</f>
        <v>0.0</v>
      </c>
    </row>
    <row r="31">
      <c r="A31" t="n">
        <v>4.0</v>
      </c>
      <c r="B31" t="inlineStr">
        <is>
          <t>LEASE-BH-F4-2025</t>
        </is>
      </c>
      <c r="C31" t="inlineStr">
        <is>
          <t>Flat 4 - 3 West Gate</t>
        </is>
      </c>
      <c r="D31" s="2" t="n">
        <v>45772.0</v>
      </c>
      <c r="E31" s="2" t="n">
        <v>45801.0</v>
      </c>
      <c r="F31" t="n">
        <v>30.0</v>
      </c>
      <c r="G31" s="2" t="n">
        <v>45713.0</v>
      </c>
      <c r="H31"/>
      <c r="I31" s="3" t="n">
        <v>855.0</v>
      </c>
      <c r="J31" t="n">
        <v>25.0</v>
      </c>
      <c r="K31" t="n">
        <v>30.0</v>
      </c>
      <c r="L31" s="3" t="n">
        <f>IF(F31 &lt; 28, ROUND(F31 / DAY(EOMONTH(D31, 0)) * I31, 2), I31)</f>
        <v>0.0</v>
      </c>
      <c r="M31" s="3" t="n">
        <f>L31 * 0.10</f>
        <v>0.0</v>
      </c>
      <c r="N31" s="3" t="n">
        <f>L31 * 0.05</f>
        <v>0.0</v>
      </c>
      <c r="O31" s="3" t="n">
        <f>M31 + N31</f>
        <v>0.0</v>
      </c>
      <c r="P31" s="3" t="n">
        <f>L31 - O31</f>
        <v>0.0</v>
      </c>
    </row>
    <row r="32">
      <c r="A32" t="n">
        <v>4.0</v>
      </c>
      <c r="B32" t="inlineStr">
        <is>
          <t>LEASE-BH-F4-2025</t>
        </is>
      </c>
      <c r="C32" t="inlineStr">
        <is>
          <t>Flat 4 - 3 West Gate</t>
        </is>
      </c>
      <c r="D32" s="2" t="n">
        <v>45802.0</v>
      </c>
      <c r="E32" s="2" t="n">
        <v>45832.0</v>
      </c>
      <c r="F32" t="n">
        <v>31.0</v>
      </c>
      <c r="G32" s="2" t="n">
        <v>45713.0</v>
      </c>
      <c r="H32"/>
      <c r="I32" s="3" t="n">
        <v>855.0</v>
      </c>
      <c r="J32" t="n">
        <v>25.0</v>
      </c>
      <c r="K32" t="n">
        <v>31.0</v>
      </c>
      <c r="L32" s="3" t="n">
        <f>IF(F32 &lt; 28, ROUND(F32 / DAY(EOMONTH(D32, 0)) * I32, 2), I32)</f>
        <v>0.0</v>
      </c>
      <c r="M32" s="3" t="n">
        <f>L32 * 0.10</f>
        <v>0.0</v>
      </c>
      <c r="N32" s="3" t="n">
        <f>L32 * 0.05</f>
        <v>0.0</v>
      </c>
      <c r="O32" s="3" t="n">
        <f>M32 + N32</f>
        <v>0.0</v>
      </c>
      <c r="P32" s="3" t="n">
        <f>L32 - O32</f>
        <v>0.0</v>
      </c>
    </row>
    <row r="33">
      <c r="A33" t="n">
        <v>4.0</v>
      </c>
      <c r="B33" t="inlineStr">
        <is>
          <t>LEASE-BH-F4-2025</t>
        </is>
      </c>
      <c r="C33" t="inlineStr">
        <is>
          <t>Flat 4 - 3 West Gate</t>
        </is>
      </c>
      <c r="D33" s="2" t="n">
        <v>45833.0</v>
      </c>
      <c r="E33" s="2" t="n">
        <v>45862.0</v>
      </c>
      <c r="F33" t="n">
        <v>30.0</v>
      </c>
      <c r="G33" s="2" t="n">
        <v>45713.0</v>
      </c>
      <c r="H33"/>
      <c r="I33" s="3" t="n">
        <v>855.0</v>
      </c>
      <c r="J33" t="n">
        <v>25.0</v>
      </c>
      <c r="K33" t="n">
        <v>30.0</v>
      </c>
      <c r="L33" s="3" t="n">
        <f>IF(F33 &lt; 28, ROUND(F33 / DAY(EOMONTH(D33, 0)) * I33, 2), I33)</f>
        <v>0.0</v>
      </c>
      <c r="M33" s="3" t="n">
        <f>L33 * 0.10</f>
        <v>0.0</v>
      </c>
      <c r="N33" s="3" t="n">
        <f>L33 * 0.05</f>
        <v>0.0</v>
      </c>
      <c r="O33" s="3" t="n">
        <f>M33 + N33</f>
        <v>0.0</v>
      </c>
      <c r="P33" s="3" t="n">
        <f>L33 - O33</f>
        <v>0.0</v>
      </c>
    </row>
    <row r="34">
      <c r="A34" t="n">
        <v>4.0</v>
      </c>
      <c r="B34" t="inlineStr">
        <is>
          <t>LEASE-BH-F4-2025</t>
        </is>
      </c>
      <c r="C34" t="inlineStr">
        <is>
          <t>Flat 4 - 3 West Gate</t>
        </is>
      </c>
      <c r="D34" s="2" t="n">
        <v>45863.0</v>
      </c>
      <c r="E34" s="2" t="n">
        <v>45893.0</v>
      </c>
      <c r="F34" t="n">
        <v>31.0</v>
      </c>
      <c r="G34" s="2" t="n">
        <v>45713.0</v>
      </c>
      <c r="H34"/>
      <c r="I34" s="3" t="n">
        <v>855.0</v>
      </c>
      <c r="J34" t="n">
        <v>25.0</v>
      </c>
      <c r="K34" t="n">
        <v>31.0</v>
      </c>
      <c r="L34" s="3" t="n">
        <f>IF(F34 &lt; 28, ROUND(F34 / DAY(EOMONTH(D34, 0)) * I34, 2), I34)</f>
        <v>0.0</v>
      </c>
      <c r="M34" s="3" t="n">
        <f>L34 * 0.10</f>
        <v>0.0</v>
      </c>
      <c r="N34" s="3" t="n">
        <f>L34 * 0.05</f>
        <v>0.0</v>
      </c>
      <c r="O34" s="3" t="n">
        <f>M34 + N34</f>
        <v>0.0</v>
      </c>
      <c r="P34" s="3" t="n">
        <f>L34 - O34</f>
        <v>0.0</v>
      </c>
    </row>
    <row r="35">
      <c r="A35" t="n">
        <v>4.0</v>
      </c>
      <c r="B35" t="inlineStr">
        <is>
          <t>LEASE-BH-F4-2025</t>
        </is>
      </c>
      <c r="C35" t="inlineStr">
        <is>
          <t>Flat 4 - 3 West Gate</t>
        </is>
      </c>
      <c r="D35" s="2" t="n">
        <v>45894.0</v>
      </c>
      <c r="E35" s="2" t="n">
        <v>45924.0</v>
      </c>
      <c r="F35" t="n">
        <v>31.0</v>
      </c>
      <c r="G35" s="2" t="n">
        <v>45713.0</v>
      </c>
      <c r="H35"/>
      <c r="I35" s="3" t="n">
        <v>855.0</v>
      </c>
      <c r="J35" t="n">
        <v>25.0</v>
      </c>
      <c r="K35" t="n">
        <v>31.0</v>
      </c>
      <c r="L35" s="3" t="n">
        <f>IF(F35 &lt; 28, ROUND(F35 / DAY(EOMONTH(D35, 0)) * I35, 2), I35)</f>
        <v>0.0</v>
      </c>
      <c r="M35" s="3" t="n">
        <f>L35 * 0.10</f>
        <v>0.0</v>
      </c>
      <c r="N35" s="3" t="n">
        <f>L35 * 0.05</f>
        <v>0.0</v>
      </c>
      <c r="O35" s="3" t="n">
        <f>M35 + N35</f>
        <v>0.0</v>
      </c>
      <c r="P35" s="3" t="n">
        <f>L35 - O35</f>
        <v>0.0</v>
      </c>
    </row>
    <row r="36">
      <c r="A36" t="n">
        <v>4.0</v>
      </c>
      <c r="B36" t="inlineStr">
        <is>
          <t>LEASE-BH-F4-2025</t>
        </is>
      </c>
      <c r="C36" t="inlineStr">
        <is>
          <t>Flat 4 - 3 West Gate</t>
        </is>
      </c>
      <c r="D36" s="2" t="n">
        <v>45925.0</v>
      </c>
      <c r="E36" s="2" t="n">
        <v>45954.0</v>
      </c>
      <c r="F36" t="n">
        <v>30.0</v>
      </c>
      <c r="G36" s="2" t="n">
        <v>45713.0</v>
      </c>
      <c r="H36"/>
      <c r="I36" s="3" t="n">
        <v>855.0</v>
      </c>
      <c r="J36" t="n">
        <v>25.0</v>
      </c>
      <c r="K36" t="n">
        <v>30.0</v>
      </c>
      <c r="L36" s="3" t="n">
        <f>IF(F36 &lt; 28, ROUND(F36 / DAY(EOMONTH(D36, 0)) * I36, 2), I36)</f>
        <v>0.0</v>
      </c>
      <c r="M36" s="3" t="n">
        <f>L36 * 0.10</f>
        <v>0.0</v>
      </c>
      <c r="N36" s="3" t="n">
        <f>L36 * 0.05</f>
        <v>0.0</v>
      </c>
      <c r="O36" s="3" t="n">
        <f>M36 + N36</f>
        <v>0.0</v>
      </c>
      <c r="P36" s="3" t="n">
        <f>L36 - O36</f>
        <v>0.0</v>
      </c>
    </row>
    <row r="37">
      <c r="A37" t="n">
        <v>4.0</v>
      </c>
      <c r="B37" t="inlineStr">
        <is>
          <t>LEASE-BH-F4-2025</t>
        </is>
      </c>
      <c r="C37" t="inlineStr">
        <is>
          <t>Flat 4 - 3 West Gate</t>
        </is>
      </c>
      <c r="D37" s="2" t="n">
        <v>45955.0</v>
      </c>
      <c r="E37" s="2" t="n">
        <v>45985.0</v>
      </c>
      <c r="F37" t="n">
        <v>31.0</v>
      </c>
      <c r="G37" s="2" t="n">
        <v>45713.0</v>
      </c>
      <c r="H37"/>
      <c r="I37" s="3" t="n">
        <v>855.0</v>
      </c>
      <c r="J37" t="n">
        <v>25.0</v>
      </c>
      <c r="K37" t="n">
        <v>31.0</v>
      </c>
      <c r="L37" s="3" t="n">
        <f>IF(F37 &lt; 28, ROUND(F37 / DAY(EOMONTH(D37, 0)) * I37, 2), I37)</f>
        <v>0.0</v>
      </c>
      <c r="M37" s="3" t="n">
        <f>L37 * 0.10</f>
        <v>0.0</v>
      </c>
      <c r="N37" s="3" t="n">
        <f>L37 * 0.05</f>
        <v>0.0</v>
      </c>
      <c r="O37" s="3" t="n">
        <f>M37 + N37</f>
        <v>0.0</v>
      </c>
      <c r="P37" s="3" t="n">
        <f>L37 - O37</f>
        <v>0.0</v>
      </c>
    </row>
    <row r="38">
      <c r="A38" t="n">
        <v>5.0</v>
      </c>
      <c r="B38" t="inlineStr">
        <is>
          <t>LEASE-BH-F5-2025</t>
        </is>
      </c>
      <c r="C38" t="inlineStr">
        <is>
          <t>Flat 5 - 3 West Gate</t>
        </is>
      </c>
      <c r="D38" s="2" t="n">
        <v>45698.0</v>
      </c>
      <c r="E38" s="2" t="n">
        <v>45725.0</v>
      </c>
      <c r="F38" t="n">
        <v>28.0</v>
      </c>
      <c r="G38" s="2" t="n">
        <v>45698.0</v>
      </c>
      <c r="H38"/>
      <c r="I38" s="3" t="n">
        <v>740.0</v>
      </c>
      <c r="J38" t="n">
        <v>10.0</v>
      </c>
      <c r="K38" t="n">
        <v>28.0</v>
      </c>
      <c r="L38" s="3" t="n">
        <f>IF(F38 &lt; 28, ROUND(F38 / DAY(EOMONTH(D38, 0)) * I38, 2), I38)</f>
        <v>0.0</v>
      </c>
      <c r="M38" s="3" t="n">
        <f>L38 * 0.10</f>
        <v>0.0</v>
      </c>
      <c r="N38" s="3" t="n">
        <f>L38 * 0.05</f>
        <v>0.0</v>
      </c>
      <c r="O38" s="3" t="n">
        <f>M38 + N38</f>
        <v>0.0</v>
      </c>
      <c r="P38" s="3" t="n">
        <f>L38 - O38</f>
        <v>0.0</v>
      </c>
    </row>
    <row r="39">
      <c r="A39" t="n">
        <v>5.0</v>
      </c>
      <c r="B39" t="inlineStr">
        <is>
          <t>LEASE-BH-F5-2025</t>
        </is>
      </c>
      <c r="C39" t="inlineStr">
        <is>
          <t>Flat 5 - 3 West Gate</t>
        </is>
      </c>
      <c r="D39" s="2" t="n">
        <v>45726.0</v>
      </c>
      <c r="E39" s="2" t="n">
        <v>45756.0</v>
      </c>
      <c r="F39" t="n">
        <v>31.0</v>
      </c>
      <c r="G39" s="2" t="n">
        <v>45698.0</v>
      </c>
      <c r="H39"/>
      <c r="I39" s="3" t="n">
        <v>740.0</v>
      </c>
      <c r="J39" t="n">
        <v>10.0</v>
      </c>
      <c r="K39" t="n">
        <v>31.0</v>
      </c>
      <c r="L39" s="3" t="n">
        <f>IF(F39 &lt; 28, ROUND(F39 / DAY(EOMONTH(D39, 0)) * I39, 2), I39)</f>
        <v>0.0</v>
      </c>
      <c r="M39" s="3" t="n">
        <f>L39 * 0.10</f>
        <v>0.0</v>
      </c>
      <c r="N39" s="3" t="n">
        <f>L39 * 0.05</f>
        <v>0.0</v>
      </c>
      <c r="O39" s="3" t="n">
        <f>M39 + N39</f>
        <v>0.0</v>
      </c>
      <c r="P39" s="3" t="n">
        <f>L39 - O39</f>
        <v>0.0</v>
      </c>
    </row>
    <row r="40">
      <c r="A40" t="n">
        <v>5.0</v>
      </c>
      <c r="B40" t="inlineStr">
        <is>
          <t>LEASE-BH-F5-2025</t>
        </is>
      </c>
      <c r="C40" t="inlineStr">
        <is>
          <t>Flat 5 - 3 West Gate</t>
        </is>
      </c>
      <c r="D40" s="2" t="n">
        <v>45757.0</v>
      </c>
      <c r="E40" s="2" t="n">
        <v>45786.0</v>
      </c>
      <c r="F40" t="n">
        <v>30.0</v>
      </c>
      <c r="G40" s="2" t="n">
        <v>45698.0</v>
      </c>
      <c r="H40"/>
      <c r="I40" s="3" t="n">
        <v>740.0</v>
      </c>
      <c r="J40" t="n">
        <v>10.0</v>
      </c>
      <c r="K40" t="n">
        <v>30.0</v>
      </c>
      <c r="L40" s="3" t="n">
        <f>IF(F40 &lt; 28, ROUND(F40 / DAY(EOMONTH(D40, 0)) * I40, 2), I40)</f>
        <v>0.0</v>
      </c>
      <c r="M40" s="3" t="n">
        <f>L40 * 0.10</f>
        <v>0.0</v>
      </c>
      <c r="N40" s="3" t="n">
        <f>L40 * 0.05</f>
        <v>0.0</v>
      </c>
      <c r="O40" s="3" t="n">
        <f>M40 + N40</f>
        <v>0.0</v>
      </c>
      <c r="P40" s="3" t="n">
        <f>L40 - O40</f>
        <v>0.0</v>
      </c>
    </row>
    <row r="41">
      <c r="A41" t="n">
        <v>5.0</v>
      </c>
      <c r="B41" t="inlineStr">
        <is>
          <t>LEASE-BH-F5-2025</t>
        </is>
      </c>
      <c r="C41" t="inlineStr">
        <is>
          <t>Flat 5 - 3 West Gate</t>
        </is>
      </c>
      <c r="D41" s="2" t="n">
        <v>45787.0</v>
      </c>
      <c r="E41" s="2" t="n">
        <v>45817.0</v>
      </c>
      <c r="F41" t="n">
        <v>31.0</v>
      </c>
      <c r="G41" s="2" t="n">
        <v>45698.0</v>
      </c>
      <c r="H41"/>
      <c r="I41" s="3" t="n">
        <v>740.0</v>
      </c>
      <c r="J41" t="n">
        <v>10.0</v>
      </c>
      <c r="K41" t="n">
        <v>31.0</v>
      </c>
      <c r="L41" s="3" t="n">
        <f>IF(F41 &lt; 28, ROUND(F41 / DAY(EOMONTH(D41, 0)) * I41, 2), I41)</f>
        <v>0.0</v>
      </c>
      <c r="M41" s="3" t="n">
        <f>L41 * 0.10</f>
        <v>0.0</v>
      </c>
      <c r="N41" s="3" t="n">
        <f>L41 * 0.05</f>
        <v>0.0</v>
      </c>
      <c r="O41" s="3" t="n">
        <f>M41 + N41</f>
        <v>0.0</v>
      </c>
      <c r="P41" s="3" t="n">
        <f>L41 - O41</f>
        <v>0.0</v>
      </c>
    </row>
    <row r="42">
      <c r="A42" t="n">
        <v>5.0</v>
      </c>
      <c r="B42" t="inlineStr">
        <is>
          <t>LEASE-BH-F5-2025</t>
        </is>
      </c>
      <c r="C42" t="inlineStr">
        <is>
          <t>Flat 5 - 3 West Gate</t>
        </is>
      </c>
      <c r="D42" s="2" t="n">
        <v>45818.0</v>
      </c>
      <c r="E42" s="2" t="n">
        <v>45847.0</v>
      </c>
      <c r="F42" t="n">
        <v>30.0</v>
      </c>
      <c r="G42" s="2" t="n">
        <v>45698.0</v>
      </c>
      <c r="H42"/>
      <c r="I42" s="3" t="n">
        <v>740.0</v>
      </c>
      <c r="J42" t="n">
        <v>10.0</v>
      </c>
      <c r="K42" t="n">
        <v>30.0</v>
      </c>
      <c r="L42" s="3" t="n">
        <f>IF(F42 &lt; 28, ROUND(F42 / DAY(EOMONTH(D42, 0)) * I42, 2), I42)</f>
        <v>0.0</v>
      </c>
      <c r="M42" s="3" t="n">
        <f>L42 * 0.10</f>
        <v>0.0</v>
      </c>
      <c r="N42" s="3" t="n">
        <f>L42 * 0.05</f>
        <v>0.0</v>
      </c>
      <c r="O42" s="3" t="n">
        <f>M42 + N42</f>
        <v>0.0</v>
      </c>
      <c r="P42" s="3" t="n">
        <f>L42 - O42</f>
        <v>0.0</v>
      </c>
    </row>
    <row r="43">
      <c r="A43" t="n">
        <v>5.0</v>
      </c>
      <c r="B43" t="inlineStr">
        <is>
          <t>LEASE-BH-F5-2025</t>
        </is>
      </c>
      <c r="C43" t="inlineStr">
        <is>
          <t>Flat 5 - 3 West Gate</t>
        </is>
      </c>
      <c r="D43" s="2" t="n">
        <v>45848.0</v>
      </c>
      <c r="E43" s="2" t="n">
        <v>45878.0</v>
      </c>
      <c r="F43" t="n">
        <v>31.0</v>
      </c>
      <c r="G43" s="2" t="n">
        <v>45698.0</v>
      </c>
      <c r="H43"/>
      <c r="I43" s="3" t="n">
        <v>740.0</v>
      </c>
      <c r="J43" t="n">
        <v>10.0</v>
      </c>
      <c r="K43" t="n">
        <v>31.0</v>
      </c>
      <c r="L43" s="3" t="n">
        <f>IF(F43 &lt; 28, ROUND(F43 / DAY(EOMONTH(D43, 0)) * I43, 2), I43)</f>
        <v>0.0</v>
      </c>
      <c r="M43" s="3" t="n">
        <f>L43 * 0.10</f>
        <v>0.0</v>
      </c>
      <c r="N43" s="3" t="n">
        <f>L43 * 0.05</f>
        <v>0.0</v>
      </c>
      <c r="O43" s="3" t="n">
        <f>M43 + N43</f>
        <v>0.0</v>
      </c>
      <c r="P43" s="3" t="n">
        <f>L43 - O43</f>
        <v>0.0</v>
      </c>
    </row>
    <row r="44">
      <c r="A44" t="n">
        <v>5.0</v>
      </c>
      <c r="B44" t="inlineStr">
        <is>
          <t>LEASE-BH-F5-2025</t>
        </is>
      </c>
      <c r="C44" t="inlineStr">
        <is>
          <t>Flat 5 - 3 West Gate</t>
        </is>
      </c>
      <c r="D44" s="2" t="n">
        <v>45879.0</v>
      </c>
      <c r="E44" s="2" t="n">
        <v>45909.0</v>
      </c>
      <c r="F44" t="n">
        <v>31.0</v>
      </c>
      <c r="G44" s="2" t="n">
        <v>45698.0</v>
      </c>
      <c r="H44"/>
      <c r="I44" s="3" t="n">
        <v>740.0</v>
      </c>
      <c r="J44" t="n">
        <v>10.0</v>
      </c>
      <c r="K44" t="n">
        <v>31.0</v>
      </c>
      <c r="L44" s="3" t="n">
        <f>IF(F44 &lt; 28, ROUND(F44 / DAY(EOMONTH(D44, 0)) * I44, 2), I44)</f>
        <v>0.0</v>
      </c>
      <c r="M44" s="3" t="n">
        <f>L44 * 0.10</f>
        <v>0.0</v>
      </c>
      <c r="N44" s="3" t="n">
        <f>L44 * 0.05</f>
        <v>0.0</v>
      </c>
      <c r="O44" s="3" t="n">
        <f>M44 + N44</f>
        <v>0.0</v>
      </c>
      <c r="P44" s="3" t="n">
        <f>L44 - O44</f>
        <v>0.0</v>
      </c>
    </row>
    <row r="45">
      <c r="A45" t="n">
        <v>5.0</v>
      </c>
      <c r="B45" t="inlineStr">
        <is>
          <t>LEASE-BH-F5-2025</t>
        </is>
      </c>
      <c r="C45" t="inlineStr">
        <is>
          <t>Flat 5 - 3 West Gate</t>
        </is>
      </c>
      <c r="D45" s="2" t="n">
        <v>45910.0</v>
      </c>
      <c r="E45" s="2" t="n">
        <v>45939.0</v>
      </c>
      <c r="F45" t="n">
        <v>30.0</v>
      </c>
      <c r="G45" s="2" t="n">
        <v>45698.0</v>
      </c>
      <c r="H45"/>
      <c r="I45" s="3" t="n">
        <v>740.0</v>
      </c>
      <c r="J45" t="n">
        <v>10.0</v>
      </c>
      <c r="K45" t="n">
        <v>30.0</v>
      </c>
      <c r="L45" s="3" t="n">
        <f>IF(F45 &lt; 28, ROUND(F45 / DAY(EOMONTH(D45, 0)) * I45, 2), I45)</f>
        <v>0.0</v>
      </c>
      <c r="M45" s="3" t="n">
        <f>L45 * 0.10</f>
        <v>0.0</v>
      </c>
      <c r="N45" s="3" t="n">
        <f>L45 * 0.05</f>
        <v>0.0</v>
      </c>
      <c r="O45" s="3" t="n">
        <f>M45 + N45</f>
        <v>0.0</v>
      </c>
      <c r="P45" s="3" t="n">
        <f>L45 - O45</f>
        <v>0.0</v>
      </c>
    </row>
    <row r="46">
      <c r="A46" t="n">
        <v>5.0</v>
      </c>
      <c r="B46" t="inlineStr">
        <is>
          <t>LEASE-BH-F5-2025</t>
        </is>
      </c>
      <c r="C46" t="inlineStr">
        <is>
          <t>Flat 5 - 3 West Gate</t>
        </is>
      </c>
      <c r="D46" s="2" t="n">
        <v>45940.0</v>
      </c>
      <c r="E46" s="2" t="n">
        <v>45970.0</v>
      </c>
      <c r="F46" t="n">
        <v>31.0</v>
      </c>
      <c r="G46" s="2" t="n">
        <v>45698.0</v>
      </c>
      <c r="H46"/>
      <c r="I46" s="3" t="n">
        <v>740.0</v>
      </c>
      <c r="J46" t="n">
        <v>10.0</v>
      </c>
      <c r="K46" t="n">
        <v>31.0</v>
      </c>
      <c r="L46" s="3" t="n">
        <f>IF(F46 &lt; 28, ROUND(F46 / DAY(EOMONTH(D46, 0)) * I46, 2), I46)</f>
        <v>0.0</v>
      </c>
      <c r="M46" s="3" t="n">
        <f>L46 * 0.10</f>
        <v>0.0</v>
      </c>
      <c r="N46" s="3" t="n">
        <f>L46 * 0.05</f>
        <v>0.0</v>
      </c>
      <c r="O46" s="3" t="n">
        <f>M46 + N46</f>
        <v>0.0</v>
      </c>
      <c r="P46" s="3" t="n">
        <f>L46 - O46</f>
        <v>0.0</v>
      </c>
    </row>
    <row r="47">
      <c r="A47" t="n">
        <v>5.0</v>
      </c>
      <c r="B47" t="inlineStr">
        <is>
          <t>LEASE-BH-F5-2025</t>
        </is>
      </c>
      <c r="C47" t="inlineStr">
        <is>
          <t>Flat 5 - 3 West Gate</t>
        </is>
      </c>
      <c r="D47" s="2" t="n">
        <v>45971.0</v>
      </c>
      <c r="E47" s="2" t="n">
        <v>46000.0</v>
      </c>
      <c r="F47" t="n">
        <v>30.0</v>
      </c>
      <c r="G47" s="2" t="n">
        <v>45698.0</v>
      </c>
      <c r="H47"/>
      <c r="I47" s="3" t="n">
        <v>740.0</v>
      </c>
      <c r="J47" t="n">
        <v>10.0</v>
      </c>
      <c r="K47" t="n">
        <v>30.0</v>
      </c>
      <c r="L47" s="3" t="n">
        <f>IF(F47 &lt; 28, ROUND(F47 / DAY(EOMONTH(D47, 0)) * I47, 2), I47)</f>
        <v>0.0</v>
      </c>
      <c r="M47" s="3" t="n">
        <f>L47 * 0.10</f>
        <v>0.0</v>
      </c>
      <c r="N47" s="3" t="n">
        <f>L47 * 0.05</f>
        <v>0.0</v>
      </c>
      <c r="O47" s="3" t="n">
        <f>M47 + N47</f>
        <v>0.0</v>
      </c>
      <c r="P47" s="3" t="n">
        <f>L47 - O47</f>
        <v>0.0</v>
      </c>
    </row>
    <row r="48">
      <c r="A48" t="n">
        <v>6.0</v>
      </c>
      <c r="B48" t="inlineStr">
        <is>
          <t>LEASE-BH-F6-2025</t>
        </is>
      </c>
      <c r="C48" t="inlineStr">
        <is>
          <t>Flat 6 - 3 West Gate</t>
        </is>
      </c>
      <c r="D48" s="2" t="n">
        <v>45744.0</v>
      </c>
      <c r="E48" s="2" t="n">
        <v>45774.0</v>
      </c>
      <c r="F48" t="n">
        <v>31.0</v>
      </c>
      <c r="G48" s="2" t="n">
        <v>45744.0</v>
      </c>
      <c r="H48"/>
      <c r="I48" s="3" t="n">
        <v>740.0</v>
      </c>
      <c r="J48" t="n">
        <v>28.0</v>
      </c>
      <c r="K48" t="n">
        <v>31.0</v>
      </c>
      <c r="L48" s="3" t="n">
        <f>IF(F48 &lt; 28, ROUND(F48 / DAY(EOMONTH(D48, 0)) * I48, 2), I48)</f>
        <v>0.0</v>
      </c>
      <c r="M48" s="3" t="n">
        <f>L48 * 0.10</f>
        <v>0.0</v>
      </c>
      <c r="N48" s="3" t="n">
        <f>L48 * 0.05</f>
        <v>0.0</v>
      </c>
      <c r="O48" s="3" t="n">
        <f>M48 + N48</f>
        <v>0.0</v>
      </c>
      <c r="P48" s="3" t="n">
        <f>L48 - O48</f>
        <v>0.0</v>
      </c>
    </row>
    <row r="49">
      <c r="A49" t="n">
        <v>6.0</v>
      </c>
      <c r="B49" t="inlineStr">
        <is>
          <t>LEASE-BH-F6-2025</t>
        </is>
      </c>
      <c r="C49" t="inlineStr">
        <is>
          <t>Flat 6 - 3 West Gate</t>
        </is>
      </c>
      <c r="D49" s="2" t="n">
        <v>45775.0</v>
      </c>
      <c r="E49" s="2" t="n">
        <v>45804.0</v>
      </c>
      <c r="F49" t="n">
        <v>30.0</v>
      </c>
      <c r="G49" s="2" t="n">
        <v>45744.0</v>
      </c>
      <c r="H49"/>
      <c r="I49" s="3" t="n">
        <v>740.0</v>
      </c>
      <c r="J49" t="n">
        <v>28.0</v>
      </c>
      <c r="K49" t="n">
        <v>30.0</v>
      </c>
      <c r="L49" s="3" t="n">
        <f>IF(F49 &lt; 28, ROUND(F49 / DAY(EOMONTH(D49, 0)) * I49, 2), I49)</f>
        <v>0.0</v>
      </c>
      <c r="M49" s="3" t="n">
        <f>L49 * 0.10</f>
        <v>0.0</v>
      </c>
      <c r="N49" s="3" t="n">
        <f>L49 * 0.05</f>
        <v>0.0</v>
      </c>
      <c r="O49" s="3" t="n">
        <f>M49 + N49</f>
        <v>0.0</v>
      </c>
      <c r="P49" s="3" t="n">
        <f>L49 - O49</f>
        <v>0.0</v>
      </c>
    </row>
    <row r="50">
      <c r="A50" t="n">
        <v>6.0</v>
      </c>
      <c r="B50" t="inlineStr">
        <is>
          <t>LEASE-BH-F6-2025</t>
        </is>
      </c>
      <c r="C50" t="inlineStr">
        <is>
          <t>Flat 6 - 3 West Gate</t>
        </is>
      </c>
      <c r="D50" s="2" t="n">
        <v>45805.0</v>
      </c>
      <c r="E50" s="2" t="n">
        <v>45835.0</v>
      </c>
      <c r="F50" t="n">
        <v>31.0</v>
      </c>
      <c r="G50" s="2" t="n">
        <v>45744.0</v>
      </c>
      <c r="H50"/>
      <c r="I50" s="3" t="n">
        <v>740.0</v>
      </c>
      <c r="J50" t="n">
        <v>28.0</v>
      </c>
      <c r="K50" t="n">
        <v>31.0</v>
      </c>
      <c r="L50" s="3" t="n">
        <f>IF(F50 &lt; 28, ROUND(F50 / DAY(EOMONTH(D50, 0)) * I50, 2), I50)</f>
        <v>0.0</v>
      </c>
      <c r="M50" s="3" t="n">
        <f>L50 * 0.10</f>
        <v>0.0</v>
      </c>
      <c r="N50" s="3" t="n">
        <f>L50 * 0.05</f>
        <v>0.0</v>
      </c>
      <c r="O50" s="3" t="n">
        <f>M50 + N50</f>
        <v>0.0</v>
      </c>
      <c r="P50" s="3" t="n">
        <f>L50 - O50</f>
        <v>0.0</v>
      </c>
    </row>
    <row r="51">
      <c r="A51" t="n">
        <v>6.0</v>
      </c>
      <c r="B51" t="inlineStr">
        <is>
          <t>LEASE-BH-F6-2025</t>
        </is>
      </c>
      <c r="C51" t="inlineStr">
        <is>
          <t>Flat 6 - 3 West Gate</t>
        </is>
      </c>
      <c r="D51" s="2" t="n">
        <v>45836.0</v>
      </c>
      <c r="E51" s="2" t="n">
        <v>45865.0</v>
      </c>
      <c r="F51" t="n">
        <v>30.0</v>
      </c>
      <c r="G51" s="2" t="n">
        <v>45744.0</v>
      </c>
      <c r="H51"/>
      <c r="I51" s="3" t="n">
        <v>740.0</v>
      </c>
      <c r="J51" t="n">
        <v>28.0</v>
      </c>
      <c r="K51" t="n">
        <v>30.0</v>
      </c>
      <c r="L51" s="3" t="n">
        <f>IF(F51 &lt; 28, ROUND(F51 / DAY(EOMONTH(D51, 0)) * I51, 2), I51)</f>
        <v>0.0</v>
      </c>
      <c r="M51" s="3" t="n">
        <f>L51 * 0.10</f>
        <v>0.0</v>
      </c>
      <c r="N51" s="3" t="n">
        <f>L51 * 0.05</f>
        <v>0.0</v>
      </c>
      <c r="O51" s="3" t="n">
        <f>M51 + N51</f>
        <v>0.0</v>
      </c>
      <c r="P51" s="3" t="n">
        <f>L51 - O51</f>
        <v>0.0</v>
      </c>
    </row>
    <row r="52">
      <c r="A52" t="n">
        <v>6.0</v>
      </c>
      <c r="B52" t="inlineStr">
        <is>
          <t>LEASE-BH-F6-2025</t>
        </is>
      </c>
      <c r="C52" t="inlineStr">
        <is>
          <t>Flat 6 - 3 West Gate</t>
        </is>
      </c>
      <c r="D52" s="2" t="n">
        <v>45866.0</v>
      </c>
      <c r="E52" s="2" t="n">
        <v>45896.0</v>
      </c>
      <c r="F52" t="n">
        <v>31.0</v>
      </c>
      <c r="G52" s="2" t="n">
        <v>45744.0</v>
      </c>
      <c r="H52"/>
      <c r="I52" s="3" t="n">
        <v>740.0</v>
      </c>
      <c r="J52" t="n">
        <v>28.0</v>
      </c>
      <c r="K52" t="n">
        <v>31.0</v>
      </c>
      <c r="L52" s="3" t="n">
        <f>IF(F52 &lt; 28, ROUND(F52 / DAY(EOMONTH(D52, 0)) * I52, 2), I52)</f>
        <v>0.0</v>
      </c>
      <c r="M52" s="3" t="n">
        <f>L52 * 0.10</f>
        <v>0.0</v>
      </c>
      <c r="N52" s="3" t="n">
        <f>L52 * 0.05</f>
        <v>0.0</v>
      </c>
      <c r="O52" s="3" t="n">
        <f>M52 + N52</f>
        <v>0.0</v>
      </c>
      <c r="P52" s="3" t="n">
        <f>L52 - O52</f>
        <v>0.0</v>
      </c>
    </row>
    <row r="53">
      <c r="A53" t="n">
        <v>6.0</v>
      </c>
      <c r="B53" t="inlineStr">
        <is>
          <t>LEASE-BH-F6-2025</t>
        </is>
      </c>
      <c r="C53" t="inlineStr">
        <is>
          <t>Flat 6 - 3 West Gate</t>
        </is>
      </c>
      <c r="D53" s="2" t="n">
        <v>45897.0</v>
      </c>
      <c r="E53" s="2" t="n">
        <v>45927.0</v>
      </c>
      <c r="F53" t="n">
        <v>31.0</v>
      </c>
      <c r="G53" s="2" t="n">
        <v>45744.0</v>
      </c>
      <c r="H53"/>
      <c r="I53" s="3" t="n">
        <v>740.0</v>
      </c>
      <c r="J53" t="n">
        <v>28.0</v>
      </c>
      <c r="K53" t="n">
        <v>31.0</v>
      </c>
      <c r="L53" s="3" t="n">
        <f>IF(F53 &lt; 28, ROUND(F53 / DAY(EOMONTH(D53, 0)) * I53, 2), I53)</f>
        <v>0.0</v>
      </c>
      <c r="M53" s="3" t="n">
        <f>L53 * 0.10</f>
        <v>0.0</v>
      </c>
      <c r="N53" s="3" t="n">
        <f>L53 * 0.05</f>
        <v>0.0</v>
      </c>
      <c r="O53" s="3" t="n">
        <f>M53 + N53</f>
        <v>0.0</v>
      </c>
      <c r="P53" s="3" t="n">
        <f>L53 - O53</f>
        <v>0.0</v>
      </c>
    </row>
    <row r="54">
      <c r="A54" t="n">
        <v>6.0</v>
      </c>
      <c r="B54" t="inlineStr">
        <is>
          <t>LEASE-BH-F6-2025</t>
        </is>
      </c>
      <c r="C54" t="inlineStr">
        <is>
          <t>Flat 6 - 3 West Gate</t>
        </is>
      </c>
      <c r="D54" s="2" t="n">
        <v>45928.0</v>
      </c>
      <c r="E54" s="2" t="n">
        <v>45957.0</v>
      </c>
      <c r="F54" t="n">
        <v>30.0</v>
      </c>
      <c r="G54" s="2" t="n">
        <v>45744.0</v>
      </c>
      <c r="H54"/>
      <c r="I54" s="3" t="n">
        <v>740.0</v>
      </c>
      <c r="J54" t="n">
        <v>28.0</v>
      </c>
      <c r="K54" t="n">
        <v>30.0</v>
      </c>
      <c r="L54" s="3" t="n">
        <f>IF(F54 &lt; 28, ROUND(F54 / DAY(EOMONTH(D54, 0)) * I54, 2), I54)</f>
        <v>0.0</v>
      </c>
      <c r="M54" s="3" t="n">
        <f>L54 * 0.10</f>
        <v>0.0</v>
      </c>
      <c r="N54" s="3" t="n">
        <f>L54 * 0.05</f>
        <v>0.0</v>
      </c>
      <c r="O54" s="3" t="n">
        <f>M54 + N54</f>
        <v>0.0</v>
      </c>
      <c r="P54" s="3" t="n">
        <f>L54 - O54</f>
        <v>0.0</v>
      </c>
    </row>
    <row r="55">
      <c r="A55" t="n">
        <v>6.0</v>
      </c>
      <c r="B55" t="inlineStr">
        <is>
          <t>LEASE-BH-F6-2025</t>
        </is>
      </c>
      <c r="C55" t="inlineStr">
        <is>
          <t>Flat 6 - 3 West Gate</t>
        </is>
      </c>
      <c r="D55" s="2" t="n">
        <v>45958.0</v>
      </c>
      <c r="E55" s="2" t="n">
        <v>45988.0</v>
      </c>
      <c r="F55" t="n">
        <v>31.0</v>
      </c>
      <c r="G55" s="2" t="n">
        <v>45744.0</v>
      </c>
      <c r="H55"/>
      <c r="I55" s="3" t="n">
        <v>740.0</v>
      </c>
      <c r="J55" t="n">
        <v>28.0</v>
      </c>
      <c r="K55" t="n">
        <v>31.0</v>
      </c>
      <c r="L55" s="3" t="n">
        <f>IF(F55 &lt; 28, ROUND(F55 / DAY(EOMONTH(D55, 0)) * I55, 2), I55)</f>
        <v>0.0</v>
      </c>
      <c r="M55" s="3" t="n">
        <f>L55 * 0.10</f>
        <v>0.0</v>
      </c>
      <c r="N55" s="3" t="n">
        <f>L55 * 0.05</f>
        <v>0.0</v>
      </c>
      <c r="O55" s="3" t="n">
        <f>M55 + N55</f>
        <v>0.0</v>
      </c>
      <c r="P55" s="3" t="n">
        <f>L55 - O55</f>
        <v>0.0</v>
      </c>
    </row>
    <row r="56">
      <c r="A56" t="n">
        <v>7.0</v>
      </c>
      <c r="B56" t="inlineStr">
        <is>
          <t>LEASE-BH-F7-2025</t>
        </is>
      </c>
      <c r="C56" t="inlineStr">
        <is>
          <t>Flat 7 - 3 West Gate</t>
        </is>
      </c>
      <c r="D56" s="2" t="n">
        <v>45707.0</v>
      </c>
      <c r="E56" s="2" t="n">
        <v>45734.0</v>
      </c>
      <c r="F56" t="n">
        <v>28.0</v>
      </c>
      <c r="G56" s="2" t="n">
        <v>45707.0</v>
      </c>
      <c r="H56" s="2" t="n">
        <v>45887.0</v>
      </c>
      <c r="I56" s="3" t="n">
        <v>700.0</v>
      </c>
      <c r="J56" t="n">
        <v>19.0</v>
      </c>
      <c r="K56" t="n">
        <v>28.0</v>
      </c>
      <c r="L56" s="3" t="n">
        <f>IF(F56 &lt; 28, ROUND(F56 / DAY(EOMONTH(D56, 0)) * I56, 2), I56)</f>
        <v>0.0</v>
      </c>
      <c r="M56" s="3" t="n">
        <f>L56 * 0.10</f>
        <v>0.0</v>
      </c>
      <c r="N56" s="3" t="n">
        <f>L56 * 0.05</f>
        <v>0.0</v>
      </c>
      <c r="O56" s="3" t="n">
        <f>M56 + N56</f>
        <v>0.0</v>
      </c>
      <c r="P56" s="3" t="n">
        <f>L56 - O56</f>
        <v>0.0</v>
      </c>
    </row>
    <row r="57">
      <c r="A57" t="n">
        <v>7.0</v>
      </c>
      <c r="B57" t="inlineStr">
        <is>
          <t>LEASE-BH-F7-2025</t>
        </is>
      </c>
      <c r="C57" t="inlineStr">
        <is>
          <t>Flat 7 - 3 West Gate</t>
        </is>
      </c>
      <c r="D57" s="2" t="n">
        <v>45735.0</v>
      </c>
      <c r="E57" s="2" t="n">
        <v>45765.0</v>
      </c>
      <c r="F57" t="n">
        <v>31.0</v>
      </c>
      <c r="G57" s="2" t="n">
        <v>45707.0</v>
      </c>
      <c r="H57" s="2" t="n">
        <v>45887.0</v>
      </c>
      <c r="I57" s="3" t="n">
        <v>700.0</v>
      </c>
      <c r="J57" t="n">
        <v>19.0</v>
      </c>
      <c r="K57" t="n">
        <v>31.0</v>
      </c>
      <c r="L57" s="3" t="n">
        <f>IF(F57 &lt; 28, ROUND(F57 / DAY(EOMONTH(D57, 0)) * I57, 2), I57)</f>
        <v>0.0</v>
      </c>
      <c r="M57" s="3" t="n">
        <f>L57 * 0.10</f>
        <v>0.0</v>
      </c>
      <c r="N57" s="3" t="n">
        <f>L57 * 0.05</f>
        <v>0.0</v>
      </c>
      <c r="O57" s="3" t="n">
        <f>M57 + N57</f>
        <v>0.0</v>
      </c>
      <c r="P57" s="3" t="n">
        <f>L57 - O57</f>
        <v>0.0</v>
      </c>
    </row>
    <row r="58">
      <c r="A58" t="n">
        <v>7.0</v>
      </c>
      <c r="B58" t="inlineStr">
        <is>
          <t>LEASE-BH-F7-2025</t>
        </is>
      </c>
      <c r="C58" t="inlineStr">
        <is>
          <t>Flat 7 - 3 West Gate</t>
        </is>
      </c>
      <c r="D58" s="2" t="n">
        <v>45766.0</v>
      </c>
      <c r="E58" s="2" t="n">
        <v>45795.0</v>
      </c>
      <c r="F58" t="n">
        <v>30.0</v>
      </c>
      <c r="G58" s="2" t="n">
        <v>45707.0</v>
      </c>
      <c r="H58" s="2" t="n">
        <v>45887.0</v>
      </c>
      <c r="I58" s="3" t="n">
        <v>700.0</v>
      </c>
      <c r="J58" t="n">
        <v>19.0</v>
      </c>
      <c r="K58" t="n">
        <v>30.0</v>
      </c>
      <c r="L58" s="3" t="n">
        <f>IF(F58 &lt; 28, ROUND(F58 / DAY(EOMONTH(D58, 0)) * I58, 2), I58)</f>
        <v>0.0</v>
      </c>
      <c r="M58" s="3" t="n">
        <f>L58 * 0.10</f>
        <v>0.0</v>
      </c>
      <c r="N58" s="3" t="n">
        <f>L58 * 0.05</f>
        <v>0.0</v>
      </c>
      <c r="O58" s="3" t="n">
        <f>M58 + N58</f>
        <v>0.0</v>
      </c>
      <c r="P58" s="3" t="n">
        <f>L58 - O58</f>
        <v>0.0</v>
      </c>
    </row>
    <row r="59">
      <c r="A59" t="n">
        <v>7.0</v>
      </c>
      <c r="B59" t="inlineStr">
        <is>
          <t>LEASE-BH-F7-2025</t>
        </is>
      </c>
      <c r="C59" t="inlineStr">
        <is>
          <t>Flat 7 - 3 West Gate</t>
        </is>
      </c>
      <c r="D59" s="2" t="n">
        <v>45796.0</v>
      </c>
      <c r="E59" s="2" t="n">
        <v>45826.0</v>
      </c>
      <c r="F59" t="n">
        <v>31.0</v>
      </c>
      <c r="G59" s="2" t="n">
        <v>45707.0</v>
      </c>
      <c r="H59" s="2" t="n">
        <v>45887.0</v>
      </c>
      <c r="I59" s="3" t="n">
        <v>700.0</v>
      </c>
      <c r="J59" t="n">
        <v>19.0</v>
      </c>
      <c r="K59" t="n">
        <v>31.0</v>
      </c>
      <c r="L59" s="3" t="n">
        <f>IF(F59 &lt; 28, ROUND(F59 / DAY(EOMONTH(D59, 0)) * I59, 2), I59)</f>
        <v>0.0</v>
      </c>
      <c r="M59" s="3" t="n">
        <f>L59 * 0.10</f>
        <v>0.0</v>
      </c>
      <c r="N59" s="3" t="n">
        <f>L59 * 0.05</f>
        <v>0.0</v>
      </c>
      <c r="O59" s="3" t="n">
        <f>M59 + N59</f>
        <v>0.0</v>
      </c>
      <c r="P59" s="3" t="n">
        <f>L59 - O59</f>
        <v>0.0</v>
      </c>
    </row>
    <row r="60">
      <c r="A60" t="n">
        <v>7.0</v>
      </c>
      <c r="B60" t="inlineStr">
        <is>
          <t>LEASE-BH-F7-2025</t>
        </is>
      </c>
      <c r="C60" t="inlineStr">
        <is>
          <t>Flat 7 - 3 West Gate</t>
        </is>
      </c>
      <c r="D60" s="2" t="n">
        <v>45827.0</v>
      </c>
      <c r="E60" s="2" t="n">
        <v>45856.0</v>
      </c>
      <c r="F60" t="n">
        <v>30.0</v>
      </c>
      <c r="G60" s="2" t="n">
        <v>45707.0</v>
      </c>
      <c r="H60" s="2" t="n">
        <v>45887.0</v>
      </c>
      <c r="I60" s="3" t="n">
        <v>700.0</v>
      </c>
      <c r="J60" t="n">
        <v>19.0</v>
      </c>
      <c r="K60" t="n">
        <v>30.0</v>
      </c>
      <c r="L60" s="3" t="n">
        <f>IF(F60 &lt; 28, ROUND(F60 / DAY(EOMONTH(D60, 0)) * I60, 2), I60)</f>
        <v>0.0</v>
      </c>
      <c r="M60" s="3" t="n">
        <f>L60 * 0.10</f>
        <v>0.0</v>
      </c>
      <c r="N60" s="3" t="n">
        <f>L60 * 0.05</f>
        <v>0.0</v>
      </c>
      <c r="O60" s="3" t="n">
        <f>M60 + N60</f>
        <v>0.0</v>
      </c>
      <c r="P60" s="3" t="n">
        <f>L60 - O60</f>
        <v>0.0</v>
      </c>
    </row>
    <row r="61">
      <c r="A61" t="n">
        <v>7.0</v>
      </c>
      <c r="B61" t="inlineStr">
        <is>
          <t>LEASE-BH-F7-2025</t>
        </is>
      </c>
      <c r="C61" t="inlineStr">
        <is>
          <t>Flat 7 - 3 West Gate</t>
        </is>
      </c>
      <c r="D61" s="2" t="n">
        <v>45857.0</v>
      </c>
      <c r="E61" s="2" t="n">
        <v>45887.0</v>
      </c>
      <c r="F61" t="n">
        <v>31.0</v>
      </c>
      <c r="G61" s="2" t="n">
        <v>45707.0</v>
      </c>
      <c r="H61" s="2" t="n">
        <v>45887.0</v>
      </c>
      <c r="I61" s="3" t="n">
        <v>700.0</v>
      </c>
      <c r="J61" t="n">
        <v>19.0</v>
      </c>
      <c r="K61" t="n">
        <v>31.0</v>
      </c>
      <c r="L61" s="3" t="n">
        <f>IF(F61 &lt; 28, ROUND(F61 / DAY(EOMONTH(D61, 0)) * I61, 2), I61)</f>
        <v>0.0</v>
      </c>
      <c r="M61" s="3" t="n">
        <f>L61 * 0.10</f>
        <v>0.0</v>
      </c>
      <c r="N61" s="3" t="n">
        <f>L61 * 0.05</f>
        <v>0.0</v>
      </c>
      <c r="O61" s="3" t="n">
        <f>M61 + N61</f>
        <v>0.0</v>
      </c>
      <c r="P61" s="3" t="n">
        <f>L61 - O61</f>
        <v>0.0</v>
      </c>
    </row>
    <row r="62">
      <c r="A62" t="n">
        <v>8.0</v>
      </c>
      <c r="B62" t="inlineStr">
        <is>
          <t>LEASE-BH-F8-2025</t>
        </is>
      </c>
      <c r="C62" t="inlineStr">
        <is>
          <t>Flat 8 - 3 West Gate</t>
        </is>
      </c>
      <c r="D62" s="2" t="n">
        <v>45712.0</v>
      </c>
      <c r="E62" s="2" t="n">
        <v>45739.0</v>
      </c>
      <c r="F62" t="n">
        <v>28.0</v>
      </c>
      <c r="G62" s="2" t="n">
        <v>45712.0</v>
      </c>
      <c r="H62"/>
      <c r="I62" s="3" t="n">
        <v>675.0</v>
      </c>
      <c r="J62" t="n">
        <v>24.0</v>
      </c>
      <c r="K62" t="n">
        <v>28.0</v>
      </c>
      <c r="L62" s="3" t="n">
        <f>IF(F62 &lt; 28, ROUND(F62 / DAY(EOMONTH(D62, 0)) * I62, 2), I62)</f>
        <v>0.0</v>
      </c>
      <c r="M62" s="3" t="n">
        <f>L62 * 0.10</f>
        <v>0.0</v>
      </c>
      <c r="N62" s="3" t="n">
        <f>L62 * 0.05</f>
        <v>0.0</v>
      </c>
      <c r="O62" s="3" t="n">
        <f>M62 + N62</f>
        <v>0.0</v>
      </c>
      <c r="P62" s="3" t="n">
        <f>L62 - O62</f>
        <v>0.0</v>
      </c>
    </row>
    <row r="63">
      <c r="A63" t="n">
        <v>8.0</v>
      </c>
      <c r="B63" t="inlineStr">
        <is>
          <t>LEASE-BH-F8-2025</t>
        </is>
      </c>
      <c r="C63" t="inlineStr">
        <is>
          <t>Flat 8 - 3 West Gate</t>
        </is>
      </c>
      <c r="D63" s="2" t="n">
        <v>45740.0</v>
      </c>
      <c r="E63" s="2" t="n">
        <v>45770.0</v>
      </c>
      <c r="F63" t="n">
        <v>31.0</v>
      </c>
      <c r="G63" s="2" t="n">
        <v>45712.0</v>
      </c>
      <c r="H63"/>
      <c r="I63" s="3" t="n">
        <v>675.0</v>
      </c>
      <c r="J63" t="n">
        <v>24.0</v>
      </c>
      <c r="K63" t="n">
        <v>31.0</v>
      </c>
      <c r="L63" s="3" t="n">
        <f>IF(F63 &lt; 28, ROUND(F63 / DAY(EOMONTH(D63, 0)) * I63, 2), I63)</f>
        <v>0.0</v>
      </c>
      <c r="M63" s="3" t="n">
        <f>L63 * 0.10</f>
        <v>0.0</v>
      </c>
      <c r="N63" s="3" t="n">
        <f>L63 * 0.05</f>
        <v>0.0</v>
      </c>
      <c r="O63" s="3" t="n">
        <f>M63 + N63</f>
        <v>0.0</v>
      </c>
      <c r="P63" s="3" t="n">
        <f>L63 - O63</f>
        <v>0.0</v>
      </c>
    </row>
    <row r="64">
      <c r="A64" t="n">
        <v>8.0</v>
      </c>
      <c r="B64" t="inlineStr">
        <is>
          <t>LEASE-BH-F8-2025</t>
        </is>
      </c>
      <c r="C64" t="inlineStr">
        <is>
          <t>Flat 8 - 3 West Gate</t>
        </is>
      </c>
      <c r="D64" s="2" t="n">
        <v>45771.0</v>
      </c>
      <c r="E64" s="2" t="n">
        <v>45800.0</v>
      </c>
      <c r="F64" t="n">
        <v>30.0</v>
      </c>
      <c r="G64" s="2" t="n">
        <v>45712.0</v>
      </c>
      <c r="H64"/>
      <c r="I64" s="3" t="n">
        <v>675.0</v>
      </c>
      <c r="J64" t="n">
        <v>24.0</v>
      </c>
      <c r="K64" t="n">
        <v>30.0</v>
      </c>
      <c r="L64" s="3" t="n">
        <f>IF(F64 &lt; 28, ROUND(F64 / DAY(EOMONTH(D64, 0)) * I64, 2), I64)</f>
        <v>0.0</v>
      </c>
      <c r="M64" s="3" t="n">
        <f>L64 * 0.10</f>
        <v>0.0</v>
      </c>
      <c r="N64" s="3" t="n">
        <f>L64 * 0.05</f>
        <v>0.0</v>
      </c>
      <c r="O64" s="3" t="n">
        <f>M64 + N64</f>
        <v>0.0</v>
      </c>
      <c r="P64" s="3" t="n">
        <f>L64 - O64</f>
        <v>0.0</v>
      </c>
    </row>
    <row r="65">
      <c r="A65" t="n">
        <v>8.0</v>
      </c>
      <c r="B65" t="inlineStr">
        <is>
          <t>LEASE-BH-F8-2025</t>
        </is>
      </c>
      <c r="C65" t="inlineStr">
        <is>
          <t>Flat 8 - 3 West Gate</t>
        </is>
      </c>
      <c r="D65" s="2" t="n">
        <v>45801.0</v>
      </c>
      <c r="E65" s="2" t="n">
        <v>45831.0</v>
      </c>
      <c r="F65" t="n">
        <v>31.0</v>
      </c>
      <c r="G65" s="2" t="n">
        <v>45712.0</v>
      </c>
      <c r="H65"/>
      <c r="I65" s="3" t="n">
        <v>675.0</v>
      </c>
      <c r="J65" t="n">
        <v>24.0</v>
      </c>
      <c r="K65" t="n">
        <v>31.0</v>
      </c>
      <c r="L65" s="3" t="n">
        <f>IF(F65 &lt; 28, ROUND(F65 / DAY(EOMONTH(D65, 0)) * I65, 2), I65)</f>
        <v>0.0</v>
      </c>
      <c r="M65" s="3" t="n">
        <f>L65 * 0.10</f>
        <v>0.0</v>
      </c>
      <c r="N65" s="3" t="n">
        <f>L65 * 0.05</f>
        <v>0.0</v>
      </c>
      <c r="O65" s="3" t="n">
        <f>M65 + N65</f>
        <v>0.0</v>
      </c>
      <c r="P65" s="3" t="n">
        <f>L65 - O65</f>
        <v>0.0</v>
      </c>
    </row>
    <row r="66">
      <c r="A66" t="n">
        <v>8.0</v>
      </c>
      <c r="B66" t="inlineStr">
        <is>
          <t>LEASE-BH-F8-2025</t>
        </is>
      </c>
      <c r="C66" t="inlineStr">
        <is>
          <t>Flat 8 - 3 West Gate</t>
        </is>
      </c>
      <c r="D66" s="2" t="n">
        <v>45832.0</v>
      </c>
      <c r="E66" s="2" t="n">
        <v>45861.0</v>
      </c>
      <c r="F66" t="n">
        <v>30.0</v>
      </c>
      <c r="G66" s="2" t="n">
        <v>45712.0</v>
      </c>
      <c r="H66"/>
      <c r="I66" s="3" t="n">
        <v>675.0</v>
      </c>
      <c r="J66" t="n">
        <v>24.0</v>
      </c>
      <c r="K66" t="n">
        <v>30.0</v>
      </c>
      <c r="L66" s="3" t="n">
        <f>IF(F66 &lt; 28, ROUND(F66 / DAY(EOMONTH(D66, 0)) * I66, 2), I66)</f>
        <v>0.0</v>
      </c>
      <c r="M66" s="3" t="n">
        <f>L66 * 0.10</f>
        <v>0.0</v>
      </c>
      <c r="N66" s="3" t="n">
        <f>L66 * 0.05</f>
        <v>0.0</v>
      </c>
      <c r="O66" s="3" t="n">
        <f>M66 + N66</f>
        <v>0.0</v>
      </c>
      <c r="P66" s="3" t="n">
        <f>L66 - O66</f>
        <v>0.0</v>
      </c>
    </row>
    <row r="67">
      <c r="A67" t="n">
        <v>8.0</v>
      </c>
      <c r="B67" t="inlineStr">
        <is>
          <t>LEASE-BH-F8-2025</t>
        </is>
      </c>
      <c r="C67" t="inlineStr">
        <is>
          <t>Flat 8 - 3 West Gate</t>
        </is>
      </c>
      <c r="D67" s="2" t="n">
        <v>45862.0</v>
      </c>
      <c r="E67" s="2" t="n">
        <v>45892.0</v>
      </c>
      <c r="F67" t="n">
        <v>31.0</v>
      </c>
      <c r="G67" s="2" t="n">
        <v>45712.0</v>
      </c>
      <c r="H67"/>
      <c r="I67" s="3" t="n">
        <v>675.0</v>
      </c>
      <c r="J67" t="n">
        <v>24.0</v>
      </c>
      <c r="K67" t="n">
        <v>31.0</v>
      </c>
      <c r="L67" s="3" t="n">
        <f>IF(F67 &lt; 28, ROUND(F67 / DAY(EOMONTH(D67, 0)) * I67, 2), I67)</f>
        <v>0.0</v>
      </c>
      <c r="M67" s="3" t="n">
        <f>L67 * 0.10</f>
        <v>0.0</v>
      </c>
      <c r="N67" s="3" t="n">
        <f>L67 * 0.05</f>
        <v>0.0</v>
      </c>
      <c r="O67" s="3" t="n">
        <f>M67 + N67</f>
        <v>0.0</v>
      </c>
      <c r="P67" s="3" t="n">
        <f>L67 - O67</f>
        <v>0.0</v>
      </c>
    </row>
    <row r="68">
      <c r="A68" t="n">
        <v>8.0</v>
      </c>
      <c r="B68" t="inlineStr">
        <is>
          <t>LEASE-BH-F8-2025</t>
        </is>
      </c>
      <c r="C68" t="inlineStr">
        <is>
          <t>Flat 8 - 3 West Gate</t>
        </is>
      </c>
      <c r="D68" s="2" t="n">
        <v>45893.0</v>
      </c>
      <c r="E68" s="2" t="n">
        <v>45923.0</v>
      </c>
      <c r="F68" t="n">
        <v>31.0</v>
      </c>
      <c r="G68" s="2" t="n">
        <v>45712.0</v>
      </c>
      <c r="H68"/>
      <c r="I68" s="3" t="n">
        <v>675.0</v>
      </c>
      <c r="J68" t="n">
        <v>24.0</v>
      </c>
      <c r="K68" t="n">
        <v>31.0</v>
      </c>
      <c r="L68" s="3" t="n">
        <f>IF(F68 &lt; 28, ROUND(F68 / DAY(EOMONTH(D68, 0)) * I68, 2), I68)</f>
        <v>0.0</v>
      </c>
      <c r="M68" s="3" t="n">
        <f>L68 * 0.10</f>
        <v>0.0</v>
      </c>
      <c r="N68" s="3" t="n">
        <f>L68 * 0.05</f>
        <v>0.0</v>
      </c>
      <c r="O68" s="3" t="n">
        <f>M68 + N68</f>
        <v>0.0</v>
      </c>
      <c r="P68" s="3" t="n">
        <f>L68 - O68</f>
        <v>0.0</v>
      </c>
    </row>
    <row r="69">
      <c r="A69" t="n">
        <v>8.0</v>
      </c>
      <c r="B69" t="inlineStr">
        <is>
          <t>LEASE-BH-F8-2025</t>
        </is>
      </c>
      <c r="C69" t="inlineStr">
        <is>
          <t>Flat 8 - 3 West Gate</t>
        </is>
      </c>
      <c r="D69" s="2" t="n">
        <v>45924.0</v>
      </c>
      <c r="E69" s="2" t="n">
        <v>45953.0</v>
      </c>
      <c r="F69" t="n">
        <v>30.0</v>
      </c>
      <c r="G69" s="2" t="n">
        <v>45712.0</v>
      </c>
      <c r="H69"/>
      <c r="I69" s="3" t="n">
        <v>675.0</v>
      </c>
      <c r="J69" t="n">
        <v>24.0</v>
      </c>
      <c r="K69" t="n">
        <v>30.0</v>
      </c>
      <c r="L69" s="3" t="n">
        <f>IF(F69 &lt; 28, ROUND(F69 / DAY(EOMONTH(D69, 0)) * I69, 2), I69)</f>
        <v>0.0</v>
      </c>
      <c r="M69" s="3" t="n">
        <f>L69 * 0.10</f>
        <v>0.0</v>
      </c>
      <c r="N69" s="3" t="n">
        <f>L69 * 0.05</f>
        <v>0.0</v>
      </c>
      <c r="O69" s="3" t="n">
        <f>M69 + N69</f>
        <v>0.0</v>
      </c>
      <c r="P69" s="3" t="n">
        <f>L69 - O69</f>
        <v>0.0</v>
      </c>
    </row>
    <row r="70">
      <c r="A70" t="n">
        <v>8.0</v>
      </c>
      <c r="B70" t="inlineStr">
        <is>
          <t>LEASE-BH-F8-2025</t>
        </is>
      </c>
      <c r="C70" t="inlineStr">
        <is>
          <t>Flat 8 - 3 West Gate</t>
        </is>
      </c>
      <c r="D70" s="2" t="n">
        <v>45954.0</v>
      </c>
      <c r="E70" s="2" t="n">
        <v>45984.0</v>
      </c>
      <c r="F70" t="n">
        <v>31.0</v>
      </c>
      <c r="G70" s="2" t="n">
        <v>45712.0</v>
      </c>
      <c r="H70"/>
      <c r="I70" s="3" t="n">
        <v>675.0</v>
      </c>
      <c r="J70" t="n">
        <v>24.0</v>
      </c>
      <c r="K70" t="n">
        <v>31.0</v>
      </c>
      <c r="L70" s="3" t="n">
        <f>IF(F70 &lt; 28, ROUND(F70 / DAY(EOMONTH(D70, 0)) * I70, 2), I70)</f>
        <v>0.0</v>
      </c>
      <c r="M70" s="3" t="n">
        <f>L70 * 0.10</f>
        <v>0.0</v>
      </c>
      <c r="N70" s="3" t="n">
        <f>L70 * 0.05</f>
        <v>0.0</v>
      </c>
      <c r="O70" s="3" t="n">
        <f>M70 + N70</f>
        <v>0.0</v>
      </c>
      <c r="P70" s="3" t="n">
        <f>L70 - O70</f>
        <v>0.0</v>
      </c>
    </row>
    <row r="71">
      <c r="A71" t="n">
        <v>9.0</v>
      </c>
      <c r="B71" t="inlineStr">
        <is>
          <t>LEASE-BH-F9-2025</t>
        </is>
      </c>
      <c r="C71" t="inlineStr">
        <is>
          <t>Flat 9 - 3 West Gate</t>
        </is>
      </c>
      <c r="D71" s="2" t="n">
        <v>45736.0</v>
      </c>
      <c r="E71" s="2" t="n">
        <v>45766.0</v>
      </c>
      <c r="F71" t="n">
        <v>31.0</v>
      </c>
      <c r="G71" s="2" t="n">
        <v>45736.0</v>
      </c>
      <c r="H71"/>
      <c r="I71" s="3" t="n">
        <v>700.0</v>
      </c>
      <c r="J71" t="n">
        <v>20.0</v>
      </c>
      <c r="K71" t="n">
        <v>31.0</v>
      </c>
      <c r="L71" s="3" t="n">
        <f>IF(F71 &lt; 28, ROUND(F71 / DAY(EOMONTH(D71, 0)) * I71, 2), I71)</f>
        <v>0.0</v>
      </c>
      <c r="M71" s="3" t="n">
        <f>L71 * 0.10</f>
        <v>0.0</v>
      </c>
      <c r="N71" s="3" t="n">
        <f>L71 * 0.05</f>
        <v>0.0</v>
      </c>
      <c r="O71" s="3" t="n">
        <f>M71 + N71</f>
        <v>0.0</v>
      </c>
      <c r="P71" s="3" t="n">
        <f>L71 - O71</f>
        <v>0.0</v>
      </c>
    </row>
    <row r="72">
      <c r="A72" t="n">
        <v>9.0</v>
      </c>
      <c r="B72" t="inlineStr">
        <is>
          <t>LEASE-BH-F9-2025</t>
        </is>
      </c>
      <c r="C72" t="inlineStr">
        <is>
          <t>Flat 9 - 3 West Gate</t>
        </is>
      </c>
      <c r="D72" s="2" t="n">
        <v>45767.0</v>
      </c>
      <c r="E72" s="2" t="n">
        <v>45796.0</v>
      </c>
      <c r="F72" t="n">
        <v>30.0</v>
      </c>
      <c r="G72" s="2" t="n">
        <v>45736.0</v>
      </c>
      <c r="H72"/>
      <c r="I72" s="3" t="n">
        <v>700.0</v>
      </c>
      <c r="J72" t="n">
        <v>20.0</v>
      </c>
      <c r="K72" t="n">
        <v>30.0</v>
      </c>
      <c r="L72" s="3" t="n">
        <f>IF(F72 &lt; 28, ROUND(F72 / DAY(EOMONTH(D72, 0)) * I72, 2), I72)</f>
        <v>0.0</v>
      </c>
      <c r="M72" s="3" t="n">
        <f>L72 * 0.10</f>
        <v>0.0</v>
      </c>
      <c r="N72" s="3" t="n">
        <f>L72 * 0.05</f>
        <v>0.0</v>
      </c>
      <c r="O72" s="3" t="n">
        <f>M72 + N72</f>
        <v>0.0</v>
      </c>
      <c r="P72" s="3" t="n">
        <f>L72 - O72</f>
        <v>0.0</v>
      </c>
    </row>
    <row r="73">
      <c r="A73" t="n">
        <v>9.0</v>
      </c>
      <c r="B73" t="inlineStr">
        <is>
          <t>LEASE-BH-F9-2025</t>
        </is>
      </c>
      <c r="C73" t="inlineStr">
        <is>
          <t>Flat 9 - 3 West Gate</t>
        </is>
      </c>
      <c r="D73" s="2" t="n">
        <v>45797.0</v>
      </c>
      <c r="E73" s="2" t="n">
        <v>45827.0</v>
      </c>
      <c r="F73" t="n">
        <v>31.0</v>
      </c>
      <c r="G73" s="2" t="n">
        <v>45736.0</v>
      </c>
      <c r="H73"/>
      <c r="I73" s="3" t="n">
        <v>700.0</v>
      </c>
      <c r="J73" t="n">
        <v>20.0</v>
      </c>
      <c r="K73" t="n">
        <v>31.0</v>
      </c>
      <c r="L73" s="3" t="n">
        <f>IF(F73 &lt; 28, ROUND(F73 / DAY(EOMONTH(D73, 0)) * I73, 2), I73)</f>
        <v>0.0</v>
      </c>
      <c r="M73" s="3" t="n">
        <f>L73 * 0.10</f>
        <v>0.0</v>
      </c>
      <c r="N73" s="3" t="n">
        <f>L73 * 0.05</f>
        <v>0.0</v>
      </c>
      <c r="O73" s="3" t="n">
        <f>M73 + N73</f>
        <v>0.0</v>
      </c>
      <c r="P73" s="3" t="n">
        <f>L73 - O73</f>
        <v>0.0</v>
      </c>
    </row>
    <row r="74">
      <c r="A74" t="n">
        <v>9.0</v>
      </c>
      <c r="B74" t="inlineStr">
        <is>
          <t>LEASE-BH-F9-2025</t>
        </is>
      </c>
      <c r="C74" t="inlineStr">
        <is>
          <t>Flat 9 - 3 West Gate</t>
        </is>
      </c>
      <c r="D74" s="2" t="n">
        <v>45828.0</v>
      </c>
      <c r="E74" s="2" t="n">
        <v>45857.0</v>
      </c>
      <c r="F74" t="n">
        <v>30.0</v>
      </c>
      <c r="G74" s="2" t="n">
        <v>45736.0</v>
      </c>
      <c r="H74"/>
      <c r="I74" s="3" t="n">
        <v>700.0</v>
      </c>
      <c r="J74" t="n">
        <v>20.0</v>
      </c>
      <c r="K74" t="n">
        <v>30.0</v>
      </c>
      <c r="L74" s="3" t="n">
        <f>IF(F74 &lt; 28, ROUND(F74 / DAY(EOMONTH(D74, 0)) * I74, 2), I74)</f>
        <v>0.0</v>
      </c>
      <c r="M74" s="3" t="n">
        <f>L74 * 0.10</f>
        <v>0.0</v>
      </c>
      <c r="N74" s="3" t="n">
        <f>L74 * 0.05</f>
        <v>0.0</v>
      </c>
      <c r="O74" s="3" t="n">
        <f>M74 + N74</f>
        <v>0.0</v>
      </c>
      <c r="P74" s="3" t="n">
        <f>L74 - O74</f>
        <v>0.0</v>
      </c>
    </row>
    <row r="75">
      <c r="A75" t="n">
        <v>9.0</v>
      </c>
      <c r="B75" t="inlineStr">
        <is>
          <t>LEASE-BH-F9-2025</t>
        </is>
      </c>
      <c r="C75" t="inlineStr">
        <is>
          <t>Flat 9 - 3 West Gate</t>
        </is>
      </c>
      <c r="D75" s="2" t="n">
        <v>45858.0</v>
      </c>
      <c r="E75" s="2" t="n">
        <v>45888.0</v>
      </c>
      <c r="F75" t="n">
        <v>31.0</v>
      </c>
      <c r="G75" s="2" t="n">
        <v>45736.0</v>
      </c>
      <c r="H75"/>
      <c r="I75" s="3" t="n">
        <v>700.0</v>
      </c>
      <c r="J75" t="n">
        <v>20.0</v>
      </c>
      <c r="K75" t="n">
        <v>31.0</v>
      </c>
      <c r="L75" s="3" t="n">
        <f>IF(F75 &lt; 28, ROUND(F75 / DAY(EOMONTH(D75, 0)) * I75, 2), I75)</f>
        <v>0.0</v>
      </c>
      <c r="M75" s="3" t="n">
        <f>L75 * 0.10</f>
        <v>0.0</v>
      </c>
      <c r="N75" s="3" t="n">
        <f>L75 * 0.05</f>
        <v>0.0</v>
      </c>
      <c r="O75" s="3" t="n">
        <f>M75 + N75</f>
        <v>0.0</v>
      </c>
      <c r="P75" s="3" t="n">
        <f>L75 - O75</f>
        <v>0.0</v>
      </c>
    </row>
    <row r="76">
      <c r="A76" t="n">
        <v>9.0</v>
      </c>
      <c r="B76" t="inlineStr">
        <is>
          <t>LEASE-BH-F9-2025</t>
        </is>
      </c>
      <c r="C76" t="inlineStr">
        <is>
          <t>Flat 9 - 3 West Gate</t>
        </is>
      </c>
      <c r="D76" s="2" t="n">
        <v>45889.0</v>
      </c>
      <c r="E76" s="2" t="n">
        <v>45919.0</v>
      </c>
      <c r="F76" t="n">
        <v>31.0</v>
      </c>
      <c r="G76" s="2" t="n">
        <v>45736.0</v>
      </c>
      <c r="H76"/>
      <c r="I76" s="3" t="n">
        <v>700.0</v>
      </c>
      <c r="J76" t="n">
        <v>20.0</v>
      </c>
      <c r="K76" t="n">
        <v>31.0</v>
      </c>
      <c r="L76" s="3" t="n">
        <f>IF(F76 &lt; 28, ROUND(F76 / DAY(EOMONTH(D76, 0)) * I76, 2), I76)</f>
        <v>0.0</v>
      </c>
      <c r="M76" s="3" t="n">
        <f>L76 * 0.10</f>
        <v>0.0</v>
      </c>
      <c r="N76" s="3" t="n">
        <f>L76 * 0.05</f>
        <v>0.0</v>
      </c>
      <c r="O76" s="3" t="n">
        <f>M76 + N76</f>
        <v>0.0</v>
      </c>
      <c r="P76" s="3" t="n">
        <f>L76 - O76</f>
        <v>0.0</v>
      </c>
    </row>
    <row r="77">
      <c r="A77" t="n">
        <v>9.0</v>
      </c>
      <c r="B77" t="inlineStr">
        <is>
          <t>LEASE-BH-F9-2025</t>
        </is>
      </c>
      <c r="C77" t="inlineStr">
        <is>
          <t>Flat 9 - 3 West Gate</t>
        </is>
      </c>
      <c r="D77" s="2" t="n">
        <v>45920.0</v>
      </c>
      <c r="E77" s="2" t="n">
        <v>45949.0</v>
      </c>
      <c r="F77" t="n">
        <v>30.0</v>
      </c>
      <c r="G77" s="2" t="n">
        <v>45736.0</v>
      </c>
      <c r="H77"/>
      <c r="I77" s="3" t="n">
        <v>700.0</v>
      </c>
      <c r="J77" t="n">
        <v>20.0</v>
      </c>
      <c r="K77" t="n">
        <v>30.0</v>
      </c>
      <c r="L77" s="3" t="n">
        <f>IF(F77 &lt; 28, ROUND(F77 / DAY(EOMONTH(D77, 0)) * I77, 2), I77)</f>
        <v>0.0</v>
      </c>
      <c r="M77" s="3" t="n">
        <f>L77 * 0.10</f>
        <v>0.0</v>
      </c>
      <c r="N77" s="3" t="n">
        <f>L77 * 0.05</f>
        <v>0.0</v>
      </c>
      <c r="O77" s="3" t="n">
        <f>M77 + N77</f>
        <v>0.0</v>
      </c>
      <c r="P77" s="3" t="n">
        <f>L77 - O77</f>
        <v>0.0</v>
      </c>
    </row>
    <row r="78">
      <c r="A78" t="n">
        <v>9.0</v>
      </c>
      <c r="B78" t="inlineStr">
        <is>
          <t>LEASE-BH-F9-2025</t>
        </is>
      </c>
      <c r="C78" t="inlineStr">
        <is>
          <t>Flat 9 - 3 West Gate</t>
        </is>
      </c>
      <c r="D78" s="2" t="n">
        <v>45950.0</v>
      </c>
      <c r="E78" s="2" t="n">
        <v>45980.0</v>
      </c>
      <c r="F78" t="n">
        <v>31.0</v>
      </c>
      <c r="G78" s="2" t="n">
        <v>45736.0</v>
      </c>
      <c r="H78"/>
      <c r="I78" s="3" t="n">
        <v>700.0</v>
      </c>
      <c r="J78" t="n">
        <v>20.0</v>
      </c>
      <c r="K78" t="n">
        <v>31.0</v>
      </c>
      <c r="L78" s="3" t="n">
        <f>IF(F78 &lt; 28, ROUND(F78 / DAY(EOMONTH(D78, 0)) * I78, 2), I78)</f>
        <v>0.0</v>
      </c>
      <c r="M78" s="3" t="n">
        <f>L78 * 0.10</f>
        <v>0.0</v>
      </c>
      <c r="N78" s="3" t="n">
        <f>L78 * 0.05</f>
        <v>0.0</v>
      </c>
      <c r="O78" s="3" t="n">
        <f>M78 + N78</f>
        <v>0.0</v>
      </c>
      <c r="P78" s="3" t="n">
        <f>L78 - O78</f>
        <v>0.0</v>
      </c>
    </row>
    <row r="79">
      <c r="A79" t="n">
        <v>9.0</v>
      </c>
      <c r="B79" t="inlineStr">
        <is>
          <t>LEASE-BH-F9-2025</t>
        </is>
      </c>
      <c r="C79" t="inlineStr">
        <is>
          <t>Flat 9 - 3 West Gate</t>
        </is>
      </c>
      <c r="D79" s="2" t="n">
        <v>45981.0</v>
      </c>
      <c r="E79" s="2" t="n">
        <v>46010.0</v>
      </c>
      <c r="F79" t="n">
        <v>30.0</v>
      </c>
      <c r="G79" s="2" t="n">
        <v>45736.0</v>
      </c>
      <c r="H79"/>
      <c r="I79" s="3" t="n">
        <v>700.0</v>
      </c>
      <c r="J79" t="n">
        <v>20.0</v>
      </c>
      <c r="K79" t="n">
        <v>30.0</v>
      </c>
      <c r="L79" s="3" t="n">
        <f>IF(F79 &lt; 28, ROUND(F79 / DAY(EOMONTH(D79, 0)) * I79, 2), I79)</f>
        <v>0.0</v>
      </c>
      <c r="M79" s="3" t="n">
        <f>L79 * 0.10</f>
        <v>0.0</v>
      </c>
      <c r="N79" s="3" t="n">
        <f>L79 * 0.05</f>
        <v>0.0</v>
      </c>
      <c r="O79" s="3" t="n">
        <f>M79 + N79</f>
        <v>0.0</v>
      </c>
      <c r="P79" s="3" t="n">
        <f>L79 - O79</f>
        <v>0.0</v>
      </c>
    </row>
    <row r="80">
      <c r="A80" t="n">
        <v>10.0</v>
      </c>
      <c r="B80" t="inlineStr">
        <is>
          <t>LEASE-BH-F10-2025</t>
        </is>
      </c>
      <c r="C80" t="inlineStr">
        <is>
          <t>Flat 10 - 3 West Gate</t>
        </is>
      </c>
      <c r="D80" s="2" t="n">
        <v>45722.0</v>
      </c>
      <c r="E80" s="2" t="n">
        <v>45752.0</v>
      </c>
      <c r="F80" t="n">
        <v>31.0</v>
      </c>
      <c r="G80" s="2" t="n">
        <v>45722.0</v>
      </c>
      <c r="H80" s="2" t="n">
        <v>45894.0</v>
      </c>
      <c r="I80" s="3" t="n">
        <v>735.0</v>
      </c>
      <c r="J80" t="n">
        <v>6.0</v>
      </c>
      <c r="K80" t="n">
        <v>31.0</v>
      </c>
      <c r="L80" s="3" t="n">
        <f>IF(F80 &lt; 28, ROUND(F80 / DAY(EOMONTH(D80, 0)) * I80, 2), I80)</f>
        <v>0.0</v>
      </c>
      <c r="M80" s="3" t="n">
        <f>L80 * 0.10</f>
        <v>0.0</v>
      </c>
      <c r="N80" s="3" t="n">
        <f>L80 * 0.05</f>
        <v>0.0</v>
      </c>
      <c r="O80" s="3" t="n">
        <f>M80 + N80</f>
        <v>0.0</v>
      </c>
      <c r="P80" s="3" t="n">
        <f>L80 - O80</f>
        <v>0.0</v>
      </c>
    </row>
    <row r="81">
      <c r="A81" t="n">
        <v>10.0</v>
      </c>
      <c r="B81" t="inlineStr">
        <is>
          <t>LEASE-BH-F10-2025</t>
        </is>
      </c>
      <c r="C81" t="inlineStr">
        <is>
          <t>Flat 10 - 3 West Gate</t>
        </is>
      </c>
      <c r="D81" s="2" t="n">
        <v>45753.0</v>
      </c>
      <c r="E81" s="2" t="n">
        <v>45782.0</v>
      </c>
      <c r="F81" t="n">
        <v>30.0</v>
      </c>
      <c r="G81" s="2" t="n">
        <v>45722.0</v>
      </c>
      <c r="H81" s="2" t="n">
        <v>45894.0</v>
      </c>
      <c r="I81" s="3" t="n">
        <v>735.0</v>
      </c>
      <c r="J81" t="n">
        <v>6.0</v>
      </c>
      <c r="K81" t="n">
        <v>30.0</v>
      </c>
      <c r="L81" s="3" t="n">
        <f>IF(F81 &lt; 28, ROUND(F81 / DAY(EOMONTH(D81, 0)) * I81, 2), I81)</f>
        <v>0.0</v>
      </c>
      <c r="M81" s="3" t="n">
        <f>L81 * 0.10</f>
        <v>0.0</v>
      </c>
      <c r="N81" s="3" t="n">
        <f>L81 * 0.05</f>
        <v>0.0</v>
      </c>
      <c r="O81" s="3" t="n">
        <f>M81 + N81</f>
        <v>0.0</v>
      </c>
      <c r="P81" s="3" t="n">
        <f>L81 - O81</f>
        <v>0.0</v>
      </c>
    </row>
    <row r="82">
      <c r="A82" t="n">
        <v>10.0</v>
      </c>
      <c r="B82" t="inlineStr">
        <is>
          <t>LEASE-BH-F10-2025</t>
        </is>
      </c>
      <c r="C82" t="inlineStr">
        <is>
          <t>Flat 10 - 3 West Gate</t>
        </is>
      </c>
      <c r="D82" s="2" t="n">
        <v>45783.0</v>
      </c>
      <c r="E82" s="2" t="n">
        <v>45813.0</v>
      </c>
      <c r="F82" t="n">
        <v>31.0</v>
      </c>
      <c r="G82" s="2" t="n">
        <v>45722.0</v>
      </c>
      <c r="H82" s="2" t="n">
        <v>45894.0</v>
      </c>
      <c r="I82" s="3" t="n">
        <v>735.0</v>
      </c>
      <c r="J82" t="n">
        <v>6.0</v>
      </c>
      <c r="K82" t="n">
        <v>31.0</v>
      </c>
      <c r="L82" s="3" t="n">
        <f>IF(F82 &lt; 28, ROUND(F82 / DAY(EOMONTH(D82, 0)) * I82, 2), I82)</f>
        <v>0.0</v>
      </c>
      <c r="M82" s="3" t="n">
        <f>L82 * 0.10</f>
        <v>0.0</v>
      </c>
      <c r="N82" s="3" t="n">
        <f>L82 * 0.05</f>
        <v>0.0</v>
      </c>
      <c r="O82" s="3" t="n">
        <f>M82 + N82</f>
        <v>0.0</v>
      </c>
      <c r="P82" s="3" t="n">
        <f>L82 - O82</f>
        <v>0.0</v>
      </c>
    </row>
    <row r="83">
      <c r="A83" t="n">
        <v>10.0</v>
      </c>
      <c r="B83" t="inlineStr">
        <is>
          <t>LEASE-BH-F10-2025</t>
        </is>
      </c>
      <c r="C83" t="inlineStr">
        <is>
          <t>Flat 10 - 3 West Gate</t>
        </is>
      </c>
      <c r="D83" s="2" t="n">
        <v>45814.0</v>
      </c>
      <c r="E83" s="2" t="n">
        <v>45843.0</v>
      </c>
      <c r="F83" t="n">
        <v>30.0</v>
      </c>
      <c r="G83" s="2" t="n">
        <v>45722.0</v>
      </c>
      <c r="H83" s="2" t="n">
        <v>45894.0</v>
      </c>
      <c r="I83" s="3" t="n">
        <v>735.0</v>
      </c>
      <c r="J83" t="n">
        <v>6.0</v>
      </c>
      <c r="K83" t="n">
        <v>30.0</v>
      </c>
      <c r="L83" s="3" t="n">
        <f>IF(F83 &lt; 28, ROUND(F83 / DAY(EOMONTH(D83, 0)) * I83, 2), I83)</f>
        <v>0.0</v>
      </c>
      <c r="M83" s="3" t="n">
        <f>L83 * 0.10</f>
        <v>0.0</v>
      </c>
      <c r="N83" s="3" t="n">
        <f>L83 * 0.05</f>
        <v>0.0</v>
      </c>
      <c r="O83" s="3" t="n">
        <f>M83 + N83</f>
        <v>0.0</v>
      </c>
      <c r="P83" s="3" t="n">
        <f>L83 - O83</f>
        <v>0.0</v>
      </c>
    </row>
    <row r="84">
      <c r="A84" t="n">
        <v>10.0</v>
      </c>
      <c r="B84" t="inlineStr">
        <is>
          <t>LEASE-BH-F10-2025</t>
        </is>
      </c>
      <c r="C84" t="inlineStr">
        <is>
          <t>Flat 10 - 3 West Gate</t>
        </is>
      </c>
      <c r="D84" s="2" t="n">
        <v>45844.0</v>
      </c>
      <c r="E84" s="2" t="n">
        <v>45874.0</v>
      </c>
      <c r="F84" t="n">
        <v>31.0</v>
      </c>
      <c r="G84" s="2" t="n">
        <v>45722.0</v>
      </c>
      <c r="H84" s="2" t="n">
        <v>45894.0</v>
      </c>
      <c r="I84" s="3" t="n">
        <v>735.0</v>
      </c>
      <c r="J84" t="n">
        <v>6.0</v>
      </c>
      <c r="K84" t="n">
        <v>31.0</v>
      </c>
      <c r="L84" s="3" t="n">
        <f>IF(F84 &lt; 28, ROUND(F84 / DAY(EOMONTH(D84, 0)) * I84, 2), I84)</f>
        <v>0.0</v>
      </c>
      <c r="M84" s="3" t="n">
        <f>L84 * 0.10</f>
        <v>0.0</v>
      </c>
      <c r="N84" s="3" t="n">
        <f>L84 * 0.05</f>
        <v>0.0</v>
      </c>
      <c r="O84" s="3" t="n">
        <f>M84 + N84</f>
        <v>0.0</v>
      </c>
      <c r="P84" s="3" t="n">
        <f>L84 - O84</f>
        <v>0.0</v>
      </c>
    </row>
    <row r="85">
      <c r="A85" t="n">
        <v>10.0</v>
      </c>
      <c r="B85" t="inlineStr">
        <is>
          <t>LEASE-BH-F10-2025</t>
        </is>
      </c>
      <c r="C85" t="inlineStr">
        <is>
          <t>Flat 10 - 3 West Gate</t>
        </is>
      </c>
      <c r="D85" s="2" t="n">
        <v>45875.0</v>
      </c>
      <c r="E85" s="2" t="n">
        <v>45894.0</v>
      </c>
      <c r="F85" t="n">
        <v>20.0</v>
      </c>
      <c r="G85" s="2" t="n">
        <v>45722.0</v>
      </c>
      <c r="H85" s="2" t="n">
        <v>45894.0</v>
      </c>
      <c r="I85" s="3" t="n">
        <v>735.0</v>
      </c>
      <c r="J85" t="n">
        <v>6.0</v>
      </c>
      <c r="K85" t="n">
        <v>20.0</v>
      </c>
      <c r="L85" s="3" t="n">
        <f>IF(F85 &lt; 28, ROUND(F85 / DAY(EOMONTH(D85, 0)) * I85, 2), I85)</f>
        <v>0.0</v>
      </c>
      <c r="M85" s="3" t="n">
        <f>L85 * 0.10</f>
        <v>0.0</v>
      </c>
      <c r="N85" s="3" t="n">
        <f>L85 * 0.05</f>
        <v>0.0</v>
      </c>
      <c r="O85" s="3" t="n">
        <f>M85 + N85</f>
        <v>0.0</v>
      </c>
      <c r="P85" s="3" t="n">
        <f>L85 - O85</f>
        <v>0.0</v>
      </c>
    </row>
    <row r="86">
      <c r="A86" t="n">
        <v>11.0</v>
      </c>
      <c r="B86" t="inlineStr">
        <is>
          <t>LEASE-BH-F10-2025B</t>
        </is>
      </c>
      <c r="C86" t="inlineStr">
        <is>
          <t>Flat 10 - 3 West Gate</t>
        </is>
      </c>
      <c r="D86" s="2" t="n">
        <v>45903.0</v>
      </c>
      <c r="E86" s="2" t="n">
        <v>45932.0</v>
      </c>
      <c r="F86" t="n">
        <v>30.0</v>
      </c>
      <c r="G86" s="2" t="n">
        <v>45903.0</v>
      </c>
      <c r="H86"/>
      <c r="I86" s="3" t="n">
        <v>795.0</v>
      </c>
      <c r="J86" t="n">
        <v>3.0</v>
      </c>
      <c r="K86" t="n">
        <v>30.0</v>
      </c>
      <c r="L86" s="3" t="n">
        <f>IF(F86 &lt; 28, ROUND(F86 / DAY(EOMONTH(D86, 0)) * I86, 2), I86)</f>
        <v>0.0</v>
      </c>
      <c r="M86" s="3" t="n">
        <f>L86 * 0.10</f>
        <v>0.0</v>
      </c>
      <c r="N86" s="3" t="n">
        <f>L86 * 0.05</f>
        <v>0.0</v>
      </c>
      <c r="O86" s="3" t="n">
        <f>M86 + N86</f>
        <v>0.0</v>
      </c>
      <c r="P86" s="3" t="n">
        <f>L86 - O86</f>
        <v>0.0</v>
      </c>
    </row>
    <row r="87">
      <c r="A87" t="n">
        <v>11.0</v>
      </c>
      <c r="B87" t="inlineStr">
        <is>
          <t>LEASE-BH-F10-2025B</t>
        </is>
      </c>
      <c r="C87" t="inlineStr">
        <is>
          <t>Flat 10 - 3 West Gate</t>
        </is>
      </c>
      <c r="D87" s="2" t="n">
        <v>45933.0</v>
      </c>
      <c r="E87" s="2" t="n">
        <v>45963.0</v>
      </c>
      <c r="F87" t="n">
        <v>31.0</v>
      </c>
      <c r="G87" s="2" t="n">
        <v>45903.0</v>
      </c>
      <c r="H87"/>
      <c r="I87" s="3" t="n">
        <v>795.0</v>
      </c>
      <c r="J87" t="n">
        <v>3.0</v>
      </c>
      <c r="K87" t="n">
        <v>31.0</v>
      </c>
      <c r="L87" s="3" t="n">
        <f>IF(F87 &lt; 28, ROUND(F87 / DAY(EOMONTH(D87, 0)) * I87, 2), I87)</f>
        <v>0.0</v>
      </c>
      <c r="M87" s="3" t="n">
        <f>L87 * 0.10</f>
        <v>0.0</v>
      </c>
      <c r="N87" s="3" t="n">
        <f>L87 * 0.05</f>
        <v>0.0</v>
      </c>
      <c r="O87" s="3" t="n">
        <f>M87 + N87</f>
        <v>0.0</v>
      </c>
      <c r="P87" s="3" t="n">
        <f>L87 - O87</f>
        <v>0.0</v>
      </c>
    </row>
    <row r="88">
      <c r="A88" t="n">
        <v>11.0</v>
      </c>
      <c r="B88" t="inlineStr">
        <is>
          <t>LEASE-BH-F10-2025B</t>
        </is>
      </c>
      <c r="C88" t="inlineStr">
        <is>
          <t>Flat 10 - 3 West Gate</t>
        </is>
      </c>
      <c r="D88" s="2" t="n">
        <v>45964.0</v>
      </c>
      <c r="E88" s="2" t="n">
        <v>45993.0</v>
      </c>
      <c r="F88" t="n">
        <v>30.0</v>
      </c>
      <c r="G88" s="2" t="n">
        <v>45903.0</v>
      </c>
      <c r="H88"/>
      <c r="I88" s="3" t="n">
        <v>795.0</v>
      </c>
      <c r="J88" t="n">
        <v>3.0</v>
      </c>
      <c r="K88" t="n">
        <v>30.0</v>
      </c>
      <c r="L88" s="3" t="n">
        <f>IF(F88 &lt; 28, ROUND(F88 / DAY(EOMONTH(D88, 0)) * I88, 2), I88)</f>
        <v>0.0</v>
      </c>
      <c r="M88" s="3" t="n">
        <f>L88 * 0.10</f>
        <v>0.0</v>
      </c>
      <c r="N88" s="3" t="n">
        <f>L88 * 0.05</f>
        <v>0.0</v>
      </c>
      <c r="O88" s="3" t="n">
        <f>M88 + N88</f>
        <v>0.0</v>
      </c>
      <c r="P88" s="3" t="n">
        <f>L88 - O88</f>
        <v>0.0</v>
      </c>
    </row>
    <row r="89">
      <c r="A89" t="n">
        <v>12.0</v>
      </c>
      <c r="B89" t="inlineStr">
        <is>
          <t>LEASE-BH-F11-2025</t>
        </is>
      </c>
      <c r="C89" t="inlineStr">
        <is>
          <t>Flat 11 - 3 West Gate</t>
        </is>
      </c>
      <c r="D89" s="2" t="n">
        <v>45722.0</v>
      </c>
      <c r="E89" s="2" t="n">
        <v>45752.0</v>
      </c>
      <c r="F89" t="n">
        <v>31.0</v>
      </c>
      <c r="G89" s="2" t="n">
        <v>45722.0</v>
      </c>
      <c r="H89"/>
      <c r="I89" s="3" t="n">
        <v>795.0</v>
      </c>
      <c r="J89" t="n">
        <v>6.0</v>
      </c>
      <c r="K89" t="n">
        <v>31.0</v>
      </c>
      <c r="L89" s="3" t="n">
        <f>IF(F89 &lt; 28, ROUND(F89 / DAY(EOMONTH(D89, 0)) * I89, 2), I89)</f>
        <v>0.0</v>
      </c>
      <c r="M89" s="3" t="n">
        <f>L89 * 0.10</f>
        <v>0.0</v>
      </c>
      <c r="N89" s="3" t="n">
        <f>L89 * 0.05</f>
        <v>0.0</v>
      </c>
      <c r="O89" s="3" t="n">
        <f>M89 + N89</f>
        <v>0.0</v>
      </c>
      <c r="P89" s="3" t="n">
        <f>L89 - O89</f>
        <v>0.0</v>
      </c>
    </row>
    <row r="90">
      <c r="A90" t="n">
        <v>12.0</v>
      </c>
      <c r="B90" t="inlineStr">
        <is>
          <t>LEASE-BH-F11-2025</t>
        </is>
      </c>
      <c r="C90" t="inlineStr">
        <is>
          <t>Flat 11 - 3 West Gate</t>
        </is>
      </c>
      <c r="D90" s="2" t="n">
        <v>45753.0</v>
      </c>
      <c r="E90" s="2" t="n">
        <v>45782.0</v>
      </c>
      <c r="F90" t="n">
        <v>30.0</v>
      </c>
      <c r="G90" s="2" t="n">
        <v>45722.0</v>
      </c>
      <c r="H90"/>
      <c r="I90" s="3" t="n">
        <v>795.0</v>
      </c>
      <c r="J90" t="n">
        <v>6.0</v>
      </c>
      <c r="K90" t="n">
        <v>30.0</v>
      </c>
      <c r="L90" s="3" t="n">
        <f>IF(F90 &lt; 28, ROUND(F90 / DAY(EOMONTH(D90, 0)) * I90, 2), I90)</f>
        <v>0.0</v>
      </c>
      <c r="M90" s="3" t="n">
        <f>L90 * 0.10</f>
        <v>0.0</v>
      </c>
      <c r="N90" s="3" t="n">
        <f>L90 * 0.05</f>
        <v>0.0</v>
      </c>
      <c r="O90" s="3" t="n">
        <f>M90 + N90</f>
        <v>0.0</v>
      </c>
      <c r="P90" s="3" t="n">
        <f>L90 - O90</f>
        <v>0.0</v>
      </c>
    </row>
    <row r="91">
      <c r="A91" t="n">
        <v>12.0</v>
      </c>
      <c r="B91" t="inlineStr">
        <is>
          <t>LEASE-BH-F11-2025</t>
        </is>
      </c>
      <c r="C91" t="inlineStr">
        <is>
          <t>Flat 11 - 3 West Gate</t>
        </is>
      </c>
      <c r="D91" s="2" t="n">
        <v>45783.0</v>
      </c>
      <c r="E91" s="2" t="n">
        <v>45813.0</v>
      </c>
      <c r="F91" t="n">
        <v>31.0</v>
      </c>
      <c r="G91" s="2" t="n">
        <v>45722.0</v>
      </c>
      <c r="H91"/>
      <c r="I91" s="3" t="n">
        <v>795.0</v>
      </c>
      <c r="J91" t="n">
        <v>6.0</v>
      </c>
      <c r="K91" t="n">
        <v>31.0</v>
      </c>
      <c r="L91" s="3" t="n">
        <f>IF(F91 &lt; 28, ROUND(F91 / DAY(EOMONTH(D91, 0)) * I91, 2), I91)</f>
        <v>0.0</v>
      </c>
      <c r="M91" s="3" t="n">
        <f>L91 * 0.10</f>
        <v>0.0</v>
      </c>
      <c r="N91" s="3" t="n">
        <f>L91 * 0.05</f>
        <v>0.0</v>
      </c>
      <c r="O91" s="3" t="n">
        <f>M91 + N91</f>
        <v>0.0</v>
      </c>
      <c r="P91" s="3" t="n">
        <f>L91 - O91</f>
        <v>0.0</v>
      </c>
    </row>
    <row r="92">
      <c r="A92" t="n">
        <v>12.0</v>
      </c>
      <c r="B92" t="inlineStr">
        <is>
          <t>LEASE-BH-F11-2025</t>
        </is>
      </c>
      <c r="C92" t="inlineStr">
        <is>
          <t>Flat 11 - 3 West Gate</t>
        </is>
      </c>
      <c r="D92" s="2" t="n">
        <v>45814.0</v>
      </c>
      <c r="E92" s="2" t="n">
        <v>45843.0</v>
      </c>
      <c r="F92" t="n">
        <v>30.0</v>
      </c>
      <c r="G92" s="2" t="n">
        <v>45722.0</v>
      </c>
      <c r="H92"/>
      <c r="I92" s="3" t="n">
        <v>795.0</v>
      </c>
      <c r="J92" t="n">
        <v>6.0</v>
      </c>
      <c r="K92" t="n">
        <v>30.0</v>
      </c>
      <c r="L92" s="3" t="n">
        <f>IF(F92 &lt; 28, ROUND(F92 / DAY(EOMONTH(D92, 0)) * I92, 2), I92)</f>
        <v>0.0</v>
      </c>
      <c r="M92" s="3" t="n">
        <f>L92 * 0.10</f>
        <v>0.0</v>
      </c>
      <c r="N92" s="3" t="n">
        <f>L92 * 0.05</f>
        <v>0.0</v>
      </c>
      <c r="O92" s="3" t="n">
        <f>M92 + N92</f>
        <v>0.0</v>
      </c>
      <c r="P92" s="3" t="n">
        <f>L92 - O92</f>
        <v>0.0</v>
      </c>
    </row>
    <row r="93">
      <c r="A93" t="n">
        <v>12.0</v>
      </c>
      <c r="B93" t="inlineStr">
        <is>
          <t>LEASE-BH-F11-2025</t>
        </is>
      </c>
      <c r="C93" t="inlineStr">
        <is>
          <t>Flat 11 - 3 West Gate</t>
        </is>
      </c>
      <c r="D93" s="2" t="n">
        <v>45844.0</v>
      </c>
      <c r="E93" s="2" t="n">
        <v>45874.0</v>
      </c>
      <c r="F93" t="n">
        <v>31.0</v>
      </c>
      <c r="G93" s="2" t="n">
        <v>45722.0</v>
      </c>
      <c r="H93"/>
      <c r="I93" s="3" t="n">
        <v>795.0</v>
      </c>
      <c r="J93" t="n">
        <v>6.0</v>
      </c>
      <c r="K93" t="n">
        <v>31.0</v>
      </c>
      <c r="L93" s="3" t="n">
        <f>IF(F93 &lt; 28, ROUND(F93 / DAY(EOMONTH(D93, 0)) * I93, 2), I93)</f>
        <v>0.0</v>
      </c>
      <c r="M93" s="3" t="n">
        <f>L93 * 0.10</f>
        <v>0.0</v>
      </c>
      <c r="N93" s="3" t="n">
        <f>L93 * 0.05</f>
        <v>0.0</v>
      </c>
      <c r="O93" s="3" t="n">
        <f>M93 + N93</f>
        <v>0.0</v>
      </c>
      <c r="P93" s="3" t="n">
        <f>L93 - O93</f>
        <v>0.0</v>
      </c>
    </row>
    <row r="94">
      <c r="A94" t="n">
        <v>12.0</v>
      </c>
      <c r="B94" t="inlineStr">
        <is>
          <t>LEASE-BH-F11-2025</t>
        </is>
      </c>
      <c r="C94" t="inlineStr">
        <is>
          <t>Flat 11 - 3 West Gate</t>
        </is>
      </c>
      <c r="D94" s="2" t="n">
        <v>45875.0</v>
      </c>
      <c r="E94" s="2" t="n">
        <v>45905.0</v>
      </c>
      <c r="F94" t="n">
        <v>31.0</v>
      </c>
      <c r="G94" s="2" t="n">
        <v>45722.0</v>
      </c>
      <c r="H94"/>
      <c r="I94" s="3" t="n">
        <v>795.0</v>
      </c>
      <c r="J94" t="n">
        <v>6.0</v>
      </c>
      <c r="K94" t="n">
        <v>31.0</v>
      </c>
      <c r="L94" s="3" t="n">
        <f>IF(F94 &lt; 28, ROUND(F94 / DAY(EOMONTH(D94, 0)) * I94, 2), I94)</f>
        <v>0.0</v>
      </c>
      <c r="M94" s="3" t="n">
        <f>L94 * 0.10</f>
        <v>0.0</v>
      </c>
      <c r="N94" s="3" t="n">
        <f>L94 * 0.05</f>
        <v>0.0</v>
      </c>
      <c r="O94" s="3" t="n">
        <f>M94 + N94</f>
        <v>0.0</v>
      </c>
      <c r="P94" s="3" t="n">
        <f>L94 - O94</f>
        <v>0.0</v>
      </c>
    </row>
    <row r="95">
      <c r="A95" t="n">
        <v>12.0</v>
      </c>
      <c r="B95" t="inlineStr">
        <is>
          <t>LEASE-BH-F11-2025</t>
        </is>
      </c>
      <c r="C95" t="inlineStr">
        <is>
          <t>Flat 11 - 3 West Gate</t>
        </is>
      </c>
      <c r="D95" s="2" t="n">
        <v>45906.0</v>
      </c>
      <c r="E95" s="2" t="n">
        <v>45935.0</v>
      </c>
      <c r="F95" t="n">
        <v>30.0</v>
      </c>
      <c r="G95" s="2" t="n">
        <v>45722.0</v>
      </c>
      <c r="H95"/>
      <c r="I95" s="3" t="n">
        <v>795.0</v>
      </c>
      <c r="J95" t="n">
        <v>6.0</v>
      </c>
      <c r="K95" t="n">
        <v>30.0</v>
      </c>
      <c r="L95" s="3" t="n">
        <f>IF(F95 &lt; 28, ROUND(F95 / DAY(EOMONTH(D95, 0)) * I95, 2), I95)</f>
        <v>0.0</v>
      </c>
      <c r="M95" s="3" t="n">
        <f>L95 * 0.10</f>
        <v>0.0</v>
      </c>
      <c r="N95" s="3" t="n">
        <f>L95 * 0.05</f>
        <v>0.0</v>
      </c>
      <c r="O95" s="3" t="n">
        <f>M95 + N95</f>
        <v>0.0</v>
      </c>
      <c r="P95" s="3" t="n">
        <f>L95 - O95</f>
        <v>0.0</v>
      </c>
    </row>
    <row r="96">
      <c r="A96" t="n">
        <v>12.0</v>
      </c>
      <c r="B96" t="inlineStr">
        <is>
          <t>LEASE-BH-F11-2025</t>
        </is>
      </c>
      <c r="C96" t="inlineStr">
        <is>
          <t>Flat 11 - 3 West Gate</t>
        </is>
      </c>
      <c r="D96" s="2" t="n">
        <v>45936.0</v>
      </c>
      <c r="E96" s="2" t="n">
        <v>45966.0</v>
      </c>
      <c r="F96" t="n">
        <v>31.0</v>
      </c>
      <c r="G96" s="2" t="n">
        <v>45722.0</v>
      </c>
      <c r="H96"/>
      <c r="I96" s="3" t="n">
        <v>795.0</v>
      </c>
      <c r="J96" t="n">
        <v>6.0</v>
      </c>
      <c r="K96" t="n">
        <v>31.0</v>
      </c>
      <c r="L96" s="3" t="n">
        <f>IF(F96 &lt; 28, ROUND(F96 / DAY(EOMONTH(D96, 0)) * I96, 2), I96)</f>
        <v>0.0</v>
      </c>
      <c r="M96" s="3" t="n">
        <f>L96 * 0.10</f>
        <v>0.0</v>
      </c>
      <c r="N96" s="3" t="n">
        <f>L96 * 0.05</f>
        <v>0.0</v>
      </c>
      <c r="O96" s="3" t="n">
        <f>M96 + N96</f>
        <v>0.0</v>
      </c>
      <c r="P96" s="3" t="n">
        <f>L96 - O96</f>
        <v>0.0</v>
      </c>
    </row>
    <row r="97">
      <c r="A97" t="n">
        <v>12.0</v>
      </c>
      <c r="B97" t="inlineStr">
        <is>
          <t>LEASE-BH-F11-2025</t>
        </is>
      </c>
      <c r="C97" t="inlineStr">
        <is>
          <t>Flat 11 - 3 West Gate</t>
        </is>
      </c>
      <c r="D97" s="2" t="n">
        <v>45967.0</v>
      </c>
      <c r="E97" s="2" t="n">
        <v>45996.0</v>
      </c>
      <c r="F97" t="n">
        <v>30.0</v>
      </c>
      <c r="G97" s="2" t="n">
        <v>45722.0</v>
      </c>
      <c r="H97"/>
      <c r="I97" s="3" t="n">
        <v>795.0</v>
      </c>
      <c r="J97" t="n">
        <v>6.0</v>
      </c>
      <c r="K97" t="n">
        <v>30.0</v>
      </c>
      <c r="L97" s="3" t="n">
        <f>IF(F97 &lt; 28, ROUND(F97 / DAY(EOMONTH(D97, 0)) * I97, 2), I97)</f>
        <v>0.0</v>
      </c>
      <c r="M97" s="3" t="n">
        <f>L97 * 0.10</f>
        <v>0.0</v>
      </c>
      <c r="N97" s="3" t="n">
        <f>L97 * 0.05</f>
        <v>0.0</v>
      </c>
      <c r="O97" s="3" t="n">
        <f>M97 + N97</f>
        <v>0.0</v>
      </c>
      <c r="P97" s="3" t="n">
        <f>L97 - O97</f>
        <v>0.0</v>
      </c>
    </row>
    <row r="98">
      <c r="A98" t="n">
        <v>13.0</v>
      </c>
      <c r="B98" t="inlineStr">
        <is>
          <t>LEASE-BH-F12-2025</t>
        </is>
      </c>
      <c r="C98" t="inlineStr">
        <is>
          <t>Flat 12 - 3 West Gate</t>
        </is>
      </c>
      <c r="D98" s="2" t="n">
        <v>45754.0</v>
      </c>
      <c r="E98" s="2" t="n">
        <v>45783.0</v>
      </c>
      <c r="F98" t="n">
        <v>30.0</v>
      </c>
      <c r="G98" s="2" t="n">
        <v>45754.0</v>
      </c>
      <c r="H98" s="2" t="n">
        <v>45814.0</v>
      </c>
      <c r="I98" s="3" t="n">
        <v>675.0</v>
      </c>
      <c r="J98" t="n">
        <v>7.0</v>
      </c>
      <c r="K98" t="n">
        <v>30.0</v>
      </c>
      <c r="L98" s="3" t="n">
        <f>IF(F98 &lt; 28, ROUND(F98 / DAY(EOMONTH(D98, 0)) * I98, 2), I98)</f>
        <v>0.0</v>
      </c>
      <c r="M98" s="3" t="n">
        <f>L98 * 0.10</f>
        <v>0.0</v>
      </c>
      <c r="N98" s="3" t="n">
        <f>L98 * 0.05</f>
        <v>0.0</v>
      </c>
      <c r="O98" s="3" t="n">
        <f>M98 + N98</f>
        <v>0.0</v>
      </c>
      <c r="P98" s="3" t="n">
        <f>L98 - O98</f>
        <v>0.0</v>
      </c>
    </row>
    <row r="99">
      <c r="A99" t="n">
        <v>13.0</v>
      </c>
      <c r="B99" t="inlineStr">
        <is>
          <t>LEASE-BH-F12-2025</t>
        </is>
      </c>
      <c r="C99" t="inlineStr">
        <is>
          <t>Flat 12 - 3 West Gate</t>
        </is>
      </c>
      <c r="D99" s="2" t="n">
        <v>45784.0</v>
      </c>
      <c r="E99" s="2" t="n">
        <v>45814.0</v>
      </c>
      <c r="F99" t="n">
        <v>31.0</v>
      </c>
      <c r="G99" s="2" t="n">
        <v>45754.0</v>
      </c>
      <c r="H99" s="2" t="n">
        <v>45814.0</v>
      </c>
      <c r="I99" s="3" t="n">
        <v>675.0</v>
      </c>
      <c r="J99" t="n">
        <v>7.0</v>
      </c>
      <c r="K99" t="n">
        <v>31.0</v>
      </c>
      <c r="L99" s="3" t="n">
        <f>IF(F99 &lt; 28, ROUND(F99 / DAY(EOMONTH(D99, 0)) * I99, 2), I99)</f>
        <v>0.0</v>
      </c>
      <c r="M99" s="3" t="n">
        <f>L99 * 0.10</f>
        <v>0.0</v>
      </c>
      <c r="N99" s="3" t="n">
        <f>L99 * 0.05</f>
        <v>0.0</v>
      </c>
      <c r="O99" s="3" t="n">
        <f>M99 + N99</f>
        <v>0.0</v>
      </c>
      <c r="P99" s="3" t="n">
        <f>L99 - O99</f>
        <v>0.0</v>
      </c>
    </row>
    <row r="100">
      <c r="A100" t="n">
        <v>14.0</v>
      </c>
      <c r="B100" t="inlineStr">
        <is>
          <t>LEASE-BH-F12-2025B</t>
        </is>
      </c>
      <c r="C100" t="inlineStr">
        <is>
          <t>Flat 12 - 3 West Gate</t>
        </is>
      </c>
      <c r="D100" s="2" t="n">
        <v>45860.0</v>
      </c>
      <c r="E100" s="2" t="n">
        <v>45890.0</v>
      </c>
      <c r="F100" t="n">
        <v>31.0</v>
      </c>
      <c r="G100" s="2" t="n">
        <v>45860.0</v>
      </c>
      <c r="H100" s="2" t="n">
        <v>45951.0</v>
      </c>
      <c r="I100" s="3" t="n">
        <v>5687.0</v>
      </c>
      <c r="J100" t="n">
        <v>22.0</v>
      </c>
      <c r="K100" t="n">
        <v>31.0</v>
      </c>
      <c r="L100" s="3" t="n">
        <f>IF(F100 &lt; 28, ROUND(F100 / DAY(EOMONTH(D100, 0)) * I100, 2), I100)</f>
        <v>0.0</v>
      </c>
      <c r="M100" s="3" t="n">
        <f>L100 * 0.10</f>
        <v>0.0</v>
      </c>
      <c r="N100" s="3" t="n">
        <f>L100 * 0.05</f>
        <v>0.0</v>
      </c>
      <c r="O100" s="3" t="n">
        <f>M100 + N100</f>
        <v>0.0</v>
      </c>
      <c r="P100" s="3" t="n">
        <f>L100 - O100</f>
        <v>0.0</v>
      </c>
    </row>
    <row r="101">
      <c r="A101" t="n">
        <v>14.0</v>
      </c>
      <c r="B101" t="inlineStr">
        <is>
          <t>LEASE-BH-F12-2025B</t>
        </is>
      </c>
      <c r="C101" t="inlineStr">
        <is>
          <t>Flat 12 - 3 West Gate</t>
        </is>
      </c>
      <c r="D101" s="2" t="n">
        <v>45891.0</v>
      </c>
      <c r="E101" s="2" t="n">
        <v>45921.0</v>
      </c>
      <c r="F101" t="n">
        <v>31.0</v>
      </c>
      <c r="G101" s="2" t="n">
        <v>45860.0</v>
      </c>
      <c r="H101" s="2" t="n">
        <v>45951.0</v>
      </c>
      <c r="I101" s="3" t="n">
        <v>5687.0</v>
      </c>
      <c r="J101" t="n">
        <v>22.0</v>
      </c>
      <c r="K101" t="n">
        <v>31.0</v>
      </c>
      <c r="L101" s="3" t="n">
        <v>0.0</v>
      </c>
      <c r="M101" s="3" t="n">
        <f>L101 * 0.10</f>
        <v>0.0</v>
      </c>
      <c r="N101" s="3" t="n">
        <f>L101 * 0.05</f>
        <v>0.0</v>
      </c>
      <c r="O101" s="3" t="n">
        <f>M101 + N101</f>
        <v>0.0</v>
      </c>
      <c r="P101" s="3" t="n">
        <f>L101 - O101</f>
        <v>0.0</v>
      </c>
    </row>
    <row r="102">
      <c r="A102" t="n">
        <v>14.0</v>
      </c>
      <c r="B102" t="inlineStr">
        <is>
          <t>LEASE-BH-F12-2025B</t>
        </is>
      </c>
      <c r="C102" t="inlineStr">
        <is>
          <t>Flat 12 - 3 West Gate</t>
        </is>
      </c>
      <c r="D102" s="2" t="n">
        <v>45922.0</v>
      </c>
      <c r="E102" s="2" t="n">
        <v>45951.0</v>
      </c>
      <c r="F102" t="n">
        <v>30.0</v>
      </c>
      <c r="G102" s="2" t="n">
        <v>45860.0</v>
      </c>
      <c r="H102" s="2" t="n">
        <v>45951.0</v>
      </c>
      <c r="I102" s="3" t="n">
        <v>5687.0</v>
      </c>
      <c r="J102" t="n">
        <v>22.0</v>
      </c>
      <c r="K102" t="n">
        <v>30.0</v>
      </c>
      <c r="L102" s="3" t="n">
        <v>0.0</v>
      </c>
      <c r="M102" s="3" t="n">
        <f>L102 * 0.10</f>
        <v>0.0</v>
      </c>
      <c r="N102" s="3" t="n">
        <f>L102 * 0.05</f>
        <v>0.0</v>
      </c>
      <c r="O102" s="3" t="n">
        <f>M102 + N102</f>
        <v>0.0</v>
      </c>
      <c r="P102" s="3" t="n">
        <f>L102 - O102</f>
        <v>0.0</v>
      </c>
    </row>
    <row r="103">
      <c r="A103" t="n">
        <v>15.0</v>
      </c>
      <c r="B103" t="inlineStr">
        <is>
          <t>LEASE-BH-F13-2025</t>
        </is>
      </c>
      <c r="C103" t="inlineStr">
        <is>
          <t>Flat 13 - 3 West Gate</t>
        </is>
      </c>
      <c r="D103" s="2" t="n">
        <v>45719.0</v>
      </c>
      <c r="E103" s="2" t="n">
        <v>45749.0</v>
      </c>
      <c r="F103" t="n">
        <v>31.0</v>
      </c>
      <c r="G103" s="2" t="n">
        <v>45719.0</v>
      </c>
      <c r="H103" s="2" t="n">
        <v>45963.0</v>
      </c>
      <c r="I103" s="3" t="n">
        <v>800.0</v>
      </c>
      <c r="J103" t="n">
        <v>3.0</v>
      </c>
      <c r="K103" t="n">
        <v>31.0</v>
      </c>
      <c r="L103" s="3" t="n">
        <f>IF(F103 &lt; 28, ROUND(F103 / DAY(EOMONTH(D103, 0)) * I103, 2), I103)</f>
        <v>0.0</v>
      </c>
      <c r="M103" s="3" t="n">
        <f>L103 * 0.10</f>
        <v>0.0</v>
      </c>
      <c r="N103" s="3" t="n">
        <f>L103 * 0.05</f>
        <v>0.0</v>
      </c>
      <c r="O103" s="3" t="n">
        <f>M103 + N103</f>
        <v>0.0</v>
      </c>
      <c r="P103" s="3" t="n">
        <f>L103 - O103</f>
        <v>0.0</v>
      </c>
    </row>
    <row r="104">
      <c r="A104" t="n">
        <v>15.0</v>
      </c>
      <c r="B104" t="inlineStr">
        <is>
          <t>LEASE-BH-F13-2025</t>
        </is>
      </c>
      <c r="C104" t="inlineStr">
        <is>
          <t>Flat 13 - 3 West Gate</t>
        </is>
      </c>
      <c r="D104" s="2" t="n">
        <v>45750.0</v>
      </c>
      <c r="E104" s="2" t="n">
        <v>45779.0</v>
      </c>
      <c r="F104" t="n">
        <v>30.0</v>
      </c>
      <c r="G104" s="2" t="n">
        <v>45719.0</v>
      </c>
      <c r="H104" s="2" t="n">
        <v>45963.0</v>
      </c>
      <c r="I104" s="3" t="n">
        <v>800.0</v>
      </c>
      <c r="J104" t="n">
        <v>3.0</v>
      </c>
      <c r="K104" t="n">
        <v>30.0</v>
      </c>
      <c r="L104" s="3" t="n">
        <f>IF(F104 &lt; 28, ROUND(F104 / DAY(EOMONTH(D104, 0)) * I104, 2), I104)</f>
        <v>0.0</v>
      </c>
      <c r="M104" s="3" t="n">
        <f>L104 * 0.10</f>
        <v>0.0</v>
      </c>
      <c r="N104" s="3" t="n">
        <f>L104 * 0.05</f>
        <v>0.0</v>
      </c>
      <c r="O104" s="3" t="n">
        <f>M104 + N104</f>
        <v>0.0</v>
      </c>
      <c r="P104" s="3" t="n">
        <f>L104 - O104</f>
        <v>0.0</v>
      </c>
    </row>
    <row r="105">
      <c r="A105" t="n">
        <v>15.0</v>
      </c>
      <c r="B105" t="inlineStr">
        <is>
          <t>LEASE-BH-F13-2025</t>
        </is>
      </c>
      <c r="C105" t="inlineStr">
        <is>
          <t>Flat 13 - 3 West Gate</t>
        </is>
      </c>
      <c r="D105" s="2" t="n">
        <v>45780.0</v>
      </c>
      <c r="E105" s="2" t="n">
        <v>45810.0</v>
      </c>
      <c r="F105" t="n">
        <v>31.0</v>
      </c>
      <c r="G105" s="2" t="n">
        <v>45719.0</v>
      </c>
      <c r="H105" s="2" t="n">
        <v>45963.0</v>
      </c>
      <c r="I105" s="3" t="n">
        <v>800.0</v>
      </c>
      <c r="J105" t="n">
        <v>3.0</v>
      </c>
      <c r="K105" t="n">
        <v>31.0</v>
      </c>
      <c r="L105" s="3" t="n">
        <f>IF(F105 &lt; 28, ROUND(F105 / DAY(EOMONTH(D105, 0)) * I105, 2), I105)</f>
        <v>0.0</v>
      </c>
      <c r="M105" s="3" t="n">
        <f>L105 * 0.10</f>
        <v>0.0</v>
      </c>
      <c r="N105" s="3" t="n">
        <f>L105 * 0.05</f>
        <v>0.0</v>
      </c>
      <c r="O105" s="3" t="n">
        <f>M105 + N105</f>
        <v>0.0</v>
      </c>
      <c r="P105" s="3" t="n">
        <f>L105 - O105</f>
        <v>0.0</v>
      </c>
    </row>
    <row r="106">
      <c r="A106" t="n">
        <v>15.0</v>
      </c>
      <c r="B106" t="inlineStr">
        <is>
          <t>LEASE-BH-F13-2025</t>
        </is>
      </c>
      <c r="C106" t="inlineStr">
        <is>
          <t>Flat 13 - 3 West Gate</t>
        </is>
      </c>
      <c r="D106" s="2" t="n">
        <v>45811.0</v>
      </c>
      <c r="E106" s="2" t="n">
        <v>45840.0</v>
      </c>
      <c r="F106" t="n">
        <v>30.0</v>
      </c>
      <c r="G106" s="2" t="n">
        <v>45719.0</v>
      </c>
      <c r="H106" s="2" t="n">
        <v>45963.0</v>
      </c>
      <c r="I106" s="3" t="n">
        <v>800.0</v>
      </c>
      <c r="J106" t="n">
        <v>3.0</v>
      </c>
      <c r="K106" t="n">
        <v>30.0</v>
      </c>
      <c r="L106" s="3" t="n">
        <f>IF(F106 &lt; 28, ROUND(F106 / DAY(EOMONTH(D106, 0)) * I106, 2), I106)</f>
        <v>0.0</v>
      </c>
      <c r="M106" s="3" t="n">
        <f>L106 * 0.10</f>
        <v>0.0</v>
      </c>
      <c r="N106" s="3" t="n">
        <f>L106 * 0.05</f>
        <v>0.0</v>
      </c>
      <c r="O106" s="3" t="n">
        <f>M106 + N106</f>
        <v>0.0</v>
      </c>
      <c r="P106" s="3" t="n">
        <f>L106 - O106</f>
        <v>0.0</v>
      </c>
    </row>
    <row r="107">
      <c r="A107" t="n">
        <v>15.0</v>
      </c>
      <c r="B107" t="inlineStr">
        <is>
          <t>LEASE-BH-F13-2025</t>
        </is>
      </c>
      <c r="C107" t="inlineStr">
        <is>
          <t>Flat 13 - 3 West Gate</t>
        </is>
      </c>
      <c r="D107" s="2" t="n">
        <v>45841.0</v>
      </c>
      <c r="E107" s="2" t="n">
        <v>45871.0</v>
      </c>
      <c r="F107" t="n">
        <v>31.0</v>
      </c>
      <c r="G107" s="2" t="n">
        <v>45719.0</v>
      </c>
      <c r="H107" s="2" t="n">
        <v>45963.0</v>
      </c>
      <c r="I107" s="3" t="n">
        <v>800.0</v>
      </c>
      <c r="J107" t="n">
        <v>3.0</v>
      </c>
      <c r="K107" t="n">
        <v>31.0</v>
      </c>
      <c r="L107" s="3" t="n">
        <f>IF(F107 &lt; 28, ROUND(F107 / DAY(EOMONTH(D107, 0)) * I107, 2), I107)</f>
        <v>0.0</v>
      </c>
      <c r="M107" s="3" t="n">
        <f>L107 * 0.10</f>
        <v>0.0</v>
      </c>
      <c r="N107" s="3" t="n">
        <f>L107 * 0.05</f>
        <v>0.0</v>
      </c>
      <c r="O107" s="3" t="n">
        <f>M107 + N107</f>
        <v>0.0</v>
      </c>
      <c r="P107" s="3" t="n">
        <f>L107 - O107</f>
        <v>0.0</v>
      </c>
    </row>
    <row r="108">
      <c r="A108" t="n">
        <v>15.0</v>
      </c>
      <c r="B108" t="inlineStr">
        <is>
          <t>LEASE-BH-F13-2025</t>
        </is>
      </c>
      <c r="C108" t="inlineStr">
        <is>
          <t>Flat 13 - 3 West Gate</t>
        </is>
      </c>
      <c r="D108" s="2" t="n">
        <v>45872.0</v>
      </c>
      <c r="E108" s="2" t="n">
        <v>45902.0</v>
      </c>
      <c r="F108" t="n">
        <v>31.0</v>
      </c>
      <c r="G108" s="2" t="n">
        <v>45719.0</v>
      </c>
      <c r="H108" s="2" t="n">
        <v>45963.0</v>
      </c>
      <c r="I108" s="3" t="n">
        <v>800.0</v>
      </c>
      <c r="J108" t="n">
        <v>3.0</v>
      </c>
      <c r="K108" t="n">
        <v>31.0</v>
      </c>
      <c r="L108" s="3" t="n">
        <f>IF(F108 &lt; 28, ROUND(F108 / DAY(EOMONTH(D108, 0)) * I108, 2), I108)</f>
        <v>0.0</v>
      </c>
      <c r="M108" s="3" t="n">
        <f>L108 * 0.10</f>
        <v>0.0</v>
      </c>
      <c r="N108" s="3" t="n">
        <f>L108 * 0.05</f>
        <v>0.0</v>
      </c>
      <c r="O108" s="3" t="n">
        <f>M108 + N108</f>
        <v>0.0</v>
      </c>
      <c r="P108" s="3" t="n">
        <f>L108 - O108</f>
        <v>0.0</v>
      </c>
    </row>
    <row r="109">
      <c r="A109" t="n">
        <v>15.0</v>
      </c>
      <c r="B109" t="inlineStr">
        <is>
          <t>LEASE-BH-F13-2025</t>
        </is>
      </c>
      <c r="C109" t="inlineStr">
        <is>
          <t>Flat 13 - 3 West Gate</t>
        </is>
      </c>
      <c r="D109" s="2" t="n">
        <v>45903.0</v>
      </c>
      <c r="E109" s="2" t="n">
        <v>45932.0</v>
      </c>
      <c r="F109" t="n">
        <v>30.0</v>
      </c>
      <c r="G109" s="2" t="n">
        <v>45719.0</v>
      </c>
      <c r="H109" s="2" t="n">
        <v>45963.0</v>
      </c>
      <c r="I109" s="3" t="n">
        <v>800.0</v>
      </c>
      <c r="J109" t="n">
        <v>3.0</v>
      </c>
      <c r="K109" t="n">
        <v>30.0</v>
      </c>
      <c r="L109" s="3" t="n">
        <f>IF(F109 &lt; 28, ROUND(F109 / DAY(EOMONTH(D109, 0)) * I109, 2), I109)</f>
        <v>0.0</v>
      </c>
      <c r="M109" s="3" t="n">
        <f>L109 * 0.10</f>
        <v>0.0</v>
      </c>
      <c r="N109" s="3" t="n">
        <f>L109 * 0.05</f>
        <v>0.0</v>
      </c>
      <c r="O109" s="3" t="n">
        <f>M109 + N109</f>
        <v>0.0</v>
      </c>
      <c r="P109" s="3" t="n">
        <f>L109 - O109</f>
        <v>0.0</v>
      </c>
    </row>
    <row r="110">
      <c r="A110" t="n">
        <v>15.0</v>
      </c>
      <c r="B110" t="inlineStr">
        <is>
          <t>LEASE-BH-F13-2025</t>
        </is>
      </c>
      <c r="C110" t="inlineStr">
        <is>
          <t>Flat 13 - 3 West Gate</t>
        </is>
      </c>
      <c r="D110" s="2" t="n">
        <v>45933.0</v>
      </c>
      <c r="E110" s="2" t="n">
        <v>45963.0</v>
      </c>
      <c r="F110" t="n">
        <v>31.0</v>
      </c>
      <c r="G110" s="2" t="n">
        <v>45719.0</v>
      </c>
      <c r="H110" s="2" t="n">
        <v>45963.0</v>
      </c>
      <c r="I110" s="3" t="n">
        <v>800.0</v>
      </c>
      <c r="J110" t="n">
        <v>3.0</v>
      </c>
      <c r="K110" t="n">
        <v>31.0</v>
      </c>
      <c r="L110" s="3" t="n">
        <f>IF(F110 &lt; 28, ROUND(F110 / DAY(EOMONTH(D110, 0)) * I110, 2), I110)</f>
        <v>0.0</v>
      </c>
      <c r="M110" s="3" t="n">
        <f>L110 * 0.10</f>
        <v>0.0</v>
      </c>
      <c r="N110" s="3" t="n">
        <f>L110 * 0.05</f>
        <v>0.0</v>
      </c>
      <c r="O110" s="3" t="n">
        <f>M110 + N110</f>
        <v>0.0</v>
      </c>
      <c r="P110" s="3" t="n">
        <f>L110 - O110</f>
        <v>0.0</v>
      </c>
    </row>
    <row r="111">
      <c r="A111" t="n">
        <v>16.0</v>
      </c>
      <c r="B111" t="inlineStr">
        <is>
          <t>LEASE-BH-F14-2025</t>
        </is>
      </c>
      <c r="C111" t="inlineStr">
        <is>
          <t>Flat 14 - 3 West Gate</t>
        </is>
      </c>
      <c r="D111" s="2" t="n">
        <v>45744.0</v>
      </c>
      <c r="E111" s="2" t="n">
        <v>45774.0</v>
      </c>
      <c r="F111" t="n">
        <v>31.0</v>
      </c>
      <c r="G111" s="2" t="n">
        <v>45744.0</v>
      </c>
      <c r="H111"/>
      <c r="I111" s="3" t="n">
        <v>795.0</v>
      </c>
      <c r="J111" t="n">
        <v>28.0</v>
      </c>
      <c r="K111" t="n">
        <v>31.0</v>
      </c>
      <c r="L111" s="3" t="n">
        <f>IF(F111 &lt; 28, ROUND(F111 / DAY(EOMONTH(D111, 0)) * I111, 2), I111)</f>
        <v>0.0</v>
      </c>
      <c r="M111" s="3" t="n">
        <f>L111 * 0.10</f>
        <v>0.0</v>
      </c>
      <c r="N111" s="3" t="n">
        <f>L111 * 0.05</f>
        <v>0.0</v>
      </c>
      <c r="O111" s="3" t="n">
        <f>M111 + N111</f>
        <v>0.0</v>
      </c>
      <c r="P111" s="3" t="n">
        <f>L111 - O111</f>
        <v>0.0</v>
      </c>
    </row>
    <row r="112">
      <c r="A112" t="n">
        <v>16.0</v>
      </c>
      <c r="B112" t="inlineStr">
        <is>
          <t>LEASE-BH-F14-2025</t>
        </is>
      </c>
      <c r="C112" t="inlineStr">
        <is>
          <t>Flat 14 - 3 West Gate</t>
        </is>
      </c>
      <c r="D112" s="2" t="n">
        <v>45775.0</v>
      </c>
      <c r="E112" s="2" t="n">
        <v>45804.0</v>
      </c>
      <c r="F112" t="n">
        <v>30.0</v>
      </c>
      <c r="G112" s="2" t="n">
        <v>45744.0</v>
      </c>
      <c r="H112"/>
      <c r="I112" s="3" t="n">
        <v>795.0</v>
      </c>
      <c r="J112" t="n">
        <v>28.0</v>
      </c>
      <c r="K112" t="n">
        <v>30.0</v>
      </c>
      <c r="L112" s="3" t="n">
        <f>IF(F112 &lt; 28, ROUND(F112 / DAY(EOMONTH(D112, 0)) * I112, 2), I112)</f>
        <v>0.0</v>
      </c>
      <c r="M112" s="3" t="n">
        <f>L112 * 0.10</f>
        <v>0.0</v>
      </c>
      <c r="N112" s="3" t="n">
        <f>L112 * 0.05</f>
        <v>0.0</v>
      </c>
      <c r="O112" s="3" t="n">
        <f>M112 + N112</f>
        <v>0.0</v>
      </c>
      <c r="P112" s="3" t="n">
        <f>L112 - O112</f>
        <v>0.0</v>
      </c>
    </row>
    <row r="113">
      <c r="A113" t="n">
        <v>16.0</v>
      </c>
      <c r="B113" t="inlineStr">
        <is>
          <t>LEASE-BH-F14-2025</t>
        </is>
      </c>
      <c r="C113" t="inlineStr">
        <is>
          <t>Flat 14 - 3 West Gate</t>
        </is>
      </c>
      <c r="D113" s="2" t="n">
        <v>45805.0</v>
      </c>
      <c r="E113" s="2" t="n">
        <v>45835.0</v>
      </c>
      <c r="F113" t="n">
        <v>31.0</v>
      </c>
      <c r="G113" s="2" t="n">
        <v>45744.0</v>
      </c>
      <c r="H113"/>
      <c r="I113" s="3" t="n">
        <v>795.0</v>
      </c>
      <c r="J113" t="n">
        <v>28.0</v>
      </c>
      <c r="K113" t="n">
        <v>31.0</v>
      </c>
      <c r="L113" s="3" t="n">
        <f>IF(F113 &lt; 28, ROUND(F113 / DAY(EOMONTH(D113, 0)) * I113, 2), I113)</f>
        <v>0.0</v>
      </c>
      <c r="M113" s="3" t="n">
        <f>L113 * 0.10</f>
        <v>0.0</v>
      </c>
      <c r="N113" s="3" t="n">
        <f>L113 * 0.05</f>
        <v>0.0</v>
      </c>
      <c r="O113" s="3" t="n">
        <f>M113 + N113</f>
        <v>0.0</v>
      </c>
      <c r="P113" s="3" t="n">
        <f>L113 - O113</f>
        <v>0.0</v>
      </c>
    </row>
    <row r="114">
      <c r="A114" t="n">
        <v>16.0</v>
      </c>
      <c r="B114" t="inlineStr">
        <is>
          <t>LEASE-BH-F14-2025</t>
        </is>
      </c>
      <c r="C114" t="inlineStr">
        <is>
          <t>Flat 14 - 3 West Gate</t>
        </is>
      </c>
      <c r="D114" s="2" t="n">
        <v>45836.0</v>
      </c>
      <c r="E114" s="2" t="n">
        <v>45865.0</v>
      </c>
      <c r="F114" t="n">
        <v>30.0</v>
      </c>
      <c r="G114" s="2" t="n">
        <v>45744.0</v>
      </c>
      <c r="H114"/>
      <c r="I114" s="3" t="n">
        <v>795.0</v>
      </c>
      <c r="J114" t="n">
        <v>28.0</v>
      </c>
      <c r="K114" t="n">
        <v>30.0</v>
      </c>
      <c r="L114" s="3" t="n">
        <f>IF(F114 &lt; 28, ROUND(F114 / DAY(EOMONTH(D114, 0)) * I114, 2), I114)</f>
        <v>0.0</v>
      </c>
      <c r="M114" s="3" t="n">
        <f>L114 * 0.10</f>
        <v>0.0</v>
      </c>
      <c r="N114" s="3" t="n">
        <f>L114 * 0.05</f>
        <v>0.0</v>
      </c>
      <c r="O114" s="3" t="n">
        <f>M114 + N114</f>
        <v>0.0</v>
      </c>
      <c r="P114" s="3" t="n">
        <f>L114 - O114</f>
        <v>0.0</v>
      </c>
    </row>
    <row r="115">
      <c r="A115" t="n">
        <v>16.0</v>
      </c>
      <c r="B115" t="inlineStr">
        <is>
          <t>LEASE-BH-F14-2025</t>
        </is>
      </c>
      <c r="C115" t="inlineStr">
        <is>
          <t>Flat 14 - 3 West Gate</t>
        </is>
      </c>
      <c r="D115" s="2" t="n">
        <v>45866.0</v>
      </c>
      <c r="E115" s="2" t="n">
        <v>45896.0</v>
      </c>
      <c r="F115" t="n">
        <v>31.0</v>
      </c>
      <c r="G115" s="2" t="n">
        <v>45744.0</v>
      </c>
      <c r="H115"/>
      <c r="I115" s="3" t="n">
        <v>795.0</v>
      </c>
      <c r="J115" t="n">
        <v>28.0</v>
      </c>
      <c r="K115" t="n">
        <v>31.0</v>
      </c>
      <c r="L115" s="3" t="n">
        <f>IF(F115 &lt; 28, ROUND(F115 / DAY(EOMONTH(D115, 0)) * I115, 2), I115)</f>
        <v>0.0</v>
      </c>
      <c r="M115" s="3" t="n">
        <f>L115 * 0.10</f>
        <v>0.0</v>
      </c>
      <c r="N115" s="3" t="n">
        <f>L115 * 0.05</f>
        <v>0.0</v>
      </c>
      <c r="O115" s="3" t="n">
        <f>M115 + N115</f>
        <v>0.0</v>
      </c>
      <c r="P115" s="3" t="n">
        <f>L115 - O115</f>
        <v>0.0</v>
      </c>
    </row>
    <row r="116">
      <c r="A116" t="n">
        <v>16.0</v>
      </c>
      <c r="B116" t="inlineStr">
        <is>
          <t>LEASE-BH-F14-2025</t>
        </is>
      </c>
      <c r="C116" t="inlineStr">
        <is>
          <t>Flat 14 - 3 West Gate</t>
        </is>
      </c>
      <c r="D116" s="2" t="n">
        <v>45897.0</v>
      </c>
      <c r="E116" s="2" t="n">
        <v>45927.0</v>
      </c>
      <c r="F116" t="n">
        <v>31.0</v>
      </c>
      <c r="G116" s="2" t="n">
        <v>45744.0</v>
      </c>
      <c r="H116"/>
      <c r="I116" s="3" t="n">
        <v>795.0</v>
      </c>
      <c r="J116" t="n">
        <v>28.0</v>
      </c>
      <c r="K116" t="n">
        <v>31.0</v>
      </c>
      <c r="L116" s="3" t="n">
        <f>IF(F116 &lt; 28, ROUND(F116 / DAY(EOMONTH(D116, 0)) * I116, 2), I116)</f>
        <v>0.0</v>
      </c>
      <c r="M116" s="3" t="n">
        <f>L116 * 0.10</f>
        <v>0.0</v>
      </c>
      <c r="N116" s="3" t="n">
        <f>L116 * 0.05</f>
        <v>0.0</v>
      </c>
      <c r="O116" s="3" t="n">
        <f>M116 + N116</f>
        <v>0.0</v>
      </c>
      <c r="P116" s="3" t="n">
        <f>L116 - O116</f>
        <v>0.0</v>
      </c>
    </row>
    <row r="117">
      <c r="A117" t="n">
        <v>16.0</v>
      </c>
      <c r="B117" t="inlineStr">
        <is>
          <t>LEASE-BH-F14-2025</t>
        </is>
      </c>
      <c r="C117" t="inlineStr">
        <is>
          <t>Flat 14 - 3 West Gate</t>
        </is>
      </c>
      <c r="D117" s="2" t="n">
        <v>45928.0</v>
      </c>
      <c r="E117" s="2" t="n">
        <v>45957.0</v>
      </c>
      <c r="F117" t="n">
        <v>30.0</v>
      </c>
      <c r="G117" s="2" t="n">
        <v>45744.0</v>
      </c>
      <c r="H117"/>
      <c r="I117" s="3" t="n">
        <v>795.0</v>
      </c>
      <c r="J117" t="n">
        <v>28.0</v>
      </c>
      <c r="K117" t="n">
        <v>30.0</v>
      </c>
      <c r="L117" s="3" t="n">
        <f>IF(F117 &lt; 28, ROUND(F117 / DAY(EOMONTH(D117, 0)) * I117, 2), I117)</f>
        <v>0.0</v>
      </c>
      <c r="M117" s="3" t="n">
        <f>L117 * 0.10</f>
        <v>0.0</v>
      </c>
      <c r="N117" s="3" t="n">
        <f>L117 * 0.05</f>
        <v>0.0</v>
      </c>
      <c r="O117" s="3" t="n">
        <f>M117 + N117</f>
        <v>0.0</v>
      </c>
      <c r="P117" s="3" t="n">
        <f>L117 - O117</f>
        <v>0.0</v>
      </c>
    </row>
    <row r="118">
      <c r="A118" t="n">
        <v>16.0</v>
      </c>
      <c r="B118" t="inlineStr">
        <is>
          <t>LEASE-BH-F14-2025</t>
        </is>
      </c>
      <c r="C118" t="inlineStr">
        <is>
          <t>Flat 14 - 3 West Gate</t>
        </is>
      </c>
      <c r="D118" s="2" t="n">
        <v>45958.0</v>
      </c>
      <c r="E118" s="2" t="n">
        <v>45988.0</v>
      </c>
      <c r="F118" t="n">
        <v>31.0</v>
      </c>
      <c r="G118" s="2" t="n">
        <v>45744.0</v>
      </c>
      <c r="H118"/>
      <c r="I118" s="3" t="n">
        <v>795.0</v>
      </c>
      <c r="J118" t="n">
        <v>28.0</v>
      </c>
      <c r="K118" t="n">
        <v>31.0</v>
      </c>
      <c r="L118" s="3" t="n">
        <f>IF(F118 &lt; 28, ROUND(F118 / DAY(EOMONTH(D118, 0)) * I118, 2), I118)</f>
        <v>0.0</v>
      </c>
      <c r="M118" s="3" t="n">
        <f>L118 * 0.10</f>
        <v>0.0</v>
      </c>
      <c r="N118" s="3" t="n">
        <f>L118 * 0.05</f>
        <v>0.0</v>
      </c>
      <c r="O118" s="3" t="n">
        <f>M118 + N118</f>
        <v>0.0</v>
      </c>
      <c r="P118" s="3" t="n">
        <f>L118 - O118</f>
        <v>0.0</v>
      </c>
    </row>
    <row r="119">
      <c r="A119" t="n">
        <v>17.0</v>
      </c>
      <c r="B119" t="inlineStr">
        <is>
          <t>LEASE-BH-F15-2025</t>
        </is>
      </c>
      <c r="C119" t="inlineStr">
        <is>
          <t>Flat 15 - 3 West Gate</t>
        </is>
      </c>
      <c r="D119" s="2" t="n">
        <v>45703.0</v>
      </c>
      <c r="E119" s="2" t="n">
        <v>45730.0</v>
      </c>
      <c r="F119" t="n">
        <v>28.0</v>
      </c>
      <c r="G119" s="2" t="n">
        <v>45703.0</v>
      </c>
      <c r="H119"/>
      <c r="I119" s="3" t="n">
        <v>740.0</v>
      </c>
      <c r="J119" t="n">
        <v>15.0</v>
      </c>
      <c r="K119" t="n">
        <v>28.0</v>
      </c>
      <c r="L119" s="3" t="n">
        <f>IF(F119 &lt; 28, ROUND(F119 / DAY(EOMONTH(D119, 0)) * I119, 2), I119)</f>
        <v>0.0</v>
      </c>
      <c r="M119" s="3" t="n">
        <f>L119 * 0.10</f>
        <v>0.0</v>
      </c>
      <c r="N119" s="3" t="n">
        <f>L119 * 0.05</f>
        <v>0.0</v>
      </c>
      <c r="O119" s="3" t="n">
        <f>M119 + N119</f>
        <v>0.0</v>
      </c>
      <c r="P119" s="3" t="n">
        <f>L119 - O119</f>
        <v>0.0</v>
      </c>
    </row>
    <row r="120">
      <c r="A120" t="n">
        <v>17.0</v>
      </c>
      <c r="B120" t="inlineStr">
        <is>
          <t>LEASE-BH-F15-2025</t>
        </is>
      </c>
      <c r="C120" t="inlineStr">
        <is>
          <t>Flat 15 - 3 West Gate</t>
        </is>
      </c>
      <c r="D120" s="2" t="n">
        <v>45731.0</v>
      </c>
      <c r="E120" s="2" t="n">
        <v>45761.0</v>
      </c>
      <c r="F120" t="n">
        <v>31.0</v>
      </c>
      <c r="G120" s="2" t="n">
        <v>45703.0</v>
      </c>
      <c r="H120"/>
      <c r="I120" s="3" t="n">
        <v>740.0</v>
      </c>
      <c r="J120" t="n">
        <v>15.0</v>
      </c>
      <c r="K120" t="n">
        <v>31.0</v>
      </c>
      <c r="L120" s="3" t="n">
        <f>IF(F120 &lt; 28, ROUND(F120 / DAY(EOMONTH(D120, 0)) * I120, 2), I120)</f>
        <v>0.0</v>
      </c>
      <c r="M120" s="3" t="n">
        <f>L120 * 0.10</f>
        <v>0.0</v>
      </c>
      <c r="N120" s="3" t="n">
        <f>L120 * 0.05</f>
        <v>0.0</v>
      </c>
      <c r="O120" s="3" t="n">
        <f>M120 + N120</f>
        <v>0.0</v>
      </c>
      <c r="P120" s="3" t="n">
        <f>L120 - O120</f>
        <v>0.0</v>
      </c>
    </row>
    <row r="121">
      <c r="A121" t="n">
        <v>17.0</v>
      </c>
      <c r="B121" t="inlineStr">
        <is>
          <t>LEASE-BH-F15-2025</t>
        </is>
      </c>
      <c r="C121" t="inlineStr">
        <is>
          <t>Flat 15 - 3 West Gate</t>
        </is>
      </c>
      <c r="D121" s="2" t="n">
        <v>45762.0</v>
      </c>
      <c r="E121" s="2" t="n">
        <v>45791.0</v>
      </c>
      <c r="F121" t="n">
        <v>30.0</v>
      </c>
      <c r="G121" s="2" t="n">
        <v>45703.0</v>
      </c>
      <c r="H121"/>
      <c r="I121" s="3" t="n">
        <v>740.0</v>
      </c>
      <c r="J121" t="n">
        <v>15.0</v>
      </c>
      <c r="K121" t="n">
        <v>30.0</v>
      </c>
      <c r="L121" s="3" t="n">
        <f>IF(F121 &lt; 28, ROUND(F121 / DAY(EOMONTH(D121, 0)) * I121, 2), I121)</f>
        <v>0.0</v>
      </c>
      <c r="M121" s="3" t="n">
        <f>L121 * 0.10</f>
        <v>0.0</v>
      </c>
      <c r="N121" s="3" t="n">
        <f>L121 * 0.05</f>
        <v>0.0</v>
      </c>
      <c r="O121" s="3" t="n">
        <f>M121 + N121</f>
        <v>0.0</v>
      </c>
      <c r="P121" s="3" t="n">
        <f>L121 - O121</f>
        <v>0.0</v>
      </c>
    </row>
    <row r="122">
      <c r="A122" t="n">
        <v>17.0</v>
      </c>
      <c r="B122" t="inlineStr">
        <is>
          <t>LEASE-BH-F15-2025</t>
        </is>
      </c>
      <c r="C122" t="inlineStr">
        <is>
          <t>Flat 15 - 3 West Gate</t>
        </is>
      </c>
      <c r="D122" s="2" t="n">
        <v>45792.0</v>
      </c>
      <c r="E122" s="2" t="n">
        <v>45822.0</v>
      </c>
      <c r="F122" t="n">
        <v>31.0</v>
      </c>
      <c r="G122" s="2" t="n">
        <v>45703.0</v>
      </c>
      <c r="H122"/>
      <c r="I122" s="3" t="n">
        <v>740.0</v>
      </c>
      <c r="J122" t="n">
        <v>15.0</v>
      </c>
      <c r="K122" t="n">
        <v>31.0</v>
      </c>
      <c r="L122" s="3" t="n">
        <f>IF(F122 &lt; 28, ROUND(F122 / DAY(EOMONTH(D122, 0)) * I122, 2), I122)</f>
        <v>0.0</v>
      </c>
      <c r="M122" s="3" t="n">
        <f>L122 * 0.10</f>
        <v>0.0</v>
      </c>
      <c r="N122" s="3" t="n">
        <f>L122 * 0.05</f>
        <v>0.0</v>
      </c>
      <c r="O122" s="3" t="n">
        <f>M122 + N122</f>
        <v>0.0</v>
      </c>
      <c r="P122" s="3" t="n">
        <f>L122 - O122</f>
        <v>0.0</v>
      </c>
    </row>
    <row r="123">
      <c r="A123" t="n">
        <v>17.0</v>
      </c>
      <c r="B123" t="inlineStr">
        <is>
          <t>LEASE-BH-F15-2025</t>
        </is>
      </c>
      <c r="C123" t="inlineStr">
        <is>
          <t>Flat 15 - 3 West Gate</t>
        </is>
      </c>
      <c r="D123" s="2" t="n">
        <v>45823.0</v>
      </c>
      <c r="E123" s="2" t="n">
        <v>45852.0</v>
      </c>
      <c r="F123" t="n">
        <v>30.0</v>
      </c>
      <c r="G123" s="2" t="n">
        <v>45703.0</v>
      </c>
      <c r="H123"/>
      <c r="I123" s="3" t="n">
        <v>740.0</v>
      </c>
      <c r="J123" t="n">
        <v>15.0</v>
      </c>
      <c r="K123" t="n">
        <v>30.0</v>
      </c>
      <c r="L123" s="3" t="n">
        <f>IF(F123 &lt; 28, ROUND(F123 / DAY(EOMONTH(D123, 0)) * I123, 2), I123)</f>
        <v>0.0</v>
      </c>
      <c r="M123" s="3" t="n">
        <f>L123 * 0.10</f>
        <v>0.0</v>
      </c>
      <c r="N123" s="3" t="n">
        <f>L123 * 0.05</f>
        <v>0.0</v>
      </c>
      <c r="O123" s="3" t="n">
        <f>M123 + N123</f>
        <v>0.0</v>
      </c>
      <c r="P123" s="3" t="n">
        <f>L123 - O123</f>
        <v>0.0</v>
      </c>
    </row>
    <row r="124">
      <c r="A124" t="n">
        <v>17.0</v>
      </c>
      <c r="B124" t="inlineStr">
        <is>
          <t>LEASE-BH-F15-2025</t>
        </is>
      </c>
      <c r="C124" t="inlineStr">
        <is>
          <t>Flat 15 - 3 West Gate</t>
        </is>
      </c>
      <c r="D124" s="2" t="n">
        <v>45853.0</v>
      </c>
      <c r="E124" s="2" t="n">
        <v>45883.0</v>
      </c>
      <c r="F124" t="n">
        <v>31.0</v>
      </c>
      <c r="G124" s="2" t="n">
        <v>45703.0</v>
      </c>
      <c r="H124"/>
      <c r="I124" s="3" t="n">
        <v>740.0</v>
      </c>
      <c r="J124" t="n">
        <v>15.0</v>
      </c>
      <c r="K124" t="n">
        <v>31.0</v>
      </c>
      <c r="L124" s="3" t="n">
        <f>IF(F124 &lt; 28, ROUND(F124 / DAY(EOMONTH(D124, 0)) * I124, 2), I124)</f>
        <v>0.0</v>
      </c>
      <c r="M124" s="3" t="n">
        <f>L124 * 0.10</f>
        <v>0.0</v>
      </c>
      <c r="N124" s="3" t="n">
        <f>L124 * 0.05</f>
        <v>0.0</v>
      </c>
      <c r="O124" s="3" t="n">
        <f>M124 + N124</f>
        <v>0.0</v>
      </c>
      <c r="P124" s="3" t="n">
        <f>L124 - O124</f>
        <v>0.0</v>
      </c>
    </row>
    <row r="125">
      <c r="A125" t="n">
        <v>17.0</v>
      </c>
      <c r="B125" t="inlineStr">
        <is>
          <t>LEASE-BH-F15-2025</t>
        </is>
      </c>
      <c r="C125" t="inlineStr">
        <is>
          <t>Flat 15 - 3 West Gate</t>
        </is>
      </c>
      <c r="D125" s="2" t="n">
        <v>45884.0</v>
      </c>
      <c r="E125" s="2" t="n">
        <v>45914.0</v>
      </c>
      <c r="F125" t="n">
        <v>31.0</v>
      </c>
      <c r="G125" s="2" t="n">
        <v>45703.0</v>
      </c>
      <c r="H125"/>
      <c r="I125" s="3" t="n">
        <v>740.0</v>
      </c>
      <c r="J125" t="n">
        <v>15.0</v>
      </c>
      <c r="K125" t="n">
        <v>31.0</v>
      </c>
      <c r="L125" s="3" t="n">
        <f>IF(F125 &lt; 28, ROUND(F125 / DAY(EOMONTH(D125, 0)) * I125, 2), I125)</f>
        <v>0.0</v>
      </c>
      <c r="M125" s="3" t="n">
        <f>L125 * 0.10</f>
        <v>0.0</v>
      </c>
      <c r="N125" s="3" t="n">
        <f>L125 * 0.05</f>
        <v>0.0</v>
      </c>
      <c r="O125" s="3" t="n">
        <f>M125 + N125</f>
        <v>0.0</v>
      </c>
      <c r="P125" s="3" t="n">
        <f>L125 - O125</f>
        <v>0.0</v>
      </c>
    </row>
    <row r="126">
      <c r="A126" t="n">
        <v>17.0</v>
      </c>
      <c r="B126" t="inlineStr">
        <is>
          <t>LEASE-BH-F15-2025</t>
        </is>
      </c>
      <c r="C126" t="inlineStr">
        <is>
          <t>Flat 15 - 3 West Gate</t>
        </is>
      </c>
      <c r="D126" s="2" t="n">
        <v>45915.0</v>
      </c>
      <c r="E126" s="2" t="n">
        <v>45944.0</v>
      </c>
      <c r="F126" t="n">
        <v>30.0</v>
      </c>
      <c r="G126" s="2" t="n">
        <v>45703.0</v>
      </c>
      <c r="H126"/>
      <c r="I126" s="3" t="n">
        <v>740.0</v>
      </c>
      <c r="J126" t="n">
        <v>15.0</v>
      </c>
      <c r="K126" t="n">
        <v>30.0</v>
      </c>
      <c r="L126" s="3" t="n">
        <f>IF(F126 &lt; 28, ROUND(F126 / DAY(EOMONTH(D126, 0)) * I126, 2), I126)</f>
        <v>0.0</v>
      </c>
      <c r="M126" s="3" t="n">
        <f>L126 * 0.10</f>
        <v>0.0</v>
      </c>
      <c r="N126" s="3" t="n">
        <f>L126 * 0.05</f>
        <v>0.0</v>
      </c>
      <c r="O126" s="3" t="n">
        <f>M126 + N126</f>
        <v>0.0</v>
      </c>
      <c r="P126" s="3" t="n">
        <f>L126 - O126</f>
        <v>0.0</v>
      </c>
    </row>
    <row r="127">
      <c r="A127" t="n">
        <v>17.0</v>
      </c>
      <c r="B127" t="inlineStr">
        <is>
          <t>LEASE-BH-F15-2025</t>
        </is>
      </c>
      <c r="C127" t="inlineStr">
        <is>
          <t>Flat 15 - 3 West Gate</t>
        </is>
      </c>
      <c r="D127" s="2" t="n">
        <v>45945.0</v>
      </c>
      <c r="E127" s="2" t="n">
        <v>45975.0</v>
      </c>
      <c r="F127" t="n">
        <v>31.0</v>
      </c>
      <c r="G127" s="2" t="n">
        <v>45703.0</v>
      </c>
      <c r="H127"/>
      <c r="I127" s="3" t="n">
        <v>740.0</v>
      </c>
      <c r="J127" t="n">
        <v>15.0</v>
      </c>
      <c r="K127" t="n">
        <v>31.0</v>
      </c>
      <c r="L127" s="3" t="n">
        <f>IF(F127 &lt; 28, ROUND(F127 / DAY(EOMONTH(D127, 0)) * I127, 2), I127)</f>
        <v>0.0</v>
      </c>
      <c r="M127" s="3" t="n">
        <f>L127 * 0.10</f>
        <v>0.0</v>
      </c>
      <c r="N127" s="3" t="n">
        <f>L127 * 0.05</f>
        <v>0.0</v>
      </c>
      <c r="O127" s="3" t="n">
        <f>M127 + N127</f>
        <v>0.0</v>
      </c>
      <c r="P127" s="3" t="n">
        <f>L127 - O127</f>
        <v>0.0</v>
      </c>
    </row>
    <row r="128">
      <c r="A128" t="n">
        <v>17.0</v>
      </c>
      <c r="B128" t="inlineStr">
        <is>
          <t>LEASE-BH-F15-2025</t>
        </is>
      </c>
      <c r="C128" t="inlineStr">
        <is>
          <t>Flat 15 - 3 West Gate</t>
        </is>
      </c>
      <c r="D128" s="2" t="n">
        <v>45976.0</v>
      </c>
      <c r="E128" s="2" t="n">
        <v>46005.0</v>
      </c>
      <c r="F128" t="n">
        <v>30.0</v>
      </c>
      <c r="G128" s="2" t="n">
        <v>45703.0</v>
      </c>
      <c r="H128"/>
      <c r="I128" s="3" t="n">
        <v>740.0</v>
      </c>
      <c r="J128" t="n">
        <v>15.0</v>
      </c>
      <c r="K128" t="n">
        <v>30.0</v>
      </c>
      <c r="L128" s="3" t="n">
        <f>IF(F128 &lt; 28, ROUND(F128 / DAY(EOMONTH(D128, 0)) * I128, 2), I128)</f>
        <v>0.0</v>
      </c>
      <c r="M128" s="3" t="n">
        <f>L128 * 0.10</f>
        <v>0.0</v>
      </c>
      <c r="N128" s="3" t="n">
        <f>L128 * 0.05</f>
        <v>0.0</v>
      </c>
      <c r="O128" s="3" t="n">
        <f>M128 + N128</f>
        <v>0.0</v>
      </c>
      <c r="P128" s="3" t="n">
        <f>L128 - O128</f>
        <v>0.0</v>
      </c>
    </row>
    <row r="129">
      <c r="A129" t="n">
        <v>18.0</v>
      </c>
      <c r="B129" t="inlineStr">
        <is>
          <t>LEASE-BH-F16-2025</t>
        </is>
      </c>
      <c r="C129" t="inlineStr">
        <is>
          <t>Flat 16 - 3 West Gate</t>
        </is>
      </c>
      <c r="D129" s="2" t="n">
        <v>45726.0</v>
      </c>
      <c r="E129" s="2" t="n">
        <v>45756.0</v>
      </c>
      <c r="F129" t="n">
        <v>31.0</v>
      </c>
      <c r="G129" s="2" t="n">
        <v>45726.0</v>
      </c>
      <c r="H129" s="2" t="n">
        <v>45902.0</v>
      </c>
      <c r="I129" s="3" t="n">
        <v>740.0</v>
      </c>
      <c r="J129" t="n">
        <v>10.0</v>
      </c>
      <c r="K129" t="n">
        <v>31.0</v>
      </c>
      <c r="L129" s="3" t="n">
        <f>IF(F129 &lt; 28, ROUND(F129 / DAY(EOMONTH(D129, 0)) * I129, 2), I129)</f>
        <v>0.0</v>
      </c>
      <c r="M129" s="3" t="n">
        <f>L129 * 0.10</f>
        <v>0.0</v>
      </c>
      <c r="N129" s="3" t="n">
        <f>L129 * 0.05</f>
        <v>0.0</v>
      </c>
      <c r="O129" s="3" t="n">
        <f>M129 + N129</f>
        <v>0.0</v>
      </c>
      <c r="P129" s="3" t="n">
        <f>L129 - O129</f>
        <v>0.0</v>
      </c>
    </row>
    <row r="130">
      <c r="A130" t="n">
        <v>18.0</v>
      </c>
      <c r="B130" t="inlineStr">
        <is>
          <t>LEASE-BH-F16-2025</t>
        </is>
      </c>
      <c r="C130" t="inlineStr">
        <is>
          <t>Flat 16 - 3 West Gate</t>
        </is>
      </c>
      <c r="D130" s="2" t="n">
        <v>45757.0</v>
      </c>
      <c r="E130" s="2" t="n">
        <v>45786.0</v>
      </c>
      <c r="F130" t="n">
        <v>30.0</v>
      </c>
      <c r="G130" s="2" t="n">
        <v>45726.0</v>
      </c>
      <c r="H130" s="2" t="n">
        <v>45902.0</v>
      </c>
      <c r="I130" s="3" t="n">
        <v>740.0</v>
      </c>
      <c r="J130" t="n">
        <v>10.0</v>
      </c>
      <c r="K130" t="n">
        <v>30.0</v>
      </c>
      <c r="L130" s="3" t="n">
        <f>IF(F130 &lt; 28, ROUND(F130 / DAY(EOMONTH(D130, 0)) * I130, 2), I130)</f>
        <v>0.0</v>
      </c>
      <c r="M130" s="3" t="n">
        <f>L130 * 0.10</f>
        <v>0.0</v>
      </c>
      <c r="N130" s="3" t="n">
        <f>L130 * 0.05</f>
        <v>0.0</v>
      </c>
      <c r="O130" s="3" t="n">
        <f>M130 + N130</f>
        <v>0.0</v>
      </c>
      <c r="P130" s="3" t="n">
        <f>L130 - O130</f>
        <v>0.0</v>
      </c>
    </row>
    <row r="131">
      <c r="A131" t="n">
        <v>18.0</v>
      </c>
      <c r="B131" t="inlineStr">
        <is>
          <t>LEASE-BH-F16-2025</t>
        </is>
      </c>
      <c r="C131" t="inlineStr">
        <is>
          <t>Flat 16 - 3 West Gate</t>
        </is>
      </c>
      <c r="D131" s="2" t="n">
        <v>45787.0</v>
      </c>
      <c r="E131" s="2" t="n">
        <v>45817.0</v>
      </c>
      <c r="F131" t="n">
        <v>31.0</v>
      </c>
      <c r="G131" s="2" t="n">
        <v>45726.0</v>
      </c>
      <c r="H131" s="2" t="n">
        <v>45902.0</v>
      </c>
      <c r="I131" s="3" t="n">
        <v>740.0</v>
      </c>
      <c r="J131" t="n">
        <v>10.0</v>
      </c>
      <c r="K131" t="n">
        <v>31.0</v>
      </c>
      <c r="L131" s="3" t="n">
        <f>IF(F131 &lt; 28, ROUND(F131 / DAY(EOMONTH(D131, 0)) * I131, 2), I131)</f>
        <v>0.0</v>
      </c>
      <c r="M131" s="3" t="n">
        <f>L131 * 0.10</f>
        <v>0.0</v>
      </c>
      <c r="N131" s="3" t="n">
        <f>L131 * 0.05</f>
        <v>0.0</v>
      </c>
      <c r="O131" s="3" t="n">
        <f>M131 + N131</f>
        <v>0.0</v>
      </c>
      <c r="P131" s="3" t="n">
        <f>L131 - O131</f>
        <v>0.0</v>
      </c>
    </row>
    <row r="132">
      <c r="A132" t="n">
        <v>18.0</v>
      </c>
      <c r="B132" t="inlineStr">
        <is>
          <t>LEASE-BH-F16-2025</t>
        </is>
      </c>
      <c r="C132" t="inlineStr">
        <is>
          <t>Flat 16 - 3 West Gate</t>
        </is>
      </c>
      <c r="D132" s="2" t="n">
        <v>45818.0</v>
      </c>
      <c r="E132" s="2" t="n">
        <v>45847.0</v>
      </c>
      <c r="F132" t="n">
        <v>30.0</v>
      </c>
      <c r="G132" s="2" t="n">
        <v>45726.0</v>
      </c>
      <c r="H132" s="2" t="n">
        <v>45902.0</v>
      </c>
      <c r="I132" s="3" t="n">
        <v>740.0</v>
      </c>
      <c r="J132" t="n">
        <v>10.0</v>
      </c>
      <c r="K132" t="n">
        <v>30.0</v>
      </c>
      <c r="L132" s="3" t="n">
        <f>IF(F132 &lt; 28, ROUND(F132 / DAY(EOMONTH(D132, 0)) * I132, 2), I132)</f>
        <v>0.0</v>
      </c>
      <c r="M132" s="3" t="n">
        <f>L132 * 0.10</f>
        <v>0.0</v>
      </c>
      <c r="N132" s="3" t="n">
        <f>L132 * 0.05</f>
        <v>0.0</v>
      </c>
      <c r="O132" s="3" t="n">
        <f>M132 + N132</f>
        <v>0.0</v>
      </c>
      <c r="P132" s="3" t="n">
        <f>L132 - O132</f>
        <v>0.0</v>
      </c>
    </row>
    <row r="133">
      <c r="A133" t="n">
        <v>18.0</v>
      </c>
      <c r="B133" t="inlineStr">
        <is>
          <t>LEASE-BH-F16-2025</t>
        </is>
      </c>
      <c r="C133" t="inlineStr">
        <is>
          <t>Flat 16 - 3 West Gate</t>
        </is>
      </c>
      <c r="D133" s="2" t="n">
        <v>45848.0</v>
      </c>
      <c r="E133" s="2" t="n">
        <v>45878.0</v>
      </c>
      <c r="F133" t="n">
        <v>31.0</v>
      </c>
      <c r="G133" s="2" t="n">
        <v>45726.0</v>
      </c>
      <c r="H133" s="2" t="n">
        <v>45902.0</v>
      </c>
      <c r="I133" s="3" t="n">
        <v>740.0</v>
      </c>
      <c r="J133" t="n">
        <v>10.0</v>
      </c>
      <c r="K133" t="n">
        <v>31.0</v>
      </c>
      <c r="L133" s="3" t="n">
        <f>IF(F133 &lt; 28, ROUND(F133 / DAY(EOMONTH(D133, 0)) * I133, 2), I133)</f>
        <v>0.0</v>
      </c>
      <c r="M133" s="3" t="n">
        <f>L133 * 0.10</f>
        <v>0.0</v>
      </c>
      <c r="N133" s="3" t="n">
        <f>L133 * 0.05</f>
        <v>0.0</v>
      </c>
      <c r="O133" s="3" t="n">
        <f>M133 + N133</f>
        <v>0.0</v>
      </c>
      <c r="P133" s="3" t="n">
        <f>L133 - O133</f>
        <v>0.0</v>
      </c>
    </row>
    <row r="134">
      <c r="A134" t="n">
        <v>18.0</v>
      </c>
      <c r="B134" t="inlineStr">
        <is>
          <t>LEASE-BH-F16-2025</t>
        </is>
      </c>
      <c r="C134" t="inlineStr">
        <is>
          <t>Flat 16 - 3 West Gate</t>
        </is>
      </c>
      <c r="D134" s="2" t="n">
        <v>45879.0</v>
      </c>
      <c r="E134" s="2" t="n">
        <v>45902.0</v>
      </c>
      <c r="F134" t="n">
        <v>24.0</v>
      </c>
      <c r="G134" s="2" t="n">
        <v>45726.0</v>
      </c>
      <c r="H134" s="2" t="n">
        <v>45902.0</v>
      </c>
      <c r="I134" s="3" t="n">
        <v>740.0</v>
      </c>
      <c r="J134" t="n">
        <v>10.0</v>
      </c>
      <c r="K134" t="n">
        <v>24.0</v>
      </c>
      <c r="L134" s="3" t="n">
        <f>IF(F134 &lt; 28, ROUND(F134 / DAY(EOMONTH(D134, 0)) * I134, 2), I134)</f>
        <v>0.0</v>
      </c>
      <c r="M134" s="3" t="n">
        <f>L134 * 0.10</f>
        <v>0.0</v>
      </c>
      <c r="N134" s="3" t="n">
        <f>L134 * 0.05</f>
        <v>0.0</v>
      </c>
      <c r="O134" s="3" t="n">
        <f>M134 + N134</f>
        <v>0.0</v>
      </c>
      <c r="P134" s="3" t="n">
        <f>L134 - O134</f>
        <v>0.0</v>
      </c>
    </row>
    <row r="135">
      <c r="A135" t="n">
        <v>19.0</v>
      </c>
      <c r="B135" t="inlineStr">
        <is>
          <t>LEASE-BH-F17-2025</t>
        </is>
      </c>
      <c r="C135" t="inlineStr">
        <is>
          <t>Flat 17 - 3 West Gate</t>
        </is>
      </c>
      <c r="D135" s="2" t="n">
        <v>45705.0</v>
      </c>
      <c r="E135" s="2" t="n">
        <v>45732.0</v>
      </c>
      <c r="F135" t="n">
        <v>28.0</v>
      </c>
      <c r="G135" s="2" t="n">
        <v>45705.0</v>
      </c>
      <c r="H135"/>
      <c r="I135" s="3" t="n">
        <v>700.0</v>
      </c>
      <c r="J135" t="n">
        <v>17.0</v>
      </c>
      <c r="K135" t="n">
        <v>28.0</v>
      </c>
      <c r="L135" s="3" t="n">
        <f>IF(F135 &lt; 28, ROUND(F135 / DAY(EOMONTH(D135, 0)) * I135, 2), I135)</f>
        <v>0.0</v>
      </c>
      <c r="M135" s="3" t="n">
        <f>L135 * 0.10</f>
        <v>0.0</v>
      </c>
      <c r="N135" s="3" t="n">
        <f>L135 * 0.05</f>
        <v>0.0</v>
      </c>
      <c r="O135" s="3" t="n">
        <f>M135 + N135</f>
        <v>0.0</v>
      </c>
      <c r="P135" s="3" t="n">
        <f>L135 - O135</f>
        <v>0.0</v>
      </c>
    </row>
    <row r="136">
      <c r="A136" t="n">
        <v>19.0</v>
      </c>
      <c r="B136" t="inlineStr">
        <is>
          <t>LEASE-BH-F17-2025</t>
        </is>
      </c>
      <c r="C136" t="inlineStr">
        <is>
          <t>Flat 17 - 3 West Gate</t>
        </is>
      </c>
      <c r="D136" s="2" t="n">
        <v>45733.0</v>
      </c>
      <c r="E136" s="2" t="n">
        <v>45763.0</v>
      </c>
      <c r="F136" t="n">
        <v>31.0</v>
      </c>
      <c r="G136" s="2" t="n">
        <v>45705.0</v>
      </c>
      <c r="H136"/>
      <c r="I136" s="3" t="n">
        <v>700.0</v>
      </c>
      <c r="J136" t="n">
        <v>17.0</v>
      </c>
      <c r="K136" t="n">
        <v>31.0</v>
      </c>
      <c r="L136" s="3" t="n">
        <f>IF(F136 &lt; 28, ROUND(F136 / DAY(EOMONTH(D136, 0)) * I136, 2), I136)</f>
        <v>0.0</v>
      </c>
      <c r="M136" s="3" t="n">
        <f>L136 * 0.10</f>
        <v>0.0</v>
      </c>
      <c r="N136" s="3" t="n">
        <f>L136 * 0.05</f>
        <v>0.0</v>
      </c>
      <c r="O136" s="3" t="n">
        <f>M136 + N136</f>
        <v>0.0</v>
      </c>
      <c r="P136" s="3" t="n">
        <f>L136 - O136</f>
        <v>0.0</v>
      </c>
    </row>
    <row r="137">
      <c r="A137" t="n">
        <v>19.0</v>
      </c>
      <c r="B137" t="inlineStr">
        <is>
          <t>LEASE-BH-F17-2025</t>
        </is>
      </c>
      <c r="C137" t="inlineStr">
        <is>
          <t>Flat 17 - 3 West Gate</t>
        </is>
      </c>
      <c r="D137" s="2" t="n">
        <v>45764.0</v>
      </c>
      <c r="E137" s="2" t="n">
        <v>45793.0</v>
      </c>
      <c r="F137" t="n">
        <v>30.0</v>
      </c>
      <c r="G137" s="2" t="n">
        <v>45705.0</v>
      </c>
      <c r="H137"/>
      <c r="I137" s="3" t="n">
        <v>700.0</v>
      </c>
      <c r="J137" t="n">
        <v>17.0</v>
      </c>
      <c r="K137" t="n">
        <v>30.0</v>
      </c>
      <c r="L137" s="3" t="n">
        <f>IF(F137 &lt; 28, ROUND(F137 / DAY(EOMONTH(D137, 0)) * I137, 2), I137)</f>
        <v>0.0</v>
      </c>
      <c r="M137" s="3" t="n">
        <f>L137 * 0.10</f>
        <v>0.0</v>
      </c>
      <c r="N137" s="3" t="n">
        <f>L137 * 0.05</f>
        <v>0.0</v>
      </c>
      <c r="O137" s="3" t="n">
        <f>M137 + N137</f>
        <v>0.0</v>
      </c>
      <c r="P137" s="3" t="n">
        <f>L137 - O137</f>
        <v>0.0</v>
      </c>
    </row>
    <row r="138">
      <c r="A138" t="n">
        <v>19.0</v>
      </c>
      <c r="B138" t="inlineStr">
        <is>
          <t>LEASE-BH-F17-2025</t>
        </is>
      </c>
      <c r="C138" t="inlineStr">
        <is>
          <t>Flat 17 - 3 West Gate</t>
        </is>
      </c>
      <c r="D138" s="2" t="n">
        <v>45794.0</v>
      </c>
      <c r="E138" s="2" t="n">
        <v>45824.0</v>
      </c>
      <c r="F138" t="n">
        <v>31.0</v>
      </c>
      <c r="G138" s="2" t="n">
        <v>45705.0</v>
      </c>
      <c r="H138"/>
      <c r="I138" s="3" t="n">
        <v>700.0</v>
      </c>
      <c r="J138" t="n">
        <v>17.0</v>
      </c>
      <c r="K138" t="n">
        <v>31.0</v>
      </c>
      <c r="L138" s="3" t="n">
        <f>IF(F138 &lt; 28, ROUND(F138 / DAY(EOMONTH(D138, 0)) * I138, 2), I138)</f>
        <v>0.0</v>
      </c>
      <c r="M138" s="3" t="n">
        <f>L138 * 0.10</f>
        <v>0.0</v>
      </c>
      <c r="N138" s="3" t="n">
        <f>L138 * 0.05</f>
        <v>0.0</v>
      </c>
      <c r="O138" s="3" t="n">
        <f>M138 + N138</f>
        <v>0.0</v>
      </c>
      <c r="P138" s="3" t="n">
        <f>L138 - O138</f>
        <v>0.0</v>
      </c>
    </row>
    <row r="139">
      <c r="A139" t="n">
        <v>19.0</v>
      </c>
      <c r="B139" t="inlineStr">
        <is>
          <t>LEASE-BH-F17-2025</t>
        </is>
      </c>
      <c r="C139" t="inlineStr">
        <is>
          <t>Flat 17 - 3 West Gate</t>
        </is>
      </c>
      <c r="D139" s="2" t="n">
        <v>45825.0</v>
      </c>
      <c r="E139" s="2" t="n">
        <v>45854.0</v>
      </c>
      <c r="F139" t="n">
        <v>30.0</v>
      </c>
      <c r="G139" s="2" t="n">
        <v>45705.0</v>
      </c>
      <c r="H139"/>
      <c r="I139" s="3" t="n">
        <v>700.0</v>
      </c>
      <c r="J139" t="n">
        <v>17.0</v>
      </c>
      <c r="K139" t="n">
        <v>30.0</v>
      </c>
      <c r="L139" s="3" t="n">
        <f>IF(F139 &lt; 28, ROUND(F139 / DAY(EOMONTH(D139, 0)) * I139, 2), I139)</f>
        <v>0.0</v>
      </c>
      <c r="M139" s="3" t="n">
        <f>L139 * 0.10</f>
        <v>0.0</v>
      </c>
      <c r="N139" s="3" t="n">
        <f>L139 * 0.05</f>
        <v>0.0</v>
      </c>
      <c r="O139" s="3" t="n">
        <f>M139 + N139</f>
        <v>0.0</v>
      </c>
      <c r="P139" s="3" t="n">
        <f>L139 - O139</f>
        <v>0.0</v>
      </c>
    </row>
    <row r="140">
      <c r="A140" t="n">
        <v>19.0</v>
      </c>
      <c r="B140" t="inlineStr">
        <is>
          <t>LEASE-BH-F17-2025</t>
        </is>
      </c>
      <c r="C140" t="inlineStr">
        <is>
          <t>Flat 17 - 3 West Gate</t>
        </is>
      </c>
      <c r="D140" s="2" t="n">
        <v>45855.0</v>
      </c>
      <c r="E140" s="2" t="n">
        <v>45885.0</v>
      </c>
      <c r="F140" t="n">
        <v>31.0</v>
      </c>
      <c r="G140" s="2" t="n">
        <v>45705.0</v>
      </c>
      <c r="H140"/>
      <c r="I140" s="3" t="n">
        <v>700.0</v>
      </c>
      <c r="J140" t="n">
        <v>17.0</v>
      </c>
      <c r="K140" t="n">
        <v>31.0</v>
      </c>
      <c r="L140" s="3" t="n">
        <f>IF(F140 &lt; 28, ROUND(F140 / DAY(EOMONTH(D140, 0)) * I140, 2), I140)</f>
        <v>0.0</v>
      </c>
      <c r="M140" s="3" t="n">
        <f>L140 * 0.10</f>
        <v>0.0</v>
      </c>
      <c r="N140" s="3" t="n">
        <f>L140 * 0.05</f>
        <v>0.0</v>
      </c>
      <c r="O140" s="3" t="n">
        <f>M140 + N140</f>
        <v>0.0</v>
      </c>
      <c r="P140" s="3" t="n">
        <f>L140 - O140</f>
        <v>0.0</v>
      </c>
    </row>
    <row r="141">
      <c r="A141" t="n">
        <v>19.0</v>
      </c>
      <c r="B141" t="inlineStr">
        <is>
          <t>LEASE-BH-F17-2025</t>
        </is>
      </c>
      <c r="C141" t="inlineStr">
        <is>
          <t>Flat 17 - 3 West Gate</t>
        </is>
      </c>
      <c r="D141" s="2" t="n">
        <v>45886.0</v>
      </c>
      <c r="E141" s="2" t="n">
        <v>45916.0</v>
      </c>
      <c r="F141" t="n">
        <v>31.0</v>
      </c>
      <c r="G141" s="2" t="n">
        <v>45705.0</v>
      </c>
      <c r="H141"/>
      <c r="I141" s="3" t="n">
        <v>700.0</v>
      </c>
      <c r="J141" t="n">
        <v>17.0</v>
      </c>
      <c r="K141" t="n">
        <v>31.0</v>
      </c>
      <c r="L141" s="3" t="n">
        <f>IF(F141 &lt; 28, ROUND(F141 / DAY(EOMONTH(D141, 0)) * I141, 2), I141)</f>
        <v>0.0</v>
      </c>
      <c r="M141" s="3" t="n">
        <f>L141 * 0.10</f>
        <v>0.0</v>
      </c>
      <c r="N141" s="3" t="n">
        <f>L141 * 0.05</f>
        <v>0.0</v>
      </c>
      <c r="O141" s="3" t="n">
        <f>M141 + N141</f>
        <v>0.0</v>
      </c>
      <c r="P141" s="3" t="n">
        <f>L141 - O141</f>
        <v>0.0</v>
      </c>
    </row>
    <row r="142">
      <c r="A142" t="n">
        <v>19.0</v>
      </c>
      <c r="B142" t="inlineStr">
        <is>
          <t>LEASE-BH-F17-2025</t>
        </is>
      </c>
      <c r="C142" t="inlineStr">
        <is>
          <t>Flat 17 - 3 West Gate</t>
        </is>
      </c>
      <c r="D142" s="2" t="n">
        <v>45917.0</v>
      </c>
      <c r="E142" s="2" t="n">
        <v>45946.0</v>
      </c>
      <c r="F142" t="n">
        <v>30.0</v>
      </c>
      <c r="G142" s="2" t="n">
        <v>45705.0</v>
      </c>
      <c r="H142"/>
      <c r="I142" s="3" t="n">
        <v>700.0</v>
      </c>
      <c r="J142" t="n">
        <v>17.0</v>
      </c>
      <c r="K142" t="n">
        <v>30.0</v>
      </c>
      <c r="L142" s="3" t="n">
        <f>IF(F142 &lt; 28, ROUND(F142 / DAY(EOMONTH(D142, 0)) * I142, 2), I142)</f>
        <v>0.0</v>
      </c>
      <c r="M142" s="3" t="n">
        <f>L142 * 0.10</f>
        <v>0.0</v>
      </c>
      <c r="N142" s="3" t="n">
        <f>L142 * 0.05</f>
        <v>0.0</v>
      </c>
      <c r="O142" s="3" t="n">
        <f>M142 + N142</f>
        <v>0.0</v>
      </c>
      <c r="P142" s="3" t="n">
        <f>L142 - O142</f>
        <v>0.0</v>
      </c>
    </row>
    <row r="143">
      <c r="A143" t="n">
        <v>19.0</v>
      </c>
      <c r="B143" t="inlineStr">
        <is>
          <t>LEASE-BH-F17-2025</t>
        </is>
      </c>
      <c r="C143" t="inlineStr">
        <is>
          <t>Flat 17 - 3 West Gate</t>
        </is>
      </c>
      <c r="D143" s="2" t="n">
        <v>45947.0</v>
      </c>
      <c r="E143" s="2" t="n">
        <v>45977.0</v>
      </c>
      <c r="F143" t="n">
        <v>31.0</v>
      </c>
      <c r="G143" s="2" t="n">
        <v>45705.0</v>
      </c>
      <c r="H143"/>
      <c r="I143" s="3" t="n">
        <v>700.0</v>
      </c>
      <c r="J143" t="n">
        <v>17.0</v>
      </c>
      <c r="K143" t="n">
        <v>31.0</v>
      </c>
      <c r="L143" s="3" t="n">
        <f>IF(F143 &lt; 28, ROUND(F143 / DAY(EOMONTH(D143, 0)) * I143, 2), I143)</f>
        <v>0.0</v>
      </c>
      <c r="M143" s="3" t="n">
        <f>L143 * 0.10</f>
        <v>0.0</v>
      </c>
      <c r="N143" s="3" t="n">
        <f>L143 * 0.05</f>
        <v>0.0</v>
      </c>
      <c r="O143" s="3" t="n">
        <f>M143 + N143</f>
        <v>0.0</v>
      </c>
      <c r="P143" s="3" t="n">
        <f>L143 - O143</f>
        <v>0.0</v>
      </c>
    </row>
    <row r="144">
      <c r="A144" t="n">
        <v>19.0</v>
      </c>
      <c r="B144" t="inlineStr">
        <is>
          <t>LEASE-BH-F17-2025</t>
        </is>
      </c>
      <c r="C144" t="inlineStr">
        <is>
          <t>Flat 17 - 3 West Gate</t>
        </is>
      </c>
      <c r="D144" s="2" t="n">
        <v>45978.0</v>
      </c>
      <c r="E144" s="2" t="n">
        <v>46007.0</v>
      </c>
      <c r="F144" t="n">
        <v>30.0</v>
      </c>
      <c r="G144" s="2" t="n">
        <v>45705.0</v>
      </c>
      <c r="H144"/>
      <c r="I144" s="3" t="n">
        <v>700.0</v>
      </c>
      <c r="J144" t="n">
        <v>17.0</v>
      </c>
      <c r="K144" t="n">
        <v>30.0</v>
      </c>
      <c r="L144" s="3" t="n">
        <f>IF(F144 &lt; 28, ROUND(F144 / DAY(EOMONTH(D144, 0)) * I144, 2), I144)</f>
        <v>0.0</v>
      </c>
      <c r="M144" s="3" t="n">
        <f>L144 * 0.10</f>
        <v>0.0</v>
      </c>
      <c r="N144" s="3" t="n">
        <f>L144 * 0.05</f>
        <v>0.0</v>
      </c>
      <c r="O144" s="3" t="n">
        <f>M144 + N144</f>
        <v>0.0</v>
      </c>
      <c r="P144" s="3" t="n">
        <f>L144 - O144</f>
        <v>0.0</v>
      </c>
    </row>
    <row r="145">
      <c r="A145" t="n">
        <v>20.0</v>
      </c>
      <c r="B145" t="inlineStr">
        <is>
          <t>LEASE-BH-F18-2025</t>
        </is>
      </c>
      <c r="C145" t="inlineStr">
        <is>
          <t>Flat 18 - 3 West Gate</t>
        </is>
      </c>
      <c r="D145" s="2" t="n">
        <v>45687.0</v>
      </c>
      <c r="E145" s="2" t="n">
        <v>45715.0</v>
      </c>
      <c r="F145" t="n">
        <v>29.0</v>
      </c>
      <c r="G145" s="2" t="n">
        <v>45687.0</v>
      </c>
      <c r="H145" s="2" t="n">
        <v>45783.0</v>
      </c>
      <c r="I145" s="3" t="n">
        <v>740.0</v>
      </c>
      <c r="J145" t="n">
        <v>30.0</v>
      </c>
      <c r="K145" t="n">
        <v>29.0</v>
      </c>
      <c r="L145" s="3" t="n">
        <f>IF(F145 &lt; 28, ROUND(F145 / DAY(EOMONTH(D145, 0)) * I145, 2), I145)</f>
        <v>0.0</v>
      </c>
      <c r="M145" s="3" t="n">
        <f>L145 * 0.10</f>
        <v>0.0</v>
      </c>
      <c r="N145" s="3" t="n">
        <f>L145 * 0.05</f>
        <v>0.0</v>
      </c>
      <c r="O145" s="3" t="n">
        <f>M145 + N145</f>
        <v>0.0</v>
      </c>
      <c r="P145" s="3" t="n">
        <f>L145 - O145</f>
        <v>0.0</v>
      </c>
    </row>
    <row r="146">
      <c r="A146" t="n">
        <v>20.0</v>
      </c>
      <c r="B146" t="inlineStr">
        <is>
          <t>LEASE-BH-F18-2025</t>
        </is>
      </c>
      <c r="C146" t="inlineStr">
        <is>
          <t>Flat 18 - 3 West Gate</t>
        </is>
      </c>
      <c r="D146" s="2" t="n">
        <v>45716.0</v>
      </c>
      <c r="E146" s="2" t="n">
        <v>45745.0</v>
      </c>
      <c r="F146" t="n">
        <v>30.0</v>
      </c>
      <c r="G146" s="2" t="n">
        <v>45687.0</v>
      </c>
      <c r="H146" s="2" t="n">
        <v>45783.0</v>
      </c>
      <c r="I146" s="3" t="n">
        <v>740.0</v>
      </c>
      <c r="J146" t="n">
        <v>30.0</v>
      </c>
      <c r="K146" t="n">
        <v>30.0</v>
      </c>
      <c r="L146" s="3" t="n">
        <f>IF(F146 &lt; 28, ROUND(F146 / DAY(EOMONTH(D146, 0)) * I146, 2), I146)</f>
        <v>0.0</v>
      </c>
      <c r="M146" s="3" t="n">
        <f>L146 * 0.10</f>
        <v>0.0</v>
      </c>
      <c r="N146" s="3" t="n">
        <f>L146 * 0.05</f>
        <v>0.0</v>
      </c>
      <c r="O146" s="3" t="n">
        <f>M146 + N146</f>
        <v>0.0</v>
      </c>
      <c r="P146" s="3" t="n">
        <f>L146 - O146</f>
        <v>0.0</v>
      </c>
    </row>
    <row r="147">
      <c r="A147" t="n">
        <v>20.0</v>
      </c>
      <c r="B147" t="inlineStr">
        <is>
          <t>LEASE-BH-F18-2025</t>
        </is>
      </c>
      <c r="C147" t="inlineStr">
        <is>
          <t>Flat 18 - 3 West Gate</t>
        </is>
      </c>
      <c r="D147" s="2" t="n">
        <v>45746.0</v>
      </c>
      <c r="E147" s="2" t="n">
        <v>45776.0</v>
      </c>
      <c r="F147" t="n">
        <v>31.0</v>
      </c>
      <c r="G147" s="2" t="n">
        <v>45687.0</v>
      </c>
      <c r="H147" s="2" t="n">
        <v>45783.0</v>
      </c>
      <c r="I147" s="3" t="n">
        <v>740.0</v>
      </c>
      <c r="J147" t="n">
        <v>30.0</v>
      </c>
      <c r="K147" t="n">
        <v>31.0</v>
      </c>
      <c r="L147" s="3" t="n">
        <f>IF(F147 &lt; 28, ROUND(F147 / DAY(EOMONTH(D147, 0)) * I147, 2), I147)</f>
        <v>0.0</v>
      </c>
      <c r="M147" s="3" t="n">
        <f>L147 * 0.10</f>
        <v>0.0</v>
      </c>
      <c r="N147" s="3" t="n">
        <f>L147 * 0.05</f>
        <v>0.0</v>
      </c>
      <c r="O147" s="3" t="n">
        <f>M147 + N147</f>
        <v>0.0</v>
      </c>
      <c r="P147" s="3" t="n">
        <f>L147 - O147</f>
        <v>0.0</v>
      </c>
    </row>
    <row r="148">
      <c r="A148" t="n">
        <v>20.0</v>
      </c>
      <c r="B148" t="inlineStr">
        <is>
          <t>LEASE-BH-F18-2025</t>
        </is>
      </c>
      <c r="C148" t="inlineStr">
        <is>
          <t>Flat 18 - 3 West Gate</t>
        </is>
      </c>
      <c r="D148" s="2" t="n">
        <v>45777.0</v>
      </c>
      <c r="E148" s="2" t="n">
        <v>45783.0</v>
      </c>
      <c r="F148" t="n">
        <v>7.0</v>
      </c>
      <c r="G148" s="2" t="n">
        <v>45687.0</v>
      </c>
      <c r="H148" s="2" t="n">
        <v>45783.0</v>
      </c>
      <c r="I148" s="3" t="n">
        <v>740.0</v>
      </c>
      <c r="J148" t="n">
        <v>30.0</v>
      </c>
      <c r="K148" t="n">
        <v>7.0</v>
      </c>
      <c r="L148" s="3" t="n">
        <f>IF(F148 &lt; 28, ROUND(F148 / DAY(EOMONTH(D148, 0)) * I148, 2), I148)</f>
        <v>0.0</v>
      </c>
      <c r="M148" s="3" t="n">
        <f>L148 * 0.10</f>
        <v>0.0</v>
      </c>
      <c r="N148" s="3" t="n">
        <f>L148 * 0.05</f>
        <v>0.0</v>
      </c>
      <c r="O148" s="3" t="n">
        <f>M148 + N148</f>
        <v>0.0</v>
      </c>
      <c r="P148" s="3" t="n">
        <f>L148 - O148</f>
        <v>0.0</v>
      </c>
    </row>
    <row r="149">
      <c r="A149" t="n">
        <v>21.0</v>
      </c>
      <c r="B149" t="inlineStr">
        <is>
          <t>LEASE-BH-F18-2025B</t>
        </is>
      </c>
      <c r="C149" t="inlineStr">
        <is>
          <t>Flat 18 - 3 West Gate</t>
        </is>
      </c>
      <c r="D149" s="2" t="n">
        <v>45818.0</v>
      </c>
      <c r="E149" s="2" t="n">
        <v>45847.0</v>
      </c>
      <c r="F149" t="n">
        <v>30.0</v>
      </c>
      <c r="G149" s="2" t="n">
        <v>45818.0</v>
      </c>
      <c r="H149"/>
      <c r="I149" s="3" t="n">
        <v>795.0</v>
      </c>
      <c r="J149" t="n">
        <v>10.0</v>
      </c>
      <c r="K149" t="n">
        <v>30.0</v>
      </c>
      <c r="L149" s="3" t="n">
        <f>IF(F149 &lt; 28, ROUND(F149 / DAY(EOMONTH(D149, 0)) * I149, 2), I149)</f>
        <v>0.0</v>
      </c>
      <c r="M149" s="3" t="n">
        <f>L149 * 0.10</f>
        <v>0.0</v>
      </c>
      <c r="N149" s="3" t="n">
        <f>L149 * 0.05</f>
        <v>0.0</v>
      </c>
      <c r="O149" s="3" t="n">
        <f>M149 + N149</f>
        <v>0.0</v>
      </c>
      <c r="P149" s="3" t="n">
        <f>L149 - O149</f>
        <v>0.0</v>
      </c>
    </row>
    <row r="150">
      <c r="A150" t="n">
        <v>21.0</v>
      </c>
      <c r="B150" t="inlineStr">
        <is>
          <t>LEASE-BH-F18-2025B</t>
        </is>
      </c>
      <c r="C150" t="inlineStr">
        <is>
          <t>Flat 18 - 3 West Gate</t>
        </is>
      </c>
      <c r="D150" s="2" t="n">
        <v>45848.0</v>
      </c>
      <c r="E150" s="2" t="n">
        <v>45878.0</v>
      </c>
      <c r="F150" t="n">
        <v>31.0</v>
      </c>
      <c r="G150" s="2" t="n">
        <v>45818.0</v>
      </c>
      <c r="H150"/>
      <c r="I150" s="3" t="n">
        <v>795.0</v>
      </c>
      <c r="J150" t="n">
        <v>10.0</v>
      </c>
      <c r="K150" t="n">
        <v>31.0</v>
      </c>
      <c r="L150" s="3" t="n">
        <f>IF(F150 &lt; 28, ROUND(F150 / DAY(EOMONTH(D150, 0)) * I150, 2), I150)</f>
        <v>0.0</v>
      </c>
      <c r="M150" s="3" t="n">
        <f>L150 * 0.10</f>
        <v>0.0</v>
      </c>
      <c r="N150" s="3" t="n">
        <f>L150 * 0.05</f>
        <v>0.0</v>
      </c>
      <c r="O150" s="3" t="n">
        <f>M150 + N150</f>
        <v>0.0</v>
      </c>
      <c r="P150" s="3" t="n">
        <f>L150 - O150</f>
        <v>0.0</v>
      </c>
    </row>
    <row r="151">
      <c r="A151" t="n">
        <v>21.0</v>
      </c>
      <c r="B151" t="inlineStr">
        <is>
          <t>LEASE-BH-F18-2025B</t>
        </is>
      </c>
      <c r="C151" t="inlineStr">
        <is>
          <t>Flat 18 - 3 West Gate</t>
        </is>
      </c>
      <c r="D151" s="2" t="n">
        <v>45879.0</v>
      </c>
      <c r="E151" s="2" t="n">
        <v>45909.0</v>
      </c>
      <c r="F151" t="n">
        <v>31.0</v>
      </c>
      <c r="G151" s="2" t="n">
        <v>45818.0</v>
      </c>
      <c r="H151"/>
      <c r="I151" s="3" t="n">
        <v>795.0</v>
      </c>
      <c r="J151" t="n">
        <v>10.0</v>
      </c>
      <c r="K151" t="n">
        <v>31.0</v>
      </c>
      <c r="L151" s="3" t="n">
        <f>IF(F151 &lt; 28, ROUND(F151 / DAY(EOMONTH(D151, 0)) * I151, 2), I151)</f>
        <v>0.0</v>
      </c>
      <c r="M151" s="3" t="n">
        <f>L151 * 0.10</f>
        <v>0.0</v>
      </c>
      <c r="N151" s="3" t="n">
        <f>L151 * 0.05</f>
        <v>0.0</v>
      </c>
      <c r="O151" s="3" t="n">
        <f>M151 + N151</f>
        <v>0.0</v>
      </c>
      <c r="P151" s="3" t="n">
        <f>L151 - O151</f>
        <v>0.0</v>
      </c>
    </row>
    <row r="152">
      <c r="A152" t="n">
        <v>21.0</v>
      </c>
      <c r="B152" t="inlineStr">
        <is>
          <t>LEASE-BH-F18-2025B</t>
        </is>
      </c>
      <c r="C152" t="inlineStr">
        <is>
          <t>Flat 18 - 3 West Gate</t>
        </is>
      </c>
      <c r="D152" s="2" t="n">
        <v>45910.0</v>
      </c>
      <c r="E152" s="2" t="n">
        <v>45939.0</v>
      </c>
      <c r="F152" t="n">
        <v>30.0</v>
      </c>
      <c r="G152" s="2" t="n">
        <v>45818.0</v>
      </c>
      <c r="H152"/>
      <c r="I152" s="3" t="n">
        <v>795.0</v>
      </c>
      <c r="J152" t="n">
        <v>10.0</v>
      </c>
      <c r="K152" t="n">
        <v>30.0</v>
      </c>
      <c r="L152" s="3" t="n">
        <f>IF(F152 &lt; 28, ROUND(F152 / DAY(EOMONTH(D152, 0)) * I152, 2), I152)</f>
        <v>0.0</v>
      </c>
      <c r="M152" s="3" t="n">
        <f>L152 * 0.10</f>
        <v>0.0</v>
      </c>
      <c r="N152" s="3" t="n">
        <f>L152 * 0.05</f>
        <v>0.0</v>
      </c>
      <c r="O152" s="3" t="n">
        <f>M152 + N152</f>
        <v>0.0</v>
      </c>
      <c r="P152" s="3" t="n">
        <f>L152 - O152</f>
        <v>0.0</v>
      </c>
    </row>
    <row r="153">
      <c r="A153" t="n">
        <v>21.0</v>
      </c>
      <c r="B153" t="inlineStr">
        <is>
          <t>LEASE-BH-F18-2025B</t>
        </is>
      </c>
      <c r="C153" t="inlineStr">
        <is>
          <t>Flat 18 - 3 West Gate</t>
        </is>
      </c>
      <c r="D153" s="2" t="n">
        <v>45940.0</v>
      </c>
      <c r="E153" s="2" t="n">
        <v>45970.0</v>
      </c>
      <c r="F153" t="n">
        <v>31.0</v>
      </c>
      <c r="G153" s="2" t="n">
        <v>45818.0</v>
      </c>
      <c r="H153"/>
      <c r="I153" s="3" t="n">
        <v>795.0</v>
      </c>
      <c r="J153" t="n">
        <v>10.0</v>
      </c>
      <c r="K153" t="n">
        <v>31.0</v>
      </c>
      <c r="L153" s="3" t="n">
        <f>IF(F153 &lt; 28, ROUND(F153 / DAY(EOMONTH(D153, 0)) * I153, 2), I153)</f>
        <v>0.0</v>
      </c>
      <c r="M153" s="3" t="n">
        <f>L153 * 0.10</f>
        <v>0.0</v>
      </c>
      <c r="N153" s="3" t="n">
        <f>L153 * 0.05</f>
        <v>0.0</v>
      </c>
      <c r="O153" s="3" t="n">
        <f>M153 + N153</f>
        <v>0.0</v>
      </c>
      <c r="P153" s="3" t="n">
        <f>L153 - O153</f>
        <v>0.0</v>
      </c>
    </row>
    <row r="154">
      <c r="A154" t="n">
        <v>21.0</v>
      </c>
      <c r="B154" t="inlineStr">
        <is>
          <t>LEASE-BH-F18-2025B</t>
        </is>
      </c>
      <c r="C154" t="inlineStr">
        <is>
          <t>Flat 18 - 3 West Gate</t>
        </is>
      </c>
      <c r="D154" s="2" t="n">
        <v>45971.0</v>
      </c>
      <c r="E154" s="2" t="n">
        <v>46000.0</v>
      </c>
      <c r="F154" t="n">
        <v>30.0</v>
      </c>
      <c r="G154" s="2" t="n">
        <v>45818.0</v>
      </c>
      <c r="H154"/>
      <c r="I154" s="3" t="n">
        <v>795.0</v>
      </c>
      <c r="J154" t="n">
        <v>10.0</v>
      </c>
      <c r="K154" t="n">
        <v>30.0</v>
      </c>
      <c r="L154" s="3" t="n">
        <f>IF(F154 &lt; 28, ROUND(F154 / DAY(EOMONTH(D154, 0)) * I154, 2), I154)</f>
        <v>0.0</v>
      </c>
      <c r="M154" s="3" t="n">
        <f>L154 * 0.10</f>
        <v>0.0</v>
      </c>
      <c r="N154" s="3" t="n">
        <f>L154 * 0.05</f>
        <v>0.0</v>
      </c>
      <c r="O154" s="3" t="n">
        <f>M154 + N154</f>
        <v>0.0</v>
      </c>
      <c r="P154" s="3" t="n">
        <f>L154 - O154</f>
        <v>0.0</v>
      </c>
    </row>
    <row r="155">
      <c r="A155" t="n">
        <v>22.0</v>
      </c>
      <c r="B155" t="inlineStr">
        <is>
          <t>LEASE-BH-F19-2025</t>
        </is>
      </c>
      <c r="C155" t="inlineStr">
        <is>
          <t>Flat 19 - 3 West Gate</t>
        </is>
      </c>
      <c r="D155" s="2" t="n">
        <v>45730.0</v>
      </c>
      <c r="E155" s="2" t="n">
        <v>45760.0</v>
      </c>
      <c r="F155" t="n">
        <v>31.0</v>
      </c>
      <c r="G155" s="2" t="n">
        <v>45730.0</v>
      </c>
      <c r="H155" s="2" t="n">
        <v>45869.0</v>
      </c>
      <c r="I155" s="3" t="n">
        <v>740.0</v>
      </c>
      <c r="J155" t="n">
        <v>14.0</v>
      </c>
      <c r="K155" t="n">
        <v>31.0</v>
      </c>
      <c r="L155" s="3" t="n">
        <f>IF(F155 &lt; 28, ROUND(F155 / DAY(EOMONTH(D155, 0)) * I155, 2), I155)</f>
        <v>0.0</v>
      </c>
      <c r="M155" s="3" t="n">
        <f>L155 * 0.10</f>
        <v>0.0</v>
      </c>
      <c r="N155" s="3" t="n">
        <f>L155 * 0.05</f>
        <v>0.0</v>
      </c>
      <c r="O155" s="3" t="n">
        <f>M155 + N155</f>
        <v>0.0</v>
      </c>
      <c r="P155" s="3" t="n">
        <f>L155 - O155</f>
        <v>0.0</v>
      </c>
    </row>
    <row r="156">
      <c r="A156" t="n">
        <v>22.0</v>
      </c>
      <c r="B156" t="inlineStr">
        <is>
          <t>LEASE-BH-F19-2025</t>
        </is>
      </c>
      <c r="C156" t="inlineStr">
        <is>
          <t>Flat 19 - 3 West Gate</t>
        </is>
      </c>
      <c r="D156" s="2" t="n">
        <v>45761.0</v>
      </c>
      <c r="E156" s="2" t="n">
        <v>45790.0</v>
      </c>
      <c r="F156" t="n">
        <v>30.0</v>
      </c>
      <c r="G156" s="2" t="n">
        <v>45730.0</v>
      </c>
      <c r="H156" s="2" t="n">
        <v>45869.0</v>
      </c>
      <c r="I156" s="3" t="n">
        <v>740.0</v>
      </c>
      <c r="J156" t="n">
        <v>14.0</v>
      </c>
      <c r="K156" t="n">
        <v>30.0</v>
      </c>
      <c r="L156" s="3" t="n">
        <f>IF(F156 &lt; 28, ROUND(F156 / DAY(EOMONTH(D156, 0)) * I156, 2), I156)</f>
        <v>0.0</v>
      </c>
      <c r="M156" s="3" t="n">
        <f>L156 * 0.10</f>
        <v>0.0</v>
      </c>
      <c r="N156" s="3" t="n">
        <f>L156 * 0.05</f>
        <v>0.0</v>
      </c>
      <c r="O156" s="3" t="n">
        <f>M156 + N156</f>
        <v>0.0</v>
      </c>
      <c r="P156" s="3" t="n">
        <f>L156 - O156</f>
        <v>0.0</v>
      </c>
    </row>
    <row r="157">
      <c r="A157" t="n">
        <v>22.0</v>
      </c>
      <c r="B157" t="inlineStr">
        <is>
          <t>LEASE-BH-F19-2025</t>
        </is>
      </c>
      <c r="C157" t="inlineStr">
        <is>
          <t>Flat 19 - 3 West Gate</t>
        </is>
      </c>
      <c r="D157" s="2" t="n">
        <v>45791.0</v>
      </c>
      <c r="E157" s="2" t="n">
        <v>45821.0</v>
      </c>
      <c r="F157" t="n">
        <v>31.0</v>
      </c>
      <c r="G157" s="2" t="n">
        <v>45730.0</v>
      </c>
      <c r="H157" s="2" t="n">
        <v>45869.0</v>
      </c>
      <c r="I157" s="3" t="n">
        <v>740.0</v>
      </c>
      <c r="J157" t="n">
        <v>14.0</v>
      </c>
      <c r="K157" t="n">
        <v>31.0</v>
      </c>
      <c r="L157" s="3" t="n">
        <f>IF(F157 &lt; 28, ROUND(F157 / DAY(EOMONTH(D157, 0)) * I157, 2), I157)</f>
        <v>0.0</v>
      </c>
      <c r="M157" s="3" t="n">
        <f>L157 * 0.10</f>
        <v>0.0</v>
      </c>
      <c r="N157" s="3" t="n">
        <f>L157 * 0.05</f>
        <v>0.0</v>
      </c>
      <c r="O157" s="3" t="n">
        <f>M157 + N157</f>
        <v>0.0</v>
      </c>
      <c r="P157" s="3" t="n">
        <f>L157 - O157</f>
        <v>0.0</v>
      </c>
    </row>
    <row r="158">
      <c r="A158" t="n">
        <v>22.0</v>
      </c>
      <c r="B158" t="inlineStr">
        <is>
          <t>LEASE-BH-F19-2025</t>
        </is>
      </c>
      <c r="C158" t="inlineStr">
        <is>
          <t>Flat 19 - 3 West Gate</t>
        </is>
      </c>
      <c r="D158" s="2" t="n">
        <v>45822.0</v>
      </c>
      <c r="E158" s="2" t="n">
        <v>45851.0</v>
      </c>
      <c r="F158" t="n">
        <v>30.0</v>
      </c>
      <c r="G158" s="2" t="n">
        <v>45730.0</v>
      </c>
      <c r="H158" s="2" t="n">
        <v>45869.0</v>
      </c>
      <c r="I158" s="3" t="n">
        <v>740.0</v>
      </c>
      <c r="J158" t="n">
        <v>14.0</v>
      </c>
      <c r="K158" t="n">
        <v>30.0</v>
      </c>
      <c r="L158" s="3" t="n">
        <f>IF(F158 &lt; 28, ROUND(F158 / DAY(EOMONTH(D158, 0)) * I158, 2), I158)</f>
        <v>0.0</v>
      </c>
      <c r="M158" s="3" t="n">
        <f>L158 * 0.10</f>
        <v>0.0</v>
      </c>
      <c r="N158" s="3" t="n">
        <f>L158 * 0.05</f>
        <v>0.0</v>
      </c>
      <c r="O158" s="3" t="n">
        <f>M158 + N158</f>
        <v>0.0</v>
      </c>
      <c r="P158" s="3" t="n">
        <f>L158 - O158</f>
        <v>0.0</v>
      </c>
    </row>
    <row r="159">
      <c r="A159" t="n">
        <v>22.0</v>
      </c>
      <c r="B159" t="inlineStr">
        <is>
          <t>LEASE-BH-F19-2025</t>
        </is>
      </c>
      <c r="C159" t="inlineStr">
        <is>
          <t>Flat 19 - 3 West Gate</t>
        </is>
      </c>
      <c r="D159" s="2" t="n">
        <v>45852.0</v>
      </c>
      <c r="E159" s="2" t="n">
        <v>45869.0</v>
      </c>
      <c r="F159" t="n">
        <v>18.0</v>
      </c>
      <c r="G159" s="2" t="n">
        <v>45730.0</v>
      </c>
      <c r="H159" s="2" t="n">
        <v>45869.0</v>
      </c>
      <c r="I159" s="3" t="n">
        <v>740.0</v>
      </c>
      <c r="J159" t="n">
        <v>14.0</v>
      </c>
      <c r="K159" t="n">
        <v>18.0</v>
      </c>
      <c r="L159" s="3" t="n">
        <f>IF(F159 &lt; 28, ROUND(F159 / DAY(EOMONTH(D159, 0)) * I159, 2), I159)</f>
        <v>0.0</v>
      </c>
      <c r="M159" s="3" t="n">
        <f>L159 * 0.10</f>
        <v>0.0</v>
      </c>
      <c r="N159" s="3" t="n">
        <f>L159 * 0.05</f>
        <v>0.0</v>
      </c>
      <c r="O159" s="3" t="n">
        <f>M159 + N159</f>
        <v>0.0</v>
      </c>
      <c r="P159" s="3" t="n">
        <f>L159 - O159</f>
        <v>0.0</v>
      </c>
    </row>
    <row r="160">
      <c r="A160" t="n">
        <v>23.0</v>
      </c>
      <c r="B160" t="inlineStr">
        <is>
          <t>LEASE-BH-F19-2025B</t>
        </is>
      </c>
      <c r="C160" t="inlineStr">
        <is>
          <t>Flat 19 - 3 West Gate</t>
        </is>
      </c>
      <c r="D160" s="2" t="n">
        <v>45901.0</v>
      </c>
      <c r="E160" s="2" t="n">
        <v>45930.0</v>
      </c>
      <c r="F160" t="n">
        <v>30.0</v>
      </c>
      <c r="G160" s="2" t="n">
        <v>45901.0</v>
      </c>
      <c r="H160"/>
      <c r="I160" s="3" t="n">
        <v>795.0</v>
      </c>
      <c r="J160" t="n">
        <v>1.0</v>
      </c>
      <c r="K160" t="n">
        <v>30.0</v>
      </c>
      <c r="L160" s="3" t="n">
        <f>IF(F160 &lt; 28, ROUND(F160 / DAY(EOMONTH(D160, 0)) * I160, 2), I160)</f>
        <v>0.0</v>
      </c>
      <c r="M160" s="3" t="n">
        <f>L160 * 0.10</f>
        <v>0.0</v>
      </c>
      <c r="N160" s="3" t="n">
        <f>L160 * 0.05</f>
        <v>0.0</v>
      </c>
      <c r="O160" s="3" t="n">
        <f>M160 + N160</f>
        <v>0.0</v>
      </c>
      <c r="P160" s="3" t="n">
        <f>L160 - O160</f>
        <v>0.0</v>
      </c>
    </row>
    <row r="161">
      <c r="A161" t="n">
        <v>23.0</v>
      </c>
      <c r="B161" t="inlineStr">
        <is>
          <t>LEASE-BH-F19-2025B</t>
        </is>
      </c>
      <c r="C161" t="inlineStr">
        <is>
          <t>Flat 19 - 3 West Gate</t>
        </is>
      </c>
      <c r="D161" s="2" t="n">
        <v>45931.0</v>
      </c>
      <c r="E161" s="2" t="n">
        <v>45961.0</v>
      </c>
      <c r="F161" t="n">
        <v>31.0</v>
      </c>
      <c r="G161" s="2" t="n">
        <v>45901.0</v>
      </c>
      <c r="H161"/>
      <c r="I161" s="3" t="n">
        <v>795.0</v>
      </c>
      <c r="J161" t="n">
        <v>1.0</v>
      </c>
      <c r="K161" t="n">
        <v>31.0</v>
      </c>
      <c r="L161" s="3" t="n">
        <f>IF(F161 &lt; 28, ROUND(F161 / DAY(EOMONTH(D161, 0)) * I161, 2), I161)</f>
        <v>0.0</v>
      </c>
      <c r="M161" s="3" t="n">
        <f>L161 * 0.10</f>
        <v>0.0</v>
      </c>
      <c r="N161" s="3" t="n">
        <f>L161 * 0.05</f>
        <v>0.0</v>
      </c>
      <c r="O161" s="3" t="n">
        <f>M161 + N161</f>
        <v>0.0</v>
      </c>
      <c r="P161" s="3" t="n">
        <f>L161 - O161</f>
        <v>0.0</v>
      </c>
    </row>
    <row r="162">
      <c r="A162" t="n">
        <v>23.0</v>
      </c>
      <c r="B162" t="inlineStr">
        <is>
          <t>LEASE-BH-F19-2025B</t>
        </is>
      </c>
      <c r="C162" t="inlineStr">
        <is>
          <t>Flat 19 - 3 West Gate</t>
        </is>
      </c>
      <c r="D162" s="2" t="n">
        <v>45962.0</v>
      </c>
      <c r="E162" s="2" t="n">
        <v>45991.0</v>
      </c>
      <c r="F162" t="n">
        <v>30.0</v>
      </c>
      <c r="G162" s="2" t="n">
        <v>45901.0</v>
      </c>
      <c r="H162"/>
      <c r="I162" s="3" t="n">
        <v>795.0</v>
      </c>
      <c r="J162" t="n">
        <v>1.0</v>
      </c>
      <c r="K162" t="n">
        <v>30.0</v>
      </c>
      <c r="L162" s="3" t="n">
        <f>IF(F162 &lt; 28, ROUND(F162 / DAY(EOMONTH(D162, 0)) * I162, 2), I162)</f>
        <v>0.0</v>
      </c>
      <c r="M162" s="3" t="n">
        <f>L162 * 0.10</f>
        <v>0.0</v>
      </c>
      <c r="N162" s="3" t="n">
        <f>L162 * 0.05</f>
        <v>0.0</v>
      </c>
      <c r="O162" s="3" t="n">
        <f>M162 + N162</f>
        <v>0.0</v>
      </c>
      <c r="P162" s="3" t="n">
        <f>L162 - O162</f>
        <v>0.0</v>
      </c>
    </row>
    <row r="163">
      <c r="A163" t="n">
        <v>24.0</v>
      </c>
      <c r="B163" t="inlineStr">
        <is>
          <t>LEASE-BH-F20-2025</t>
        </is>
      </c>
      <c r="C163" t="inlineStr">
        <is>
          <t>Flat 20 - 3 West Gate</t>
        </is>
      </c>
      <c r="D163" s="2" t="n">
        <v>45732.0</v>
      </c>
      <c r="E163" s="2" t="n">
        <v>45762.0</v>
      </c>
      <c r="F163" t="n">
        <v>31.0</v>
      </c>
      <c r="G163" s="2" t="n">
        <v>45732.0</v>
      </c>
      <c r="H163"/>
      <c r="I163" s="3" t="n">
        <v>700.0</v>
      </c>
      <c r="J163" t="n">
        <v>16.0</v>
      </c>
      <c r="K163" t="n">
        <v>31.0</v>
      </c>
      <c r="L163" s="3" t="n">
        <f>IF(F163 &lt; 28, ROUND(F163 / DAY(EOMONTH(D163, 0)) * I163, 2), I163)</f>
        <v>0.0</v>
      </c>
      <c r="M163" s="3" t="n">
        <f>L163 * 0.10</f>
        <v>0.0</v>
      </c>
      <c r="N163" s="3" t="n">
        <f>L163 * 0.05</f>
        <v>0.0</v>
      </c>
      <c r="O163" s="3" t="n">
        <f>M163 + N163</f>
        <v>0.0</v>
      </c>
      <c r="P163" s="3" t="n">
        <f>L163 - O163</f>
        <v>0.0</v>
      </c>
    </row>
    <row r="164">
      <c r="A164" t="n">
        <v>24.0</v>
      </c>
      <c r="B164" t="inlineStr">
        <is>
          <t>LEASE-BH-F20-2025</t>
        </is>
      </c>
      <c r="C164" t="inlineStr">
        <is>
          <t>Flat 20 - 3 West Gate</t>
        </is>
      </c>
      <c r="D164" s="2" t="n">
        <v>45763.0</v>
      </c>
      <c r="E164" s="2" t="n">
        <v>45792.0</v>
      </c>
      <c r="F164" t="n">
        <v>30.0</v>
      </c>
      <c r="G164" s="2" t="n">
        <v>45732.0</v>
      </c>
      <c r="H164"/>
      <c r="I164" s="3" t="n">
        <v>700.0</v>
      </c>
      <c r="J164" t="n">
        <v>16.0</v>
      </c>
      <c r="K164" t="n">
        <v>30.0</v>
      </c>
      <c r="L164" s="3" t="n">
        <f>IF(F164 &lt; 28, ROUND(F164 / DAY(EOMONTH(D164, 0)) * I164, 2), I164)</f>
        <v>0.0</v>
      </c>
      <c r="M164" s="3" t="n">
        <f>L164 * 0.10</f>
        <v>0.0</v>
      </c>
      <c r="N164" s="3" t="n">
        <f>L164 * 0.05</f>
        <v>0.0</v>
      </c>
      <c r="O164" s="3" t="n">
        <f>M164 + N164</f>
        <v>0.0</v>
      </c>
      <c r="P164" s="3" t="n">
        <f>L164 - O164</f>
        <v>0.0</v>
      </c>
    </row>
    <row r="165">
      <c r="A165" t="n">
        <v>24.0</v>
      </c>
      <c r="B165" t="inlineStr">
        <is>
          <t>LEASE-BH-F20-2025</t>
        </is>
      </c>
      <c r="C165" t="inlineStr">
        <is>
          <t>Flat 20 - 3 West Gate</t>
        </is>
      </c>
      <c r="D165" s="2" t="n">
        <v>45793.0</v>
      </c>
      <c r="E165" s="2" t="n">
        <v>45823.0</v>
      </c>
      <c r="F165" t="n">
        <v>31.0</v>
      </c>
      <c r="G165" s="2" t="n">
        <v>45732.0</v>
      </c>
      <c r="H165"/>
      <c r="I165" s="3" t="n">
        <v>700.0</v>
      </c>
      <c r="J165" t="n">
        <v>16.0</v>
      </c>
      <c r="K165" t="n">
        <v>31.0</v>
      </c>
      <c r="L165" s="3" t="n">
        <f>IF(F165 &lt; 28, ROUND(F165 / DAY(EOMONTH(D165, 0)) * I165, 2), I165)</f>
        <v>0.0</v>
      </c>
      <c r="M165" s="3" t="n">
        <f>L165 * 0.10</f>
        <v>0.0</v>
      </c>
      <c r="N165" s="3" t="n">
        <f>L165 * 0.05</f>
        <v>0.0</v>
      </c>
      <c r="O165" s="3" t="n">
        <f>M165 + N165</f>
        <v>0.0</v>
      </c>
      <c r="P165" s="3" t="n">
        <f>L165 - O165</f>
        <v>0.0</v>
      </c>
    </row>
    <row r="166">
      <c r="A166" t="n">
        <v>24.0</v>
      </c>
      <c r="B166" t="inlineStr">
        <is>
          <t>LEASE-BH-F20-2025</t>
        </is>
      </c>
      <c r="C166" t="inlineStr">
        <is>
          <t>Flat 20 - 3 West Gate</t>
        </is>
      </c>
      <c r="D166" s="2" t="n">
        <v>45824.0</v>
      </c>
      <c r="E166" s="2" t="n">
        <v>45853.0</v>
      </c>
      <c r="F166" t="n">
        <v>30.0</v>
      </c>
      <c r="G166" s="2" t="n">
        <v>45732.0</v>
      </c>
      <c r="H166"/>
      <c r="I166" s="3" t="n">
        <v>700.0</v>
      </c>
      <c r="J166" t="n">
        <v>16.0</v>
      </c>
      <c r="K166" t="n">
        <v>30.0</v>
      </c>
      <c r="L166" s="3" t="n">
        <f>IF(F166 &lt; 28, ROUND(F166 / DAY(EOMONTH(D166, 0)) * I166, 2), I166)</f>
        <v>0.0</v>
      </c>
      <c r="M166" s="3" t="n">
        <f>L166 * 0.10</f>
        <v>0.0</v>
      </c>
      <c r="N166" s="3" t="n">
        <f>L166 * 0.05</f>
        <v>0.0</v>
      </c>
      <c r="O166" s="3" t="n">
        <f>M166 + N166</f>
        <v>0.0</v>
      </c>
      <c r="P166" s="3" t="n">
        <f>L166 - O166</f>
        <v>0.0</v>
      </c>
    </row>
    <row r="167">
      <c r="A167" t="n">
        <v>24.0</v>
      </c>
      <c r="B167" t="inlineStr">
        <is>
          <t>LEASE-BH-F20-2025</t>
        </is>
      </c>
      <c r="C167" t="inlineStr">
        <is>
          <t>Flat 20 - 3 West Gate</t>
        </is>
      </c>
      <c r="D167" s="2" t="n">
        <v>45854.0</v>
      </c>
      <c r="E167" s="2" t="n">
        <v>45884.0</v>
      </c>
      <c r="F167" t="n">
        <v>31.0</v>
      </c>
      <c r="G167" s="2" t="n">
        <v>45732.0</v>
      </c>
      <c r="H167"/>
      <c r="I167" s="3" t="n">
        <v>700.0</v>
      </c>
      <c r="J167" t="n">
        <v>16.0</v>
      </c>
      <c r="K167" t="n">
        <v>31.0</v>
      </c>
      <c r="L167" s="3" t="n">
        <f>IF(F167 &lt; 28, ROUND(F167 / DAY(EOMONTH(D167, 0)) * I167, 2), I167)</f>
        <v>0.0</v>
      </c>
      <c r="M167" s="3" t="n">
        <f>L167 * 0.10</f>
        <v>0.0</v>
      </c>
      <c r="N167" s="3" t="n">
        <f>L167 * 0.05</f>
        <v>0.0</v>
      </c>
      <c r="O167" s="3" t="n">
        <f>M167 + N167</f>
        <v>0.0</v>
      </c>
      <c r="P167" s="3" t="n">
        <f>L167 - O167</f>
        <v>0.0</v>
      </c>
    </row>
    <row r="168">
      <c r="A168" t="n">
        <v>24.0</v>
      </c>
      <c r="B168" t="inlineStr">
        <is>
          <t>LEASE-BH-F20-2025</t>
        </is>
      </c>
      <c r="C168" t="inlineStr">
        <is>
          <t>Flat 20 - 3 West Gate</t>
        </is>
      </c>
      <c r="D168" s="2" t="n">
        <v>45885.0</v>
      </c>
      <c r="E168" s="2" t="n">
        <v>45915.0</v>
      </c>
      <c r="F168" t="n">
        <v>31.0</v>
      </c>
      <c r="G168" s="2" t="n">
        <v>45732.0</v>
      </c>
      <c r="H168"/>
      <c r="I168" s="3" t="n">
        <v>700.0</v>
      </c>
      <c r="J168" t="n">
        <v>16.0</v>
      </c>
      <c r="K168" t="n">
        <v>31.0</v>
      </c>
      <c r="L168" s="3" t="n">
        <f>IF(F168 &lt; 28, ROUND(F168 / DAY(EOMONTH(D168, 0)) * I168, 2), I168)</f>
        <v>0.0</v>
      </c>
      <c r="M168" s="3" t="n">
        <f>L168 * 0.10</f>
        <v>0.0</v>
      </c>
      <c r="N168" s="3" t="n">
        <f>L168 * 0.05</f>
        <v>0.0</v>
      </c>
      <c r="O168" s="3" t="n">
        <f>M168 + N168</f>
        <v>0.0</v>
      </c>
      <c r="P168" s="3" t="n">
        <f>L168 - O168</f>
        <v>0.0</v>
      </c>
    </row>
    <row r="169">
      <c r="A169" t="n">
        <v>24.0</v>
      </c>
      <c r="B169" t="inlineStr">
        <is>
          <t>LEASE-BH-F20-2025</t>
        </is>
      </c>
      <c r="C169" t="inlineStr">
        <is>
          <t>Flat 20 - 3 West Gate</t>
        </is>
      </c>
      <c r="D169" s="2" t="n">
        <v>45916.0</v>
      </c>
      <c r="E169" s="2" t="n">
        <v>45945.0</v>
      </c>
      <c r="F169" t="n">
        <v>30.0</v>
      </c>
      <c r="G169" s="2" t="n">
        <v>45732.0</v>
      </c>
      <c r="H169"/>
      <c r="I169" s="3" t="n">
        <v>700.0</v>
      </c>
      <c r="J169" t="n">
        <v>16.0</v>
      </c>
      <c r="K169" t="n">
        <v>30.0</v>
      </c>
      <c r="L169" s="3" t="n">
        <f>IF(F169 &lt; 28, ROUND(F169 / DAY(EOMONTH(D169, 0)) * I169, 2), I169)</f>
        <v>0.0</v>
      </c>
      <c r="M169" s="3" t="n">
        <f>L169 * 0.10</f>
        <v>0.0</v>
      </c>
      <c r="N169" s="3" t="n">
        <f>L169 * 0.05</f>
        <v>0.0</v>
      </c>
      <c r="O169" s="3" t="n">
        <f>M169 + N169</f>
        <v>0.0</v>
      </c>
      <c r="P169" s="3" t="n">
        <f>L169 - O169</f>
        <v>0.0</v>
      </c>
    </row>
    <row r="170">
      <c r="A170" t="n">
        <v>24.0</v>
      </c>
      <c r="B170" t="inlineStr">
        <is>
          <t>LEASE-BH-F20-2025</t>
        </is>
      </c>
      <c r="C170" t="inlineStr">
        <is>
          <t>Flat 20 - 3 West Gate</t>
        </is>
      </c>
      <c r="D170" s="2" t="n">
        <v>45946.0</v>
      </c>
      <c r="E170" s="2" t="n">
        <v>45976.0</v>
      </c>
      <c r="F170" t="n">
        <v>31.0</v>
      </c>
      <c r="G170" s="2" t="n">
        <v>45732.0</v>
      </c>
      <c r="H170"/>
      <c r="I170" s="3" t="n">
        <v>700.0</v>
      </c>
      <c r="J170" t="n">
        <v>16.0</v>
      </c>
      <c r="K170" t="n">
        <v>31.0</v>
      </c>
      <c r="L170" s="3" t="n">
        <f>IF(F170 &lt; 28, ROUND(F170 / DAY(EOMONTH(D170, 0)) * I170, 2), I170)</f>
        <v>0.0</v>
      </c>
      <c r="M170" s="3" t="n">
        <f>L170 * 0.10</f>
        <v>0.0</v>
      </c>
      <c r="N170" s="3" t="n">
        <f>L170 * 0.05</f>
        <v>0.0</v>
      </c>
      <c r="O170" s="3" t="n">
        <f>M170 + N170</f>
        <v>0.0</v>
      </c>
      <c r="P170" s="3" t="n">
        <f>L170 - O170</f>
        <v>0.0</v>
      </c>
    </row>
    <row r="171">
      <c r="A171" t="n">
        <v>24.0</v>
      </c>
      <c r="B171" t="inlineStr">
        <is>
          <t>LEASE-BH-F20-2025</t>
        </is>
      </c>
      <c r="C171" t="inlineStr">
        <is>
          <t>Flat 20 - 3 West Gate</t>
        </is>
      </c>
      <c r="D171" s="2" t="n">
        <v>45977.0</v>
      </c>
      <c r="E171" s="2" t="n">
        <v>46006.0</v>
      </c>
      <c r="F171" t="n">
        <v>30.0</v>
      </c>
      <c r="G171" s="2" t="n">
        <v>45732.0</v>
      </c>
      <c r="H171"/>
      <c r="I171" s="3" t="n">
        <v>700.0</v>
      </c>
      <c r="J171" t="n">
        <v>16.0</v>
      </c>
      <c r="K171" t="n">
        <v>30.0</v>
      </c>
      <c r="L171" s="3" t="n">
        <f>IF(F171 &lt; 28, ROUND(F171 / DAY(EOMONTH(D171, 0)) * I171, 2), I171)</f>
        <v>0.0</v>
      </c>
      <c r="M171" s="3" t="n">
        <f>L171 * 0.10</f>
        <v>0.0</v>
      </c>
      <c r="N171" s="3" t="n">
        <f>L171 * 0.05</f>
        <v>0.0</v>
      </c>
      <c r="O171" s="3" t="n">
        <f>M171 + N171</f>
        <v>0.0</v>
      </c>
      <c r="P171" s="3" t="n">
        <f>L171 - O171</f>
        <v>0.0</v>
      </c>
    </row>
    <row r="172">
      <c r="A172" t="n">
        <v>25.0</v>
      </c>
      <c r="B172" t="inlineStr">
        <is>
          <t>LEASE-BH-F21-2025</t>
        </is>
      </c>
      <c r="C172" t="inlineStr">
        <is>
          <t>Flat 21 - 3 West Gate</t>
        </is>
      </c>
      <c r="D172" s="2" t="n">
        <v>45687.0</v>
      </c>
      <c r="E172" s="2" t="n">
        <v>45715.0</v>
      </c>
      <c r="F172" t="n">
        <v>29.0</v>
      </c>
      <c r="G172" s="2" t="n">
        <v>45687.0</v>
      </c>
      <c r="H172"/>
      <c r="I172" s="3" t="n">
        <v>795.0</v>
      </c>
      <c r="J172" t="n">
        <v>30.0</v>
      </c>
      <c r="K172" t="n">
        <v>29.0</v>
      </c>
      <c r="L172" s="3" t="n">
        <f>IF(F172 &lt; 28, ROUND(F172 / DAY(EOMONTH(D172, 0)) * I172, 2), I172)</f>
        <v>0.0</v>
      </c>
      <c r="M172" s="3" t="n">
        <f>L172 * 0.10</f>
        <v>0.0</v>
      </c>
      <c r="N172" s="3" t="n">
        <f>L172 * 0.05</f>
        <v>0.0</v>
      </c>
      <c r="O172" s="3" t="n">
        <f>M172 + N172</f>
        <v>0.0</v>
      </c>
      <c r="P172" s="3" t="n">
        <f>L172 - O172</f>
        <v>0.0</v>
      </c>
    </row>
    <row r="173">
      <c r="A173" t="n">
        <v>25.0</v>
      </c>
      <c r="B173" t="inlineStr">
        <is>
          <t>LEASE-BH-F21-2025</t>
        </is>
      </c>
      <c r="C173" t="inlineStr">
        <is>
          <t>Flat 21 - 3 West Gate</t>
        </is>
      </c>
      <c r="D173" s="2" t="n">
        <v>45716.0</v>
      </c>
      <c r="E173" s="2" t="n">
        <v>45745.0</v>
      </c>
      <c r="F173" t="n">
        <v>30.0</v>
      </c>
      <c r="G173" s="2" t="n">
        <v>45687.0</v>
      </c>
      <c r="H173"/>
      <c r="I173" s="3" t="n">
        <v>795.0</v>
      </c>
      <c r="J173" t="n">
        <v>30.0</v>
      </c>
      <c r="K173" t="n">
        <v>30.0</v>
      </c>
      <c r="L173" s="3" t="n">
        <f>IF(F173 &lt; 28, ROUND(F173 / DAY(EOMONTH(D173, 0)) * I173, 2), I173)</f>
        <v>0.0</v>
      </c>
      <c r="M173" s="3" t="n">
        <f>L173 * 0.10</f>
        <v>0.0</v>
      </c>
      <c r="N173" s="3" t="n">
        <f>L173 * 0.05</f>
        <v>0.0</v>
      </c>
      <c r="O173" s="3" t="n">
        <f>M173 + N173</f>
        <v>0.0</v>
      </c>
      <c r="P173" s="3" t="n">
        <f>L173 - O173</f>
        <v>0.0</v>
      </c>
    </row>
    <row r="174">
      <c r="A174" t="n">
        <v>25.0</v>
      </c>
      <c r="B174" t="inlineStr">
        <is>
          <t>LEASE-BH-F21-2025</t>
        </is>
      </c>
      <c r="C174" t="inlineStr">
        <is>
          <t>Flat 21 - 3 West Gate</t>
        </is>
      </c>
      <c r="D174" s="2" t="n">
        <v>45746.0</v>
      </c>
      <c r="E174" s="2" t="n">
        <v>45776.0</v>
      </c>
      <c r="F174" t="n">
        <v>31.0</v>
      </c>
      <c r="G174" s="2" t="n">
        <v>45687.0</v>
      </c>
      <c r="H174"/>
      <c r="I174" s="3" t="n">
        <v>795.0</v>
      </c>
      <c r="J174" t="n">
        <v>30.0</v>
      </c>
      <c r="K174" t="n">
        <v>31.0</v>
      </c>
      <c r="L174" s="3" t="n">
        <f>IF(F174 &lt; 28, ROUND(F174 / DAY(EOMONTH(D174, 0)) * I174, 2), I174)</f>
        <v>0.0</v>
      </c>
      <c r="M174" s="3" t="n">
        <f>L174 * 0.10</f>
        <v>0.0</v>
      </c>
      <c r="N174" s="3" t="n">
        <f>L174 * 0.05</f>
        <v>0.0</v>
      </c>
      <c r="O174" s="3" t="n">
        <f>M174 + N174</f>
        <v>0.0</v>
      </c>
      <c r="P174" s="3" t="n">
        <f>L174 - O174</f>
        <v>0.0</v>
      </c>
    </row>
    <row r="175">
      <c r="A175" t="n">
        <v>25.0</v>
      </c>
      <c r="B175" t="inlineStr">
        <is>
          <t>LEASE-BH-F21-2025</t>
        </is>
      </c>
      <c r="C175" t="inlineStr">
        <is>
          <t>Flat 21 - 3 West Gate</t>
        </is>
      </c>
      <c r="D175" s="2" t="n">
        <v>45777.0</v>
      </c>
      <c r="E175" s="2" t="n">
        <v>45806.0</v>
      </c>
      <c r="F175" t="n">
        <v>30.0</v>
      </c>
      <c r="G175" s="2" t="n">
        <v>45687.0</v>
      </c>
      <c r="H175"/>
      <c r="I175" s="3" t="n">
        <v>795.0</v>
      </c>
      <c r="J175" t="n">
        <v>30.0</v>
      </c>
      <c r="K175" t="n">
        <v>30.0</v>
      </c>
      <c r="L175" s="3" t="n">
        <f>IF(F175 &lt; 28, ROUND(F175 / DAY(EOMONTH(D175, 0)) * I175, 2), I175)</f>
        <v>0.0</v>
      </c>
      <c r="M175" s="3" t="n">
        <f>L175 * 0.10</f>
        <v>0.0</v>
      </c>
      <c r="N175" s="3" t="n">
        <f>L175 * 0.05</f>
        <v>0.0</v>
      </c>
      <c r="O175" s="3" t="n">
        <f>M175 + N175</f>
        <v>0.0</v>
      </c>
      <c r="P175" s="3" t="n">
        <f>L175 - O175</f>
        <v>0.0</v>
      </c>
    </row>
    <row r="176">
      <c r="A176" t="n">
        <v>25.0</v>
      </c>
      <c r="B176" t="inlineStr">
        <is>
          <t>LEASE-BH-F21-2025</t>
        </is>
      </c>
      <c r="C176" t="inlineStr">
        <is>
          <t>Flat 21 - 3 West Gate</t>
        </is>
      </c>
      <c r="D176" s="2" t="n">
        <v>45807.0</v>
      </c>
      <c r="E176" s="2" t="n">
        <v>45837.0</v>
      </c>
      <c r="F176" t="n">
        <v>31.0</v>
      </c>
      <c r="G176" s="2" t="n">
        <v>45687.0</v>
      </c>
      <c r="H176"/>
      <c r="I176" s="3" t="n">
        <v>795.0</v>
      </c>
      <c r="J176" t="n">
        <v>30.0</v>
      </c>
      <c r="K176" t="n">
        <v>31.0</v>
      </c>
      <c r="L176" s="3" t="n">
        <f>IF(F176 &lt; 28, ROUND(F176 / DAY(EOMONTH(D176, 0)) * I176, 2), I176)</f>
        <v>0.0</v>
      </c>
      <c r="M176" s="3" t="n">
        <f>L176 * 0.10</f>
        <v>0.0</v>
      </c>
      <c r="N176" s="3" t="n">
        <f>L176 * 0.05</f>
        <v>0.0</v>
      </c>
      <c r="O176" s="3" t="n">
        <f>M176 + N176</f>
        <v>0.0</v>
      </c>
      <c r="P176" s="3" t="n">
        <f>L176 - O176</f>
        <v>0.0</v>
      </c>
    </row>
    <row r="177">
      <c r="A177" t="n">
        <v>25.0</v>
      </c>
      <c r="B177" t="inlineStr">
        <is>
          <t>LEASE-BH-F21-2025</t>
        </is>
      </c>
      <c r="C177" t="inlineStr">
        <is>
          <t>Flat 21 - 3 West Gate</t>
        </is>
      </c>
      <c r="D177" s="2" t="n">
        <v>45838.0</v>
      </c>
      <c r="E177" s="2" t="n">
        <v>45867.0</v>
      </c>
      <c r="F177" t="n">
        <v>30.0</v>
      </c>
      <c r="G177" s="2" t="n">
        <v>45687.0</v>
      </c>
      <c r="H177"/>
      <c r="I177" s="3" t="n">
        <v>795.0</v>
      </c>
      <c r="J177" t="n">
        <v>30.0</v>
      </c>
      <c r="K177" t="n">
        <v>30.0</v>
      </c>
      <c r="L177" s="3" t="n">
        <f>IF(F177 &lt; 28, ROUND(F177 / DAY(EOMONTH(D177, 0)) * I177, 2), I177)</f>
        <v>0.0</v>
      </c>
      <c r="M177" s="3" t="n">
        <f>L177 * 0.10</f>
        <v>0.0</v>
      </c>
      <c r="N177" s="3" t="n">
        <f>L177 * 0.05</f>
        <v>0.0</v>
      </c>
      <c r="O177" s="3" t="n">
        <f>M177 + N177</f>
        <v>0.0</v>
      </c>
      <c r="P177" s="3" t="n">
        <f>L177 - O177</f>
        <v>0.0</v>
      </c>
    </row>
    <row r="178">
      <c r="A178" t="n">
        <v>25.0</v>
      </c>
      <c r="B178" t="inlineStr">
        <is>
          <t>LEASE-BH-F21-2025</t>
        </is>
      </c>
      <c r="C178" t="inlineStr">
        <is>
          <t>Flat 21 - 3 West Gate</t>
        </is>
      </c>
      <c r="D178" s="2" t="n">
        <v>45868.0</v>
      </c>
      <c r="E178" s="2" t="n">
        <v>45898.0</v>
      </c>
      <c r="F178" t="n">
        <v>31.0</v>
      </c>
      <c r="G178" s="2" t="n">
        <v>45687.0</v>
      </c>
      <c r="H178"/>
      <c r="I178" s="3" t="n">
        <v>795.0</v>
      </c>
      <c r="J178" t="n">
        <v>30.0</v>
      </c>
      <c r="K178" t="n">
        <v>31.0</v>
      </c>
      <c r="L178" s="3" t="n">
        <f>IF(F178 &lt; 28, ROUND(F178 / DAY(EOMONTH(D178, 0)) * I178, 2), I178)</f>
        <v>0.0</v>
      </c>
      <c r="M178" s="3" t="n">
        <f>L178 * 0.10</f>
        <v>0.0</v>
      </c>
      <c r="N178" s="3" t="n">
        <f>L178 * 0.05</f>
        <v>0.0</v>
      </c>
      <c r="O178" s="3" t="n">
        <f>M178 + N178</f>
        <v>0.0</v>
      </c>
      <c r="P178" s="3" t="n">
        <f>L178 - O178</f>
        <v>0.0</v>
      </c>
    </row>
    <row r="179">
      <c r="A179" t="n">
        <v>25.0</v>
      </c>
      <c r="B179" t="inlineStr">
        <is>
          <t>LEASE-BH-F21-2025</t>
        </is>
      </c>
      <c r="C179" t="inlineStr">
        <is>
          <t>Flat 21 - 3 West Gate</t>
        </is>
      </c>
      <c r="D179" s="2" t="n">
        <v>45899.0</v>
      </c>
      <c r="E179" s="2" t="n">
        <v>45929.0</v>
      </c>
      <c r="F179" t="n">
        <v>31.0</v>
      </c>
      <c r="G179" s="2" t="n">
        <v>45687.0</v>
      </c>
      <c r="H179"/>
      <c r="I179" s="3" t="n">
        <v>795.0</v>
      </c>
      <c r="J179" t="n">
        <v>30.0</v>
      </c>
      <c r="K179" t="n">
        <v>31.0</v>
      </c>
      <c r="L179" s="3" t="n">
        <f>IF(F179 &lt; 28, ROUND(F179 / DAY(EOMONTH(D179, 0)) * I179, 2), I179)</f>
        <v>0.0</v>
      </c>
      <c r="M179" s="3" t="n">
        <f>L179 * 0.10</f>
        <v>0.0</v>
      </c>
      <c r="N179" s="3" t="n">
        <f>L179 * 0.05</f>
        <v>0.0</v>
      </c>
      <c r="O179" s="3" t="n">
        <f>M179 + N179</f>
        <v>0.0</v>
      </c>
      <c r="P179" s="3" t="n">
        <f>L179 - O179</f>
        <v>0.0</v>
      </c>
    </row>
    <row r="180">
      <c r="A180" t="n">
        <v>25.0</v>
      </c>
      <c r="B180" t="inlineStr">
        <is>
          <t>LEASE-BH-F21-2025</t>
        </is>
      </c>
      <c r="C180" t="inlineStr">
        <is>
          <t>Flat 21 - 3 West Gate</t>
        </is>
      </c>
      <c r="D180" s="2" t="n">
        <v>45930.0</v>
      </c>
      <c r="E180" s="2" t="n">
        <v>45959.0</v>
      </c>
      <c r="F180" t="n">
        <v>30.0</v>
      </c>
      <c r="G180" s="2" t="n">
        <v>45687.0</v>
      </c>
      <c r="H180"/>
      <c r="I180" s="3" t="n">
        <v>795.0</v>
      </c>
      <c r="J180" t="n">
        <v>30.0</v>
      </c>
      <c r="K180" t="n">
        <v>30.0</v>
      </c>
      <c r="L180" s="3" t="n">
        <f>IF(F180 &lt; 28, ROUND(F180 / DAY(EOMONTH(D180, 0)) * I180, 2), I180)</f>
        <v>0.0</v>
      </c>
      <c r="M180" s="3" t="n">
        <f>L180 * 0.10</f>
        <v>0.0</v>
      </c>
      <c r="N180" s="3" t="n">
        <f>L180 * 0.05</f>
        <v>0.0</v>
      </c>
      <c r="O180" s="3" t="n">
        <f>M180 + N180</f>
        <v>0.0</v>
      </c>
      <c r="P180" s="3" t="n">
        <f>L180 - O180</f>
        <v>0.0</v>
      </c>
    </row>
    <row r="181">
      <c r="A181" t="n">
        <v>25.0</v>
      </c>
      <c r="B181" t="inlineStr">
        <is>
          <t>LEASE-BH-F21-2025</t>
        </is>
      </c>
      <c r="C181" t="inlineStr">
        <is>
          <t>Flat 21 - 3 West Gate</t>
        </is>
      </c>
      <c r="D181" s="2" t="n">
        <v>45960.0</v>
      </c>
      <c r="E181" s="2" t="n">
        <v>45990.0</v>
      </c>
      <c r="F181" t="n">
        <v>31.0</v>
      </c>
      <c r="G181" s="2" t="n">
        <v>45687.0</v>
      </c>
      <c r="H181"/>
      <c r="I181" s="3" t="n">
        <v>795.0</v>
      </c>
      <c r="J181" t="n">
        <v>30.0</v>
      </c>
      <c r="K181" t="n">
        <v>31.0</v>
      </c>
      <c r="L181" s="3" t="n">
        <f>IF(F181 &lt; 28, ROUND(F181 / DAY(EOMONTH(D181, 0)) * I181, 2), I181)</f>
        <v>0.0</v>
      </c>
      <c r="M181" s="3" t="n">
        <f>L181 * 0.10</f>
        <v>0.0</v>
      </c>
      <c r="N181" s="3" t="n">
        <f>L181 * 0.05</f>
        <v>0.0</v>
      </c>
      <c r="O181" s="3" t="n">
        <f>M181 + N181</f>
        <v>0.0</v>
      </c>
      <c r="P181" s="3" t="n">
        <f>L181 - O181</f>
        <v>0.0</v>
      </c>
    </row>
    <row r="182">
      <c r="A182" t="n">
        <v>26.0</v>
      </c>
      <c r="B182" t="inlineStr">
        <is>
          <t>LEASE-BH-F22-2025</t>
        </is>
      </c>
      <c r="C182" t="inlineStr">
        <is>
          <t>Flat 22 - 3 West Gate</t>
        </is>
      </c>
      <c r="D182" s="2" t="n">
        <v>45717.0</v>
      </c>
      <c r="E182" s="2" t="n">
        <v>45747.0</v>
      </c>
      <c r="F182" t="n">
        <v>31.0</v>
      </c>
      <c r="G182" s="2" t="n">
        <v>45717.0</v>
      </c>
      <c r="H182"/>
      <c r="I182" s="3" t="n">
        <v>740.0</v>
      </c>
      <c r="J182" t="n">
        <v>1.0</v>
      </c>
      <c r="K182" t="n">
        <v>31.0</v>
      </c>
      <c r="L182" s="3" t="n">
        <f>IF(F182 &lt; 28, ROUND(F182 / DAY(EOMONTH(D182, 0)) * I182, 2), I182)</f>
        <v>0.0</v>
      </c>
      <c r="M182" s="3" t="n">
        <f>L182 * 0.10</f>
        <v>0.0</v>
      </c>
      <c r="N182" s="3" t="n">
        <f>L182 * 0.05</f>
        <v>0.0</v>
      </c>
      <c r="O182" s="3" t="n">
        <f>M182 + N182</f>
        <v>0.0</v>
      </c>
      <c r="P182" s="3" t="n">
        <f>L182 - O182</f>
        <v>0.0</v>
      </c>
    </row>
    <row r="183">
      <c r="A183" t="n">
        <v>26.0</v>
      </c>
      <c r="B183" t="inlineStr">
        <is>
          <t>LEASE-BH-F22-2025</t>
        </is>
      </c>
      <c r="C183" t="inlineStr">
        <is>
          <t>Flat 22 - 3 West Gate</t>
        </is>
      </c>
      <c r="D183" s="2" t="n">
        <v>45748.0</v>
      </c>
      <c r="E183" s="2" t="n">
        <v>45777.0</v>
      </c>
      <c r="F183" t="n">
        <v>30.0</v>
      </c>
      <c r="G183" s="2" t="n">
        <v>45717.0</v>
      </c>
      <c r="H183"/>
      <c r="I183" s="3" t="n">
        <v>740.0</v>
      </c>
      <c r="J183" t="n">
        <v>1.0</v>
      </c>
      <c r="K183" t="n">
        <v>30.0</v>
      </c>
      <c r="L183" s="3" t="n">
        <f>IF(F183 &lt; 28, ROUND(F183 / DAY(EOMONTH(D183, 0)) * I183, 2), I183)</f>
        <v>0.0</v>
      </c>
      <c r="M183" s="3" t="n">
        <f>L183 * 0.10</f>
        <v>0.0</v>
      </c>
      <c r="N183" s="3" t="n">
        <f>L183 * 0.05</f>
        <v>0.0</v>
      </c>
      <c r="O183" s="3" t="n">
        <f>M183 + N183</f>
        <v>0.0</v>
      </c>
      <c r="P183" s="3" t="n">
        <f>L183 - O183</f>
        <v>0.0</v>
      </c>
    </row>
    <row r="184">
      <c r="A184" t="n">
        <v>26.0</v>
      </c>
      <c r="B184" t="inlineStr">
        <is>
          <t>LEASE-BH-F22-2025</t>
        </is>
      </c>
      <c r="C184" t="inlineStr">
        <is>
          <t>Flat 22 - 3 West Gate</t>
        </is>
      </c>
      <c r="D184" s="2" t="n">
        <v>45778.0</v>
      </c>
      <c r="E184" s="2" t="n">
        <v>45808.0</v>
      </c>
      <c r="F184" t="n">
        <v>31.0</v>
      </c>
      <c r="G184" s="2" t="n">
        <v>45717.0</v>
      </c>
      <c r="H184"/>
      <c r="I184" s="3" t="n">
        <v>740.0</v>
      </c>
      <c r="J184" t="n">
        <v>1.0</v>
      </c>
      <c r="K184" t="n">
        <v>31.0</v>
      </c>
      <c r="L184" s="3" t="n">
        <f>IF(F184 &lt; 28, ROUND(F184 / DAY(EOMONTH(D184, 0)) * I184, 2), I184)</f>
        <v>0.0</v>
      </c>
      <c r="M184" s="3" t="n">
        <f>L184 * 0.10</f>
        <v>0.0</v>
      </c>
      <c r="N184" s="3" t="n">
        <f>L184 * 0.05</f>
        <v>0.0</v>
      </c>
      <c r="O184" s="3" t="n">
        <f>M184 + N184</f>
        <v>0.0</v>
      </c>
      <c r="P184" s="3" t="n">
        <f>L184 - O184</f>
        <v>0.0</v>
      </c>
    </row>
    <row r="185">
      <c r="A185" t="n">
        <v>26.0</v>
      </c>
      <c r="B185" t="inlineStr">
        <is>
          <t>LEASE-BH-F22-2025</t>
        </is>
      </c>
      <c r="C185" t="inlineStr">
        <is>
          <t>Flat 22 - 3 West Gate</t>
        </is>
      </c>
      <c r="D185" s="2" t="n">
        <v>45809.0</v>
      </c>
      <c r="E185" s="2" t="n">
        <v>45838.0</v>
      </c>
      <c r="F185" t="n">
        <v>30.0</v>
      </c>
      <c r="G185" s="2" t="n">
        <v>45717.0</v>
      </c>
      <c r="H185"/>
      <c r="I185" s="3" t="n">
        <v>740.0</v>
      </c>
      <c r="J185" t="n">
        <v>1.0</v>
      </c>
      <c r="K185" t="n">
        <v>30.0</v>
      </c>
      <c r="L185" s="3" t="n">
        <f>IF(F185 &lt; 28, ROUND(F185 / DAY(EOMONTH(D185, 0)) * I185, 2), I185)</f>
        <v>0.0</v>
      </c>
      <c r="M185" s="3" t="n">
        <f>L185 * 0.10</f>
        <v>0.0</v>
      </c>
      <c r="N185" s="3" t="n">
        <f>L185 * 0.05</f>
        <v>0.0</v>
      </c>
      <c r="O185" s="3" t="n">
        <f>M185 + N185</f>
        <v>0.0</v>
      </c>
      <c r="P185" s="3" t="n">
        <f>L185 - O185</f>
        <v>0.0</v>
      </c>
    </row>
    <row r="186">
      <c r="A186" t="n">
        <v>26.0</v>
      </c>
      <c r="B186" t="inlineStr">
        <is>
          <t>LEASE-BH-F22-2025</t>
        </is>
      </c>
      <c r="C186" t="inlineStr">
        <is>
          <t>Flat 22 - 3 West Gate</t>
        </is>
      </c>
      <c r="D186" s="2" t="n">
        <v>45839.0</v>
      </c>
      <c r="E186" s="2" t="n">
        <v>45869.0</v>
      </c>
      <c r="F186" t="n">
        <v>31.0</v>
      </c>
      <c r="G186" s="2" t="n">
        <v>45717.0</v>
      </c>
      <c r="H186"/>
      <c r="I186" s="3" t="n">
        <v>740.0</v>
      </c>
      <c r="J186" t="n">
        <v>1.0</v>
      </c>
      <c r="K186" t="n">
        <v>31.0</v>
      </c>
      <c r="L186" s="3" t="n">
        <f>IF(F186 &lt; 28, ROUND(F186 / DAY(EOMONTH(D186, 0)) * I186, 2), I186)</f>
        <v>0.0</v>
      </c>
      <c r="M186" s="3" t="n">
        <f>L186 * 0.10</f>
        <v>0.0</v>
      </c>
      <c r="N186" s="3" t="n">
        <f>L186 * 0.05</f>
        <v>0.0</v>
      </c>
      <c r="O186" s="3" t="n">
        <f>M186 + N186</f>
        <v>0.0</v>
      </c>
      <c r="P186" s="3" t="n">
        <f>L186 - O186</f>
        <v>0.0</v>
      </c>
    </row>
    <row r="187">
      <c r="A187" t="n">
        <v>26.0</v>
      </c>
      <c r="B187" t="inlineStr">
        <is>
          <t>LEASE-BH-F22-2025</t>
        </is>
      </c>
      <c r="C187" t="inlineStr">
        <is>
          <t>Flat 22 - 3 West Gate</t>
        </is>
      </c>
      <c r="D187" s="2" t="n">
        <v>45870.0</v>
      </c>
      <c r="E187" s="2" t="n">
        <v>45900.0</v>
      </c>
      <c r="F187" t="n">
        <v>31.0</v>
      </c>
      <c r="G187" s="2" t="n">
        <v>45717.0</v>
      </c>
      <c r="H187"/>
      <c r="I187" s="3" t="n">
        <v>740.0</v>
      </c>
      <c r="J187" t="n">
        <v>1.0</v>
      </c>
      <c r="K187" t="n">
        <v>31.0</v>
      </c>
      <c r="L187" s="3" t="n">
        <f>IF(F187 &lt; 28, ROUND(F187 / DAY(EOMONTH(D187, 0)) * I187, 2), I187)</f>
        <v>0.0</v>
      </c>
      <c r="M187" s="3" t="n">
        <f>L187 * 0.10</f>
        <v>0.0</v>
      </c>
      <c r="N187" s="3" t="n">
        <f>L187 * 0.05</f>
        <v>0.0</v>
      </c>
      <c r="O187" s="3" t="n">
        <f>M187 + N187</f>
        <v>0.0</v>
      </c>
      <c r="P187" s="3" t="n">
        <f>L187 - O187</f>
        <v>0.0</v>
      </c>
    </row>
    <row r="188">
      <c r="A188" t="n">
        <v>26.0</v>
      </c>
      <c r="B188" t="inlineStr">
        <is>
          <t>LEASE-BH-F22-2025</t>
        </is>
      </c>
      <c r="C188" t="inlineStr">
        <is>
          <t>Flat 22 - 3 West Gate</t>
        </is>
      </c>
      <c r="D188" s="2" t="n">
        <v>45901.0</v>
      </c>
      <c r="E188" s="2" t="n">
        <v>45930.0</v>
      </c>
      <c r="F188" t="n">
        <v>30.0</v>
      </c>
      <c r="G188" s="2" t="n">
        <v>45717.0</v>
      </c>
      <c r="H188"/>
      <c r="I188" s="3" t="n">
        <v>740.0</v>
      </c>
      <c r="J188" t="n">
        <v>1.0</v>
      </c>
      <c r="K188" t="n">
        <v>30.0</v>
      </c>
      <c r="L188" s="3" t="n">
        <f>IF(F188 &lt; 28, ROUND(F188 / DAY(EOMONTH(D188, 0)) * I188, 2), I188)</f>
        <v>0.0</v>
      </c>
      <c r="M188" s="3" t="n">
        <f>L188 * 0.10</f>
        <v>0.0</v>
      </c>
      <c r="N188" s="3" t="n">
        <f>L188 * 0.05</f>
        <v>0.0</v>
      </c>
      <c r="O188" s="3" t="n">
        <f>M188 + N188</f>
        <v>0.0</v>
      </c>
      <c r="P188" s="3" t="n">
        <f>L188 - O188</f>
        <v>0.0</v>
      </c>
    </row>
    <row r="189">
      <c r="A189" t="n">
        <v>26.0</v>
      </c>
      <c r="B189" t="inlineStr">
        <is>
          <t>LEASE-BH-F22-2025</t>
        </is>
      </c>
      <c r="C189" t="inlineStr">
        <is>
          <t>Flat 22 - 3 West Gate</t>
        </is>
      </c>
      <c r="D189" s="2" t="n">
        <v>45931.0</v>
      </c>
      <c r="E189" s="2" t="n">
        <v>45961.0</v>
      </c>
      <c r="F189" t="n">
        <v>31.0</v>
      </c>
      <c r="G189" s="2" t="n">
        <v>45717.0</v>
      </c>
      <c r="H189"/>
      <c r="I189" s="3" t="n">
        <v>740.0</v>
      </c>
      <c r="J189" t="n">
        <v>1.0</v>
      </c>
      <c r="K189" t="n">
        <v>31.0</v>
      </c>
      <c r="L189" s="3" t="n">
        <f>IF(F189 &lt; 28, ROUND(F189 / DAY(EOMONTH(D189, 0)) * I189, 2), I189)</f>
        <v>0.0</v>
      </c>
      <c r="M189" s="3" t="n">
        <f>L189 * 0.10</f>
        <v>0.0</v>
      </c>
      <c r="N189" s="3" t="n">
        <f>L189 * 0.05</f>
        <v>0.0</v>
      </c>
      <c r="O189" s="3" t="n">
        <f>M189 + N189</f>
        <v>0.0</v>
      </c>
      <c r="P189" s="3" t="n">
        <f>L189 - O189</f>
        <v>0.0</v>
      </c>
    </row>
    <row r="190">
      <c r="A190" t="n">
        <v>26.0</v>
      </c>
      <c r="B190" t="inlineStr">
        <is>
          <t>LEASE-BH-F22-2025</t>
        </is>
      </c>
      <c r="C190" t="inlineStr">
        <is>
          <t>Flat 22 - 3 West Gate</t>
        </is>
      </c>
      <c r="D190" s="2" t="n">
        <v>45962.0</v>
      </c>
      <c r="E190" s="2" t="n">
        <v>45991.0</v>
      </c>
      <c r="F190" t="n">
        <v>30.0</v>
      </c>
      <c r="G190" s="2" t="n">
        <v>45717.0</v>
      </c>
      <c r="H190"/>
      <c r="I190" s="3" t="n">
        <v>740.0</v>
      </c>
      <c r="J190" t="n">
        <v>1.0</v>
      </c>
      <c r="K190" t="n">
        <v>30.0</v>
      </c>
      <c r="L190" s="3" t="n">
        <f>IF(F190 &lt; 28, ROUND(F190 / DAY(EOMONTH(D190, 0)) * I190, 2), I190)</f>
        <v>0.0</v>
      </c>
      <c r="M190" s="3" t="n">
        <f>L190 * 0.10</f>
        <v>0.0</v>
      </c>
      <c r="N190" s="3" t="n">
        <f>L190 * 0.05</f>
        <v>0.0</v>
      </c>
      <c r="O190" s="3" t="n">
        <f>M190 + N190</f>
        <v>0.0</v>
      </c>
      <c r="P190" s="3" t="n">
        <f>L190 - O190</f>
        <v>0.0</v>
      </c>
    </row>
    <row r="191">
      <c r="A191" t="n">
        <v>27.0</v>
      </c>
      <c r="B191" t="inlineStr">
        <is>
          <t>LEASE-BH-F23-2025</t>
        </is>
      </c>
      <c r="C191" t="inlineStr">
        <is>
          <t>Flat 23 - 3 West Gate</t>
        </is>
      </c>
      <c r="D191" s="2" t="n">
        <v>45830.0</v>
      </c>
      <c r="E191" s="2" t="n">
        <v>45859.0</v>
      </c>
      <c r="F191" t="n">
        <v>30.0</v>
      </c>
      <c r="G191" s="2" t="n">
        <v>45830.0</v>
      </c>
      <c r="H191"/>
      <c r="I191" s="3" t="n">
        <v>795.0</v>
      </c>
      <c r="J191" t="n">
        <v>22.0</v>
      </c>
      <c r="K191" t="n">
        <v>30.0</v>
      </c>
      <c r="L191" s="3" t="n">
        <f>IF(F191 &lt; 28, ROUND(F191 / DAY(EOMONTH(D191, 0)) * I191, 2), I191)</f>
        <v>0.0</v>
      </c>
      <c r="M191" s="3" t="n">
        <f>L191 * 0.10</f>
        <v>0.0</v>
      </c>
      <c r="N191" s="3" t="n">
        <f>L191 * 0.05</f>
        <v>0.0</v>
      </c>
      <c r="O191" s="3" t="n">
        <f>M191 + N191</f>
        <v>0.0</v>
      </c>
      <c r="P191" s="3" t="n">
        <f>L191 - O191</f>
        <v>0.0</v>
      </c>
    </row>
    <row r="192">
      <c r="A192" t="n">
        <v>27.0</v>
      </c>
      <c r="B192" t="inlineStr">
        <is>
          <t>LEASE-BH-F23-2025</t>
        </is>
      </c>
      <c r="C192" t="inlineStr">
        <is>
          <t>Flat 23 - 3 West Gate</t>
        </is>
      </c>
      <c r="D192" s="2" t="n">
        <v>45860.0</v>
      </c>
      <c r="E192" s="2" t="n">
        <v>45890.0</v>
      </c>
      <c r="F192" t="n">
        <v>31.0</v>
      </c>
      <c r="G192" s="2" t="n">
        <v>45830.0</v>
      </c>
      <c r="H192"/>
      <c r="I192" s="3" t="n">
        <v>795.0</v>
      </c>
      <c r="J192" t="n">
        <v>22.0</v>
      </c>
      <c r="K192" t="n">
        <v>31.0</v>
      </c>
      <c r="L192" s="3" t="n">
        <f>IF(F192 &lt; 28, ROUND(F192 / DAY(EOMONTH(D192, 0)) * I192, 2), I192)</f>
        <v>0.0</v>
      </c>
      <c r="M192" s="3" t="n">
        <f>L192 * 0.10</f>
        <v>0.0</v>
      </c>
      <c r="N192" s="3" t="n">
        <f>L192 * 0.05</f>
        <v>0.0</v>
      </c>
      <c r="O192" s="3" t="n">
        <f>M192 + N192</f>
        <v>0.0</v>
      </c>
      <c r="P192" s="3" t="n">
        <f>L192 - O192</f>
        <v>0.0</v>
      </c>
    </row>
    <row r="193">
      <c r="A193" t="n">
        <v>27.0</v>
      </c>
      <c r="B193" t="inlineStr">
        <is>
          <t>LEASE-BH-F23-2025</t>
        </is>
      </c>
      <c r="C193" t="inlineStr">
        <is>
          <t>Flat 23 - 3 West Gate</t>
        </is>
      </c>
      <c r="D193" s="2" t="n">
        <v>45891.0</v>
      </c>
      <c r="E193" s="2" t="n">
        <v>45921.0</v>
      </c>
      <c r="F193" t="n">
        <v>31.0</v>
      </c>
      <c r="G193" s="2" t="n">
        <v>45830.0</v>
      </c>
      <c r="H193"/>
      <c r="I193" s="3" t="n">
        <v>795.0</v>
      </c>
      <c r="J193" t="n">
        <v>22.0</v>
      </c>
      <c r="K193" t="n">
        <v>31.0</v>
      </c>
      <c r="L193" s="3" t="n">
        <f>IF(F193 &lt; 28, ROUND(F193 / DAY(EOMONTH(D193, 0)) * I193, 2), I193)</f>
        <v>0.0</v>
      </c>
      <c r="M193" s="3" t="n">
        <f>L193 * 0.10</f>
        <v>0.0</v>
      </c>
      <c r="N193" s="3" t="n">
        <f>L193 * 0.05</f>
        <v>0.0</v>
      </c>
      <c r="O193" s="3" t="n">
        <f>M193 + N193</f>
        <v>0.0</v>
      </c>
      <c r="P193" s="3" t="n">
        <f>L193 - O193</f>
        <v>0.0</v>
      </c>
    </row>
    <row r="194">
      <c r="A194" t="n">
        <v>27.0</v>
      </c>
      <c r="B194" t="inlineStr">
        <is>
          <t>LEASE-BH-F23-2025</t>
        </is>
      </c>
      <c r="C194" t="inlineStr">
        <is>
          <t>Flat 23 - 3 West Gate</t>
        </is>
      </c>
      <c r="D194" s="2" t="n">
        <v>45922.0</v>
      </c>
      <c r="E194" s="2" t="n">
        <v>45951.0</v>
      </c>
      <c r="F194" t="n">
        <v>30.0</v>
      </c>
      <c r="G194" s="2" t="n">
        <v>45830.0</v>
      </c>
      <c r="H194"/>
      <c r="I194" s="3" t="n">
        <v>795.0</v>
      </c>
      <c r="J194" t="n">
        <v>22.0</v>
      </c>
      <c r="K194" t="n">
        <v>30.0</v>
      </c>
      <c r="L194" s="3" t="n">
        <f>IF(F194 &lt; 28, ROUND(F194 / DAY(EOMONTH(D194, 0)) * I194, 2), I194)</f>
        <v>0.0</v>
      </c>
      <c r="M194" s="3" t="n">
        <f>L194 * 0.10</f>
        <v>0.0</v>
      </c>
      <c r="N194" s="3" t="n">
        <f>L194 * 0.05</f>
        <v>0.0</v>
      </c>
      <c r="O194" s="3" t="n">
        <f>M194 + N194</f>
        <v>0.0</v>
      </c>
      <c r="P194" s="3" t="n">
        <f>L194 - O194</f>
        <v>0.0</v>
      </c>
    </row>
    <row r="195">
      <c r="A195" t="n">
        <v>27.0</v>
      </c>
      <c r="B195" t="inlineStr">
        <is>
          <t>LEASE-BH-F23-2025</t>
        </is>
      </c>
      <c r="C195" t="inlineStr">
        <is>
          <t>Flat 23 - 3 West Gate</t>
        </is>
      </c>
      <c r="D195" s="2" t="n">
        <v>45952.0</v>
      </c>
      <c r="E195" s="2" t="n">
        <v>45982.0</v>
      </c>
      <c r="F195" t="n">
        <v>31.0</v>
      </c>
      <c r="G195" s="2" t="n">
        <v>45830.0</v>
      </c>
      <c r="H195"/>
      <c r="I195" s="3" t="n">
        <v>795.0</v>
      </c>
      <c r="J195" t="n">
        <v>22.0</v>
      </c>
      <c r="K195" t="n">
        <v>31.0</v>
      </c>
      <c r="L195" s="3" t="n">
        <f>IF(F195 &lt; 28, ROUND(F195 / DAY(EOMONTH(D195, 0)) * I195, 2), I195)</f>
        <v>0.0</v>
      </c>
      <c r="M195" s="3" t="n">
        <f>L195 * 0.10</f>
        <v>0.0</v>
      </c>
      <c r="N195" s="3" t="n">
        <f>L195 * 0.05</f>
        <v>0.0</v>
      </c>
      <c r="O195" s="3" t="n">
        <f>M195 + N195</f>
        <v>0.0</v>
      </c>
      <c r="P195" s="3" t="n">
        <f>L195 - O195</f>
        <v>0.0</v>
      </c>
    </row>
    <row r="196">
      <c r="A196" t="n">
        <v>28.0</v>
      </c>
      <c r="B196" t="inlineStr">
        <is>
          <t>LEASE-BH-F24-2025</t>
        </is>
      </c>
      <c r="C196" t="inlineStr">
        <is>
          <t>Flat 24 - 3 West Gate</t>
        </is>
      </c>
      <c r="D196" s="2" t="n">
        <v>45700.0</v>
      </c>
      <c r="E196" s="2" t="n">
        <v>45727.0</v>
      </c>
      <c r="F196" t="n">
        <v>28.0</v>
      </c>
      <c r="G196" s="2" t="n">
        <v>45700.0</v>
      </c>
      <c r="H196"/>
      <c r="I196" s="3" t="n">
        <v>810.0</v>
      </c>
      <c r="J196" t="n">
        <v>12.0</v>
      </c>
      <c r="K196" t="n">
        <v>28.0</v>
      </c>
      <c r="L196" s="3" t="n">
        <f>IF(F196 &lt; 28, ROUND(F196 / DAY(EOMONTH(D196, 0)) * I196, 2), I196)</f>
        <v>0.0</v>
      </c>
      <c r="M196" s="3" t="n">
        <f>L196 * 0.10</f>
        <v>0.0</v>
      </c>
      <c r="N196" s="3" t="n">
        <f>L196 * 0.05</f>
        <v>0.0</v>
      </c>
      <c r="O196" s="3" t="n">
        <f>M196 + N196</f>
        <v>0.0</v>
      </c>
      <c r="P196" s="3" t="n">
        <f>L196 - O196</f>
        <v>0.0</v>
      </c>
    </row>
    <row r="197">
      <c r="A197" t="n">
        <v>28.0</v>
      </c>
      <c r="B197" t="inlineStr">
        <is>
          <t>LEASE-BH-F24-2025</t>
        </is>
      </c>
      <c r="C197" t="inlineStr">
        <is>
          <t>Flat 24 - 3 West Gate</t>
        </is>
      </c>
      <c r="D197" s="2" t="n">
        <v>45728.0</v>
      </c>
      <c r="E197" s="2" t="n">
        <v>45758.0</v>
      </c>
      <c r="F197" t="n">
        <v>31.0</v>
      </c>
      <c r="G197" s="2" t="n">
        <v>45700.0</v>
      </c>
      <c r="H197"/>
      <c r="I197" s="3" t="n">
        <v>810.0</v>
      </c>
      <c r="J197" t="n">
        <v>12.0</v>
      </c>
      <c r="K197" t="n">
        <v>31.0</v>
      </c>
      <c r="L197" s="3" t="n">
        <f>IF(F197 &lt; 28, ROUND(F197 / DAY(EOMONTH(D197, 0)) * I197, 2), I197)</f>
        <v>0.0</v>
      </c>
      <c r="M197" s="3" t="n">
        <f>L197 * 0.10</f>
        <v>0.0</v>
      </c>
      <c r="N197" s="3" t="n">
        <f>L197 * 0.05</f>
        <v>0.0</v>
      </c>
      <c r="O197" s="3" t="n">
        <f>M197 + N197</f>
        <v>0.0</v>
      </c>
      <c r="P197" s="3" t="n">
        <f>L197 - O197</f>
        <v>0.0</v>
      </c>
    </row>
    <row r="198">
      <c r="A198" t="n">
        <v>28.0</v>
      </c>
      <c r="B198" t="inlineStr">
        <is>
          <t>LEASE-BH-F24-2025</t>
        </is>
      </c>
      <c r="C198" t="inlineStr">
        <is>
          <t>Flat 24 - 3 West Gate</t>
        </is>
      </c>
      <c r="D198" s="2" t="n">
        <v>45759.0</v>
      </c>
      <c r="E198" s="2" t="n">
        <v>45788.0</v>
      </c>
      <c r="F198" t="n">
        <v>30.0</v>
      </c>
      <c r="G198" s="2" t="n">
        <v>45700.0</v>
      </c>
      <c r="H198"/>
      <c r="I198" s="3" t="n">
        <v>810.0</v>
      </c>
      <c r="J198" t="n">
        <v>12.0</v>
      </c>
      <c r="K198" t="n">
        <v>30.0</v>
      </c>
      <c r="L198" s="3" t="n">
        <f>IF(F198 &lt; 28, ROUND(F198 / DAY(EOMONTH(D198, 0)) * I198, 2), I198)</f>
        <v>0.0</v>
      </c>
      <c r="M198" s="3" t="n">
        <f>L198 * 0.10</f>
        <v>0.0</v>
      </c>
      <c r="N198" s="3" t="n">
        <f>L198 * 0.05</f>
        <v>0.0</v>
      </c>
      <c r="O198" s="3" t="n">
        <f>M198 + N198</f>
        <v>0.0</v>
      </c>
      <c r="P198" s="3" t="n">
        <f>L198 - O198</f>
        <v>0.0</v>
      </c>
    </row>
    <row r="199">
      <c r="A199" t="n">
        <v>28.0</v>
      </c>
      <c r="B199" t="inlineStr">
        <is>
          <t>LEASE-BH-F24-2025</t>
        </is>
      </c>
      <c r="C199" t="inlineStr">
        <is>
          <t>Flat 24 - 3 West Gate</t>
        </is>
      </c>
      <c r="D199" s="2" t="n">
        <v>45789.0</v>
      </c>
      <c r="E199" s="2" t="n">
        <v>45819.0</v>
      </c>
      <c r="F199" t="n">
        <v>31.0</v>
      </c>
      <c r="G199" s="2" t="n">
        <v>45700.0</v>
      </c>
      <c r="H199"/>
      <c r="I199" s="3" t="n">
        <v>810.0</v>
      </c>
      <c r="J199" t="n">
        <v>12.0</v>
      </c>
      <c r="K199" t="n">
        <v>31.0</v>
      </c>
      <c r="L199" s="3" t="n">
        <f>IF(F199 &lt; 28, ROUND(F199 / DAY(EOMONTH(D199, 0)) * I199, 2), I199)</f>
        <v>0.0</v>
      </c>
      <c r="M199" s="3" t="n">
        <f>L199 * 0.10</f>
        <v>0.0</v>
      </c>
      <c r="N199" s="3" t="n">
        <f>L199 * 0.05</f>
        <v>0.0</v>
      </c>
      <c r="O199" s="3" t="n">
        <f>M199 + N199</f>
        <v>0.0</v>
      </c>
      <c r="P199" s="3" t="n">
        <f>L199 - O199</f>
        <v>0.0</v>
      </c>
    </row>
    <row r="200">
      <c r="A200" t="n">
        <v>28.0</v>
      </c>
      <c r="B200" t="inlineStr">
        <is>
          <t>LEASE-BH-F24-2025</t>
        </is>
      </c>
      <c r="C200" t="inlineStr">
        <is>
          <t>Flat 24 - 3 West Gate</t>
        </is>
      </c>
      <c r="D200" s="2" t="n">
        <v>45820.0</v>
      </c>
      <c r="E200" s="2" t="n">
        <v>45849.0</v>
      </c>
      <c r="F200" t="n">
        <v>30.0</v>
      </c>
      <c r="G200" s="2" t="n">
        <v>45700.0</v>
      </c>
      <c r="H200"/>
      <c r="I200" s="3" t="n">
        <v>810.0</v>
      </c>
      <c r="J200" t="n">
        <v>12.0</v>
      </c>
      <c r="K200" t="n">
        <v>30.0</v>
      </c>
      <c r="L200" s="3" t="n">
        <f>IF(F200 &lt; 28, ROUND(F200 / DAY(EOMONTH(D200, 0)) * I200, 2), I200)</f>
        <v>0.0</v>
      </c>
      <c r="M200" s="3" t="n">
        <f>L200 * 0.10</f>
        <v>0.0</v>
      </c>
      <c r="N200" s="3" t="n">
        <f>L200 * 0.05</f>
        <v>0.0</v>
      </c>
      <c r="O200" s="3" t="n">
        <f>M200 + N200</f>
        <v>0.0</v>
      </c>
      <c r="P200" s="3" t="n">
        <f>L200 - O200</f>
        <v>0.0</v>
      </c>
    </row>
    <row r="201">
      <c r="A201" t="n">
        <v>28.0</v>
      </c>
      <c r="B201" t="inlineStr">
        <is>
          <t>LEASE-BH-F24-2025</t>
        </is>
      </c>
      <c r="C201" t="inlineStr">
        <is>
          <t>Flat 24 - 3 West Gate</t>
        </is>
      </c>
      <c r="D201" s="2" t="n">
        <v>45850.0</v>
      </c>
      <c r="E201" s="2" t="n">
        <v>45880.0</v>
      </c>
      <c r="F201" t="n">
        <v>31.0</v>
      </c>
      <c r="G201" s="2" t="n">
        <v>45700.0</v>
      </c>
      <c r="H201"/>
      <c r="I201" s="3" t="n">
        <v>810.0</v>
      </c>
      <c r="J201" t="n">
        <v>12.0</v>
      </c>
      <c r="K201" t="n">
        <v>31.0</v>
      </c>
      <c r="L201" s="3" t="n">
        <f>IF(F201 &lt; 28, ROUND(F201 / DAY(EOMONTH(D201, 0)) * I201, 2), I201)</f>
        <v>0.0</v>
      </c>
      <c r="M201" s="3" t="n">
        <f>L201 * 0.10</f>
        <v>0.0</v>
      </c>
      <c r="N201" s="3" t="n">
        <f>L201 * 0.05</f>
        <v>0.0</v>
      </c>
      <c r="O201" s="3" t="n">
        <f>M201 + N201</f>
        <v>0.0</v>
      </c>
      <c r="P201" s="3" t="n">
        <f>L201 - O201</f>
        <v>0.0</v>
      </c>
    </row>
    <row r="202">
      <c r="A202" t="n">
        <v>28.0</v>
      </c>
      <c r="B202" t="inlineStr">
        <is>
          <t>LEASE-BH-F24-2025</t>
        </is>
      </c>
      <c r="C202" t="inlineStr">
        <is>
          <t>Flat 24 - 3 West Gate</t>
        </is>
      </c>
      <c r="D202" s="2" t="n">
        <v>45881.0</v>
      </c>
      <c r="E202" s="2" t="n">
        <v>45911.0</v>
      </c>
      <c r="F202" t="n">
        <v>31.0</v>
      </c>
      <c r="G202" s="2" t="n">
        <v>45700.0</v>
      </c>
      <c r="H202"/>
      <c r="I202" s="3" t="n">
        <v>810.0</v>
      </c>
      <c r="J202" t="n">
        <v>12.0</v>
      </c>
      <c r="K202" t="n">
        <v>31.0</v>
      </c>
      <c r="L202" s="3" t="n">
        <f>IF(F202 &lt; 28, ROUND(F202 / DAY(EOMONTH(D202, 0)) * I202, 2), I202)</f>
        <v>0.0</v>
      </c>
      <c r="M202" s="3" t="n">
        <f>L202 * 0.10</f>
        <v>0.0</v>
      </c>
      <c r="N202" s="3" t="n">
        <f>L202 * 0.05</f>
        <v>0.0</v>
      </c>
      <c r="O202" s="3" t="n">
        <f>M202 + N202</f>
        <v>0.0</v>
      </c>
      <c r="P202" s="3" t="n">
        <f>L202 - O202</f>
        <v>0.0</v>
      </c>
    </row>
    <row r="203">
      <c r="A203" t="n">
        <v>28.0</v>
      </c>
      <c r="B203" t="inlineStr">
        <is>
          <t>LEASE-BH-F24-2025</t>
        </is>
      </c>
      <c r="C203" t="inlineStr">
        <is>
          <t>Flat 24 - 3 West Gate</t>
        </is>
      </c>
      <c r="D203" s="2" t="n">
        <v>45912.0</v>
      </c>
      <c r="E203" s="2" t="n">
        <v>45941.0</v>
      </c>
      <c r="F203" t="n">
        <v>30.0</v>
      </c>
      <c r="G203" s="2" t="n">
        <v>45700.0</v>
      </c>
      <c r="H203"/>
      <c r="I203" s="3" t="n">
        <v>810.0</v>
      </c>
      <c r="J203" t="n">
        <v>12.0</v>
      </c>
      <c r="K203" t="n">
        <v>30.0</v>
      </c>
      <c r="L203" s="3" t="n">
        <f>IF(F203 &lt; 28, ROUND(F203 / DAY(EOMONTH(D203, 0)) * I203, 2), I203)</f>
        <v>0.0</v>
      </c>
      <c r="M203" s="3" t="n">
        <f>L203 * 0.10</f>
        <v>0.0</v>
      </c>
      <c r="N203" s="3" t="n">
        <f>L203 * 0.05</f>
        <v>0.0</v>
      </c>
      <c r="O203" s="3" t="n">
        <f>M203 + N203</f>
        <v>0.0</v>
      </c>
      <c r="P203" s="3" t="n">
        <f>L203 - O203</f>
        <v>0.0</v>
      </c>
    </row>
    <row r="204">
      <c r="A204" t="n">
        <v>28.0</v>
      </c>
      <c r="B204" t="inlineStr">
        <is>
          <t>LEASE-BH-F24-2025</t>
        </is>
      </c>
      <c r="C204" t="inlineStr">
        <is>
          <t>Flat 24 - 3 West Gate</t>
        </is>
      </c>
      <c r="D204" s="2" t="n">
        <v>45942.0</v>
      </c>
      <c r="E204" s="2" t="n">
        <v>45972.0</v>
      </c>
      <c r="F204" t="n">
        <v>31.0</v>
      </c>
      <c r="G204" s="2" t="n">
        <v>45700.0</v>
      </c>
      <c r="H204"/>
      <c r="I204" s="3" t="n">
        <v>810.0</v>
      </c>
      <c r="J204" t="n">
        <v>12.0</v>
      </c>
      <c r="K204" t="n">
        <v>31.0</v>
      </c>
      <c r="L204" s="3" t="n">
        <f>IF(F204 &lt; 28, ROUND(F204 / DAY(EOMONTH(D204, 0)) * I204, 2), I204)</f>
        <v>0.0</v>
      </c>
      <c r="M204" s="3" t="n">
        <f>L204 * 0.10</f>
        <v>0.0</v>
      </c>
      <c r="N204" s="3" t="n">
        <f>L204 * 0.05</f>
        <v>0.0</v>
      </c>
      <c r="O204" s="3" t="n">
        <f>M204 + N204</f>
        <v>0.0</v>
      </c>
      <c r="P204" s="3" t="n">
        <f>L204 - O204</f>
        <v>0.0</v>
      </c>
    </row>
    <row r="205">
      <c r="A205" t="n">
        <v>28.0</v>
      </c>
      <c r="B205" t="inlineStr">
        <is>
          <t>LEASE-BH-F24-2025</t>
        </is>
      </c>
      <c r="C205" t="inlineStr">
        <is>
          <t>Flat 24 - 3 West Gate</t>
        </is>
      </c>
      <c r="D205" s="2" t="n">
        <v>45973.0</v>
      </c>
      <c r="E205" s="2" t="n">
        <v>46002.0</v>
      </c>
      <c r="F205" t="n">
        <v>30.0</v>
      </c>
      <c r="G205" s="2" t="n">
        <v>45700.0</v>
      </c>
      <c r="H205"/>
      <c r="I205" s="3" t="n">
        <v>810.0</v>
      </c>
      <c r="J205" t="n">
        <v>12.0</v>
      </c>
      <c r="K205" t="n">
        <v>30.0</v>
      </c>
      <c r="L205" s="3" t="n">
        <f>IF(F205 &lt; 28, ROUND(F205 / DAY(EOMONTH(D205, 0)) * I205, 2), I205)</f>
        <v>0.0</v>
      </c>
      <c r="M205" s="3" t="n">
        <f>L205 * 0.10</f>
        <v>0.0</v>
      </c>
      <c r="N205" s="3" t="n">
        <f>L205 * 0.05</f>
        <v>0.0</v>
      </c>
      <c r="O205" s="3" t="n">
        <f>M205 + N205</f>
        <v>0.0</v>
      </c>
      <c r="P205" s="3" t="n">
        <f>L205 - O205</f>
        <v>0.0</v>
      </c>
    </row>
    <row r="206">
      <c r="A206" t="n">
        <v>29.0</v>
      </c>
      <c r="B206" t="inlineStr">
        <is>
          <t>LEASE-BH-F26-2025</t>
        </is>
      </c>
      <c r="C206" t="inlineStr">
        <is>
          <t>Flat 26 - 3 West Gate</t>
        </is>
      </c>
      <c r="D206" s="2" t="n">
        <v>45730.0</v>
      </c>
      <c r="E206" s="2" t="n">
        <v>45760.0</v>
      </c>
      <c r="F206" t="n">
        <v>31.0</v>
      </c>
      <c r="G206" s="2" t="n">
        <v>45730.0</v>
      </c>
      <c r="H206"/>
      <c r="I206" s="3" t="n">
        <v>675.0</v>
      </c>
      <c r="J206" t="n">
        <v>14.0</v>
      </c>
      <c r="K206" t="n">
        <v>31.0</v>
      </c>
      <c r="L206" s="3" t="n">
        <f>IF(F206 &lt; 28, ROUND(F206 / DAY(EOMONTH(D206, 0)) * I206, 2), I206)</f>
        <v>0.0</v>
      </c>
      <c r="M206" s="3" t="n">
        <f>L206 * 0.10</f>
        <v>0.0</v>
      </c>
      <c r="N206" s="3" t="n">
        <f>L206 * 0.05</f>
        <v>0.0</v>
      </c>
      <c r="O206" s="3" t="n">
        <f>M206 + N206</f>
        <v>0.0</v>
      </c>
      <c r="P206" s="3" t="n">
        <f>L206 - O206</f>
        <v>0.0</v>
      </c>
    </row>
    <row r="207">
      <c r="A207" t="n">
        <v>29.0</v>
      </c>
      <c r="B207" t="inlineStr">
        <is>
          <t>LEASE-BH-F26-2025</t>
        </is>
      </c>
      <c r="C207" t="inlineStr">
        <is>
          <t>Flat 26 - 3 West Gate</t>
        </is>
      </c>
      <c r="D207" s="2" t="n">
        <v>45761.0</v>
      </c>
      <c r="E207" s="2" t="n">
        <v>45790.0</v>
      </c>
      <c r="F207" t="n">
        <v>30.0</v>
      </c>
      <c r="G207" s="2" t="n">
        <v>45730.0</v>
      </c>
      <c r="H207"/>
      <c r="I207" s="3" t="n">
        <v>675.0</v>
      </c>
      <c r="J207" t="n">
        <v>14.0</v>
      </c>
      <c r="K207" t="n">
        <v>30.0</v>
      </c>
      <c r="L207" s="3" t="n">
        <f>IF(F207 &lt; 28, ROUND(F207 / DAY(EOMONTH(D207, 0)) * I207, 2), I207)</f>
        <v>0.0</v>
      </c>
      <c r="M207" s="3" t="n">
        <f>L207 * 0.10</f>
        <v>0.0</v>
      </c>
      <c r="N207" s="3" t="n">
        <f>L207 * 0.05</f>
        <v>0.0</v>
      </c>
      <c r="O207" s="3" t="n">
        <f>M207 + N207</f>
        <v>0.0</v>
      </c>
      <c r="P207" s="3" t="n">
        <f>L207 - O207</f>
        <v>0.0</v>
      </c>
    </row>
    <row r="208">
      <c r="A208" t="n">
        <v>29.0</v>
      </c>
      <c r="B208" t="inlineStr">
        <is>
          <t>LEASE-BH-F26-2025</t>
        </is>
      </c>
      <c r="C208" t="inlineStr">
        <is>
          <t>Flat 26 - 3 West Gate</t>
        </is>
      </c>
      <c r="D208" s="2" t="n">
        <v>45791.0</v>
      </c>
      <c r="E208" s="2" t="n">
        <v>45821.0</v>
      </c>
      <c r="F208" t="n">
        <v>31.0</v>
      </c>
      <c r="G208" s="2" t="n">
        <v>45730.0</v>
      </c>
      <c r="H208"/>
      <c r="I208" s="3" t="n">
        <v>675.0</v>
      </c>
      <c r="J208" t="n">
        <v>14.0</v>
      </c>
      <c r="K208" t="n">
        <v>31.0</v>
      </c>
      <c r="L208" s="3" t="n">
        <f>IF(F208 &lt; 28, ROUND(F208 / DAY(EOMONTH(D208, 0)) * I208, 2), I208)</f>
        <v>0.0</v>
      </c>
      <c r="M208" s="3" t="n">
        <f>L208 * 0.10</f>
        <v>0.0</v>
      </c>
      <c r="N208" s="3" t="n">
        <f>L208 * 0.05</f>
        <v>0.0</v>
      </c>
      <c r="O208" s="3" t="n">
        <f>M208 + N208</f>
        <v>0.0</v>
      </c>
      <c r="P208" s="3" t="n">
        <f>L208 - O208</f>
        <v>0.0</v>
      </c>
    </row>
    <row r="209">
      <c r="A209" t="n">
        <v>29.0</v>
      </c>
      <c r="B209" t="inlineStr">
        <is>
          <t>LEASE-BH-F26-2025</t>
        </is>
      </c>
      <c r="C209" t="inlineStr">
        <is>
          <t>Flat 26 - 3 West Gate</t>
        </is>
      </c>
      <c r="D209" s="2" t="n">
        <v>45822.0</v>
      </c>
      <c r="E209" s="2" t="n">
        <v>45851.0</v>
      </c>
      <c r="F209" t="n">
        <v>30.0</v>
      </c>
      <c r="G209" s="2" t="n">
        <v>45730.0</v>
      </c>
      <c r="H209"/>
      <c r="I209" s="3" t="n">
        <v>675.0</v>
      </c>
      <c r="J209" t="n">
        <v>14.0</v>
      </c>
      <c r="K209" t="n">
        <v>30.0</v>
      </c>
      <c r="L209" s="3" t="n">
        <f>IF(F209 &lt; 28, ROUND(F209 / DAY(EOMONTH(D209, 0)) * I209, 2), I209)</f>
        <v>0.0</v>
      </c>
      <c r="M209" s="3" t="n">
        <f>L209 * 0.10</f>
        <v>0.0</v>
      </c>
      <c r="N209" s="3" t="n">
        <f>L209 * 0.05</f>
        <v>0.0</v>
      </c>
      <c r="O209" s="3" t="n">
        <f>M209 + N209</f>
        <v>0.0</v>
      </c>
      <c r="P209" s="3" t="n">
        <f>L209 - O209</f>
        <v>0.0</v>
      </c>
    </row>
    <row r="210">
      <c r="A210" t="n">
        <v>29.0</v>
      </c>
      <c r="B210" t="inlineStr">
        <is>
          <t>LEASE-BH-F26-2025</t>
        </is>
      </c>
      <c r="C210" t="inlineStr">
        <is>
          <t>Flat 26 - 3 West Gate</t>
        </is>
      </c>
      <c r="D210" s="2" t="n">
        <v>45852.0</v>
      </c>
      <c r="E210" s="2" t="n">
        <v>45882.0</v>
      </c>
      <c r="F210" t="n">
        <v>31.0</v>
      </c>
      <c r="G210" s="2" t="n">
        <v>45730.0</v>
      </c>
      <c r="H210"/>
      <c r="I210" s="3" t="n">
        <v>675.0</v>
      </c>
      <c r="J210" t="n">
        <v>14.0</v>
      </c>
      <c r="K210" t="n">
        <v>31.0</v>
      </c>
      <c r="L210" s="3" t="n">
        <f>IF(F210 &lt; 28, ROUND(F210 / DAY(EOMONTH(D210, 0)) * I210, 2), I210)</f>
        <v>0.0</v>
      </c>
      <c r="M210" s="3" t="n">
        <f>L210 * 0.10</f>
        <v>0.0</v>
      </c>
      <c r="N210" s="3" t="n">
        <f>L210 * 0.05</f>
        <v>0.0</v>
      </c>
      <c r="O210" s="3" t="n">
        <f>M210 + N210</f>
        <v>0.0</v>
      </c>
      <c r="P210" s="3" t="n">
        <f>L210 - O210</f>
        <v>0.0</v>
      </c>
    </row>
    <row r="211">
      <c r="A211" t="n">
        <v>29.0</v>
      </c>
      <c r="B211" t="inlineStr">
        <is>
          <t>LEASE-BH-F26-2025</t>
        </is>
      </c>
      <c r="C211" t="inlineStr">
        <is>
          <t>Flat 26 - 3 West Gate</t>
        </is>
      </c>
      <c r="D211" s="2" t="n">
        <v>45883.0</v>
      </c>
      <c r="E211" s="2" t="n">
        <v>45913.0</v>
      </c>
      <c r="F211" t="n">
        <v>31.0</v>
      </c>
      <c r="G211" s="2" t="n">
        <v>45730.0</v>
      </c>
      <c r="H211"/>
      <c r="I211" s="3" t="n">
        <v>675.0</v>
      </c>
      <c r="J211" t="n">
        <v>14.0</v>
      </c>
      <c r="K211" t="n">
        <v>31.0</v>
      </c>
      <c r="L211" s="3" t="n">
        <f>IF(F211 &lt; 28, ROUND(F211 / DAY(EOMONTH(D211, 0)) * I211, 2), I211)</f>
        <v>0.0</v>
      </c>
      <c r="M211" s="3" t="n">
        <f>L211 * 0.10</f>
        <v>0.0</v>
      </c>
      <c r="N211" s="3" t="n">
        <f>L211 * 0.05</f>
        <v>0.0</v>
      </c>
      <c r="O211" s="3" t="n">
        <f>M211 + N211</f>
        <v>0.0</v>
      </c>
      <c r="P211" s="3" t="n">
        <f>L211 - O211</f>
        <v>0.0</v>
      </c>
    </row>
    <row r="212">
      <c r="A212" t="n">
        <v>29.0</v>
      </c>
      <c r="B212" t="inlineStr">
        <is>
          <t>LEASE-BH-F26-2025</t>
        </is>
      </c>
      <c r="C212" t="inlineStr">
        <is>
          <t>Flat 26 - 3 West Gate</t>
        </is>
      </c>
      <c r="D212" s="2" t="n">
        <v>45914.0</v>
      </c>
      <c r="E212" s="2" t="n">
        <v>45943.0</v>
      </c>
      <c r="F212" t="n">
        <v>30.0</v>
      </c>
      <c r="G212" s="2" t="n">
        <v>45730.0</v>
      </c>
      <c r="H212"/>
      <c r="I212" s="3" t="n">
        <v>675.0</v>
      </c>
      <c r="J212" t="n">
        <v>14.0</v>
      </c>
      <c r="K212" t="n">
        <v>30.0</v>
      </c>
      <c r="L212" s="3" t="n">
        <f>IF(F212 &lt; 28, ROUND(F212 / DAY(EOMONTH(D212, 0)) * I212, 2), I212)</f>
        <v>0.0</v>
      </c>
      <c r="M212" s="3" t="n">
        <f>L212 * 0.10</f>
        <v>0.0</v>
      </c>
      <c r="N212" s="3" t="n">
        <f>L212 * 0.05</f>
        <v>0.0</v>
      </c>
      <c r="O212" s="3" t="n">
        <f>M212 + N212</f>
        <v>0.0</v>
      </c>
      <c r="P212" s="3" t="n">
        <f>L212 - O212</f>
        <v>0.0</v>
      </c>
    </row>
    <row r="213">
      <c r="A213" t="n">
        <v>29.0</v>
      </c>
      <c r="B213" t="inlineStr">
        <is>
          <t>LEASE-BH-F26-2025</t>
        </is>
      </c>
      <c r="C213" t="inlineStr">
        <is>
          <t>Flat 26 - 3 West Gate</t>
        </is>
      </c>
      <c r="D213" s="2" t="n">
        <v>45944.0</v>
      </c>
      <c r="E213" s="2" t="n">
        <v>45974.0</v>
      </c>
      <c r="F213" t="n">
        <v>31.0</v>
      </c>
      <c r="G213" s="2" t="n">
        <v>45730.0</v>
      </c>
      <c r="H213"/>
      <c r="I213" s="3" t="n">
        <v>675.0</v>
      </c>
      <c r="J213" t="n">
        <v>14.0</v>
      </c>
      <c r="K213" t="n">
        <v>31.0</v>
      </c>
      <c r="L213" s="3" t="n">
        <f>IF(F213 &lt; 28, ROUND(F213 / DAY(EOMONTH(D213, 0)) * I213, 2), I213)</f>
        <v>0.0</v>
      </c>
      <c r="M213" s="3" t="n">
        <f>L213 * 0.10</f>
        <v>0.0</v>
      </c>
      <c r="N213" s="3" t="n">
        <f>L213 * 0.05</f>
        <v>0.0</v>
      </c>
      <c r="O213" s="3" t="n">
        <f>M213 + N213</f>
        <v>0.0</v>
      </c>
      <c r="P213" s="3" t="n">
        <f>L213 - O213</f>
        <v>0.0</v>
      </c>
    </row>
    <row r="214">
      <c r="A214" t="n">
        <v>29.0</v>
      </c>
      <c r="B214" t="inlineStr">
        <is>
          <t>LEASE-BH-F26-2025</t>
        </is>
      </c>
      <c r="C214" t="inlineStr">
        <is>
          <t>Flat 26 - 3 West Gate</t>
        </is>
      </c>
      <c r="D214" s="2" t="n">
        <v>45975.0</v>
      </c>
      <c r="E214" s="2" t="n">
        <v>46004.0</v>
      </c>
      <c r="F214" t="n">
        <v>30.0</v>
      </c>
      <c r="G214" s="2" t="n">
        <v>45730.0</v>
      </c>
      <c r="H214"/>
      <c r="I214" s="3" t="n">
        <v>675.0</v>
      </c>
      <c r="J214" t="n">
        <v>14.0</v>
      </c>
      <c r="K214" t="n">
        <v>30.0</v>
      </c>
      <c r="L214" s="3" t="n">
        <f>IF(F214 &lt; 28, ROUND(F214 / DAY(EOMONTH(D214, 0)) * I214, 2), I214)</f>
        <v>0.0</v>
      </c>
      <c r="M214" s="3" t="n">
        <f>L214 * 0.10</f>
        <v>0.0</v>
      </c>
      <c r="N214" s="3" t="n">
        <f>L214 * 0.05</f>
        <v>0.0</v>
      </c>
      <c r="O214" s="3" t="n">
        <f>M214 + N214</f>
        <v>0.0</v>
      </c>
      <c r="P214" s="3" t="n">
        <f>L214 - O214</f>
        <v>0.0</v>
      </c>
    </row>
    <row r="215">
      <c r="A215" t="n">
        <v>30.0</v>
      </c>
      <c r="B215" t="inlineStr">
        <is>
          <t>LEASE-BH-F27-2025</t>
        </is>
      </c>
      <c r="C215" t="inlineStr">
        <is>
          <t>Flat 27 - 3 West Gate</t>
        </is>
      </c>
      <c r="D215" s="2" t="n">
        <v>45716.0</v>
      </c>
      <c r="E215" s="2" t="n">
        <v>45743.0</v>
      </c>
      <c r="F215" t="n">
        <v>28.0</v>
      </c>
      <c r="G215" s="2" t="n">
        <v>45716.0</v>
      </c>
      <c r="H215"/>
      <c r="I215" s="3" t="n">
        <v>700.0</v>
      </c>
      <c r="J215" t="n">
        <v>28.0</v>
      </c>
      <c r="K215" t="n">
        <v>28.0</v>
      </c>
      <c r="L215" s="3" t="n">
        <f>IF(F215 &lt; 28, ROUND(F215 / DAY(EOMONTH(D215, 0)) * I215, 2), I215)</f>
        <v>0.0</v>
      </c>
      <c r="M215" s="3" t="n">
        <f>L215 * 0.10</f>
        <v>0.0</v>
      </c>
      <c r="N215" s="3" t="n">
        <f>L215 * 0.05</f>
        <v>0.0</v>
      </c>
      <c r="O215" s="3" t="n">
        <f>M215 + N215</f>
        <v>0.0</v>
      </c>
      <c r="P215" s="3" t="n">
        <f>L215 - O215</f>
        <v>0.0</v>
      </c>
    </row>
    <row r="216">
      <c r="A216" t="n">
        <v>30.0</v>
      </c>
      <c r="B216" t="inlineStr">
        <is>
          <t>LEASE-BH-F27-2025</t>
        </is>
      </c>
      <c r="C216" t="inlineStr">
        <is>
          <t>Flat 27 - 3 West Gate</t>
        </is>
      </c>
      <c r="D216" s="2" t="n">
        <v>45744.0</v>
      </c>
      <c r="E216" s="2" t="n">
        <v>45774.0</v>
      </c>
      <c r="F216" t="n">
        <v>31.0</v>
      </c>
      <c r="G216" s="2" t="n">
        <v>45716.0</v>
      </c>
      <c r="H216"/>
      <c r="I216" s="3" t="n">
        <v>700.0</v>
      </c>
      <c r="J216" t="n">
        <v>28.0</v>
      </c>
      <c r="K216" t="n">
        <v>31.0</v>
      </c>
      <c r="L216" s="3" t="n">
        <f>IF(F216 &lt; 28, ROUND(F216 / DAY(EOMONTH(D216, 0)) * I216, 2), I216)</f>
        <v>0.0</v>
      </c>
      <c r="M216" s="3" t="n">
        <f>L216 * 0.10</f>
        <v>0.0</v>
      </c>
      <c r="N216" s="3" t="n">
        <f>L216 * 0.05</f>
        <v>0.0</v>
      </c>
      <c r="O216" s="3" t="n">
        <f>M216 + N216</f>
        <v>0.0</v>
      </c>
      <c r="P216" s="3" t="n">
        <f>L216 - O216</f>
        <v>0.0</v>
      </c>
    </row>
    <row r="217">
      <c r="A217" t="n">
        <v>30.0</v>
      </c>
      <c r="B217" t="inlineStr">
        <is>
          <t>LEASE-BH-F27-2025</t>
        </is>
      </c>
      <c r="C217" t="inlineStr">
        <is>
          <t>Flat 27 - 3 West Gate</t>
        </is>
      </c>
      <c r="D217" s="2" t="n">
        <v>45775.0</v>
      </c>
      <c r="E217" s="2" t="n">
        <v>45804.0</v>
      </c>
      <c r="F217" t="n">
        <v>30.0</v>
      </c>
      <c r="G217" s="2" t="n">
        <v>45716.0</v>
      </c>
      <c r="H217"/>
      <c r="I217" s="3" t="n">
        <v>700.0</v>
      </c>
      <c r="J217" t="n">
        <v>28.0</v>
      </c>
      <c r="K217" t="n">
        <v>30.0</v>
      </c>
      <c r="L217" s="3" t="n">
        <f>IF(F217 &lt; 28, ROUND(F217 / DAY(EOMONTH(D217, 0)) * I217, 2), I217)</f>
        <v>0.0</v>
      </c>
      <c r="M217" s="3" t="n">
        <f>L217 * 0.10</f>
        <v>0.0</v>
      </c>
      <c r="N217" s="3" t="n">
        <f>L217 * 0.05</f>
        <v>0.0</v>
      </c>
      <c r="O217" s="3" t="n">
        <f>M217 + N217</f>
        <v>0.0</v>
      </c>
      <c r="P217" s="3" t="n">
        <f>L217 - O217</f>
        <v>0.0</v>
      </c>
    </row>
    <row r="218">
      <c r="A218" t="n">
        <v>30.0</v>
      </c>
      <c r="B218" t="inlineStr">
        <is>
          <t>LEASE-BH-F27-2025</t>
        </is>
      </c>
      <c r="C218" t="inlineStr">
        <is>
          <t>Flat 27 - 3 West Gate</t>
        </is>
      </c>
      <c r="D218" s="2" t="n">
        <v>45805.0</v>
      </c>
      <c r="E218" s="2" t="n">
        <v>45835.0</v>
      </c>
      <c r="F218" t="n">
        <v>31.0</v>
      </c>
      <c r="G218" s="2" t="n">
        <v>45716.0</v>
      </c>
      <c r="H218"/>
      <c r="I218" s="3" t="n">
        <v>700.0</v>
      </c>
      <c r="J218" t="n">
        <v>28.0</v>
      </c>
      <c r="K218" t="n">
        <v>31.0</v>
      </c>
      <c r="L218" s="3" t="n">
        <f>IF(F218 &lt; 28, ROUND(F218 / DAY(EOMONTH(D218, 0)) * I218, 2), I218)</f>
        <v>0.0</v>
      </c>
      <c r="M218" s="3" t="n">
        <f>L218 * 0.10</f>
        <v>0.0</v>
      </c>
      <c r="N218" s="3" t="n">
        <f>L218 * 0.05</f>
        <v>0.0</v>
      </c>
      <c r="O218" s="3" t="n">
        <f>M218 + N218</f>
        <v>0.0</v>
      </c>
      <c r="P218" s="3" t="n">
        <f>L218 - O218</f>
        <v>0.0</v>
      </c>
    </row>
    <row r="219">
      <c r="A219" t="n">
        <v>30.0</v>
      </c>
      <c r="B219" t="inlineStr">
        <is>
          <t>LEASE-BH-F27-2025</t>
        </is>
      </c>
      <c r="C219" t="inlineStr">
        <is>
          <t>Flat 27 - 3 West Gate</t>
        </is>
      </c>
      <c r="D219" s="2" t="n">
        <v>45836.0</v>
      </c>
      <c r="E219" s="2" t="n">
        <v>45865.0</v>
      </c>
      <c r="F219" t="n">
        <v>30.0</v>
      </c>
      <c r="G219" s="2" t="n">
        <v>45716.0</v>
      </c>
      <c r="H219"/>
      <c r="I219" s="3" t="n">
        <v>700.0</v>
      </c>
      <c r="J219" t="n">
        <v>28.0</v>
      </c>
      <c r="K219" t="n">
        <v>30.0</v>
      </c>
      <c r="L219" s="3" t="n">
        <f>IF(F219 &lt; 28, ROUND(F219 / DAY(EOMONTH(D219, 0)) * I219, 2), I219)</f>
        <v>0.0</v>
      </c>
      <c r="M219" s="3" t="n">
        <f>L219 * 0.10</f>
        <v>0.0</v>
      </c>
      <c r="N219" s="3" t="n">
        <f>L219 * 0.05</f>
        <v>0.0</v>
      </c>
      <c r="O219" s="3" t="n">
        <f>M219 + N219</f>
        <v>0.0</v>
      </c>
      <c r="P219" s="3" t="n">
        <f>L219 - O219</f>
        <v>0.0</v>
      </c>
    </row>
    <row r="220">
      <c r="A220" t="n">
        <v>30.0</v>
      </c>
      <c r="B220" t="inlineStr">
        <is>
          <t>LEASE-BH-F27-2025</t>
        </is>
      </c>
      <c r="C220" t="inlineStr">
        <is>
          <t>Flat 27 - 3 West Gate</t>
        </is>
      </c>
      <c r="D220" s="2" t="n">
        <v>45866.0</v>
      </c>
      <c r="E220" s="2" t="n">
        <v>45896.0</v>
      </c>
      <c r="F220" t="n">
        <v>31.0</v>
      </c>
      <c r="G220" s="2" t="n">
        <v>45716.0</v>
      </c>
      <c r="H220"/>
      <c r="I220" s="3" t="n">
        <v>700.0</v>
      </c>
      <c r="J220" t="n">
        <v>28.0</v>
      </c>
      <c r="K220" t="n">
        <v>31.0</v>
      </c>
      <c r="L220" s="3" t="n">
        <f>IF(F220 &lt; 28, ROUND(F220 / DAY(EOMONTH(D220, 0)) * I220, 2), I220)</f>
        <v>0.0</v>
      </c>
      <c r="M220" s="3" t="n">
        <f>L220 * 0.10</f>
        <v>0.0</v>
      </c>
      <c r="N220" s="3" t="n">
        <f>L220 * 0.05</f>
        <v>0.0</v>
      </c>
      <c r="O220" s="3" t="n">
        <f>M220 + N220</f>
        <v>0.0</v>
      </c>
      <c r="P220" s="3" t="n">
        <f>L220 - O220</f>
        <v>0.0</v>
      </c>
    </row>
    <row r="221">
      <c r="A221" t="n">
        <v>30.0</v>
      </c>
      <c r="B221" t="inlineStr">
        <is>
          <t>LEASE-BH-F27-2025</t>
        </is>
      </c>
      <c r="C221" t="inlineStr">
        <is>
          <t>Flat 27 - 3 West Gate</t>
        </is>
      </c>
      <c r="D221" s="2" t="n">
        <v>45897.0</v>
      </c>
      <c r="E221" s="2" t="n">
        <v>45927.0</v>
      </c>
      <c r="F221" t="n">
        <v>31.0</v>
      </c>
      <c r="G221" s="2" t="n">
        <v>45716.0</v>
      </c>
      <c r="H221"/>
      <c r="I221" s="3" t="n">
        <v>700.0</v>
      </c>
      <c r="J221" t="n">
        <v>28.0</v>
      </c>
      <c r="K221" t="n">
        <v>31.0</v>
      </c>
      <c r="L221" s="3" t="n">
        <f>IF(F221 &lt; 28, ROUND(F221 / DAY(EOMONTH(D221, 0)) * I221, 2), I221)</f>
        <v>0.0</v>
      </c>
      <c r="M221" s="3" t="n">
        <f>L221 * 0.10</f>
        <v>0.0</v>
      </c>
      <c r="N221" s="3" t="n">
        <f>L221 * 0.05</f>
        <v>0.0</v>
      </c>
      <c r="O221" s="3" t="n">
        <f>M221 + N221</f>
        <v>0.0</v>
      </c>
      <c r="P221" s="3" t="n">
        <f>L221 - O221</f>
        <v>0.0</v>
      </c>
    </row>
    <row r="222">
      <c r="A222" t="n">
        <v>30.0</v>
      </c>
      <c r="B222" t="inlineStr">
        <is>
          <t>LEASE-BH-F27-2025</t>
        </is>
      </c>
      <c r="C222" t="inlineStr">
        <is>
          <t>Flat 27 - 3 West Gate</t>
        </is>
      </c>
      <c r="D222" s="2" t="n">
        <v>45928.0</v>
      </c>
      <c r="E222" s="2" t="n">
        <v>45957.0</v>
      </c>
      <c r="F222" t="n">
        <v>30.0</v>
      </c>
      <c r="G222" s="2" t="n">
        <v>45716.0</v>
      </c>
      <c r="H222"/>
      <c r="I222" s="3" t="n">
        <v>700.0</v>
      </c>
      <c r="J222" t="n">
        <v>28.0</v>
      </c>
      <c r="K222" t="n">
        <v>30.0</v>
      </c>
      <c r="L222" s="3" t="n">
        <f>IF(F222 &lt; 28, ROUND(F222 / DAY(EOMONTH(D222, 0)) * I222, 2), I222)</f>
        <v>0.0</v>
      </c>
      <c r="M222" s="3" t="n">
        <f>L222 * 0.10</f>
        <v>0.0</v>
      </c>
      <c r="N222" s="3" t="n">
        <f>L222 * 0.05</f>
        <v>0.0</v>
      </c>
      <c r="O222" s="3" t="n">
        <f>M222 + N222</f>
        <v>0.0</v>
      </c>
      <c r="P222" s="3" t="n">
        <f>L222 - O222</f>
        <v>0.0</v>
      </c>
    </row>
    <row r="223">
      <c r="A223" t="n">
        <v>30.0</v>
      </c>
      <c r="B223" t="inlineStr">
        <is>
          <t>LEASE-BH-F27-2025</t>
        </is>
      </c>
      <c r="C223" t="inlineStr">
        <is>
          <t>Flat 27 - 3 West Gate</t>
        </is>
      </c>
      <c r="D223" s="2" t="n">
        <v>45958.0</v>
      </c>
      <c r="E223" s="2" t="n">
        <v>45988.0</v>
      </c>
      <c r="F223" t="n">
        <v>31.0</v>
      </c>
      <c r="G223" s="2" t="n">
        <v>45716.0</v>
      </c>
      <c r="H223"/>
      <c r="I223" s="3" t="n">
        <v>700.0</v>
      </c>
      <c r="J223" t="n">
        <v>28.0</v>
      </c>
      <c r="K223" t="n">
        <v>31.0</v>
      </c>
      <c r="L223" s="3" t="n">
        <f>IF(F223 &lt; 28, ROUND(F223 / DAY(EOMONTH(D223, 0)) * I223, 2), I223)</f>
        <v>0.0</v>
      </c>
      <c r="M223" s="3" t="n">
        <f>L223 * 0.10</f>
        <v>0.0</v>
      </c>
      <c r="N223" s="3" t="n">
        <f>L223 * 0.05</f>
        <v>0.0</v>
      </c>
      <c r="O223" s="3" t="n">
        <f>M223 + N223</f>
        <v>0.0</v>
      </c>
      <c r="P223" s="3" t="n">
        <f>L223 - O223</f>
        <v>0.0</v>
      </c>
    </row>
    <row r="224">
      <c r="A224" t="n">
        <v>31.0</v>
      </c>
      <c r="B224" t="inlineStr">
        <is>
          <t>LEASE-BH-F28-2025</t>
        </is>
      </c>
      <c r="C224" t="inlineStr">
        <is>
          <t>Flat 28 - 3 West Gate</t>
        </is>
      </c>
      <c r="D224" s="2" t="n">
        <v>45744.0</v>
      </c>
      <c r="E224" s="2" t="n">
        <v>45774.0</v>
      </c>
      <c r="F224" t="n">
        <v>31.0</v>
      </c>
      <c r="G224" s="2" t="n">
        <v>45744.0</v>
      </c>
      <c r="H224" s="2" t="n">
        <v>45927.0</v>
      </c>
      <c r="I224" s="3" t="n">
        <v>740.0</v>
      </c>
      <c r="J224" t="n">
        <v>28.0</v>
      </c>
      <c r="K224" t="n">
        <v>31.0</v>
      </c>
      <c r="L224" s="3" t="n">
        <f>IF(F224 &lt; 28, ROUND(F224 / DAY(EOMONTH(D224, 0)) * I224, 2), I224)</f>
        <v>0.0</v>
      </c>
      <c r="M224" s="3" t="n">
        <f>L224 * 0.10</f>
        <v>0.0</v>
      </c>
      <c r="N224" s="3" t="n">
        <f>L224 * 0.05</f>
        <v>0.0</v>
      </c>
      <c r="O224" s="3" t="n">
        <f>M224 + N224</f>
        <v>0.0</v>
      </c>
      <c r="P224" s="3" t="n">
        <f>L224 - O224</f>
        <v>0.0</v>
      </c>
    </row>
    <row r="225">
      <c r="A225" t="n">
        <v>31.0</v>
      </c>
      <c r="B225" t="inlineStr">
        <is>
          <t>LEASE-BH-F28-2025</t>
        </is>
      </c>
      <c r="C225" t="inlineStr">
        <is>
          <t>Flat 28 - 3 West Gate</t>
        </is>
      </c>
      <c r="D225" s="2" t="n">
        <v>45775.0</v>
      </c>
      <c r="E225" s="2" t="n">
        <v>45804.0</v>
      </c>
      <c r="F225" t="n">
        <v>30.0</v>
      </c>
      <c r="G225" s="2" t="n">
        <v>45744.0</v>
      </c>
      <c r="H225" s="2" t="n">
        <v>45927.0</v>
      </c>
      <c r="I225" s="3" t="n">
        <v>740.0</v>
      </c>
      <c r="J225" t="n">
        <v>28.0</v>
      </c>
      <c r="K225" t="n">
        <v>30.0</v>
      </c>
      <c r="L225" s="3" t="n">
        <f>IF(F225 &lt; 28, ROUND(F225 / DAY(EOMONTH(D225, 0)) * I225, 2), I225)</f>
        <v>0.0</v>
      </c>
      <c r="M225" s="3" t="n">
        <f>L225 * 0.10</f>
        <v>0.0</v>
      </c>
      <c r="N225" s="3" t="n">
        <f>L225 * 0.05</f>
        <v>0.0</v>
      </c>
      <c r="O225" s="3" t="n">
        <f>M225 + N225</f>
        <v>0.0</v>
      </c>
      <c r="P225" s="3" t="n">
        <f>L225 - O225</f>
        <v>0.0</v>
      </c>
    </row>
    <row r="226">
      <c r="A226" t="n">
        <v>31.0</v>
      </c>
      <c r="B226" t="inlineStr">
        <is>
          <t>LEASE-BH-F28-2025</t>
        </is>
      </c>
      <c r="C226" t="inlineStr">
        <is>
          <t>Flat 28 - 3 West Gate</t>
        </is>
      </c>
      <c r="D226" s="2" t="n">
        <v>45805.0</v>
      </c>
      <c r="E226" s="2" t="n">
        <v>45835.0</v>
      </c>
      <c r="F226" t="n">
        <v>31.0</v>
      </c>
      <c r="G226" s="2" t="n">
        <v>45744.0</v>
      </c>
      <c r="H226" s="2" t="n">
        <v>45927.0</v>
      </c>
      <c r="I226" s="3" t="n">
        <v>740.0</v>
      </c>
      <c r="J226" t="n">
        <v>28.0</v>
      </c>
      <c r="K226" t="n">
        <v>31.0</v>
      </c>
      <c r="L226" s="3" t="n">
        <f>IF(F226 &lt; 28, ROUND(F226 / DAY(EOMONTH(D226, 0)) * I226, 2), I226)</f>
        <v>0.0</v>
      </c>
      <c r="M226" s="3" t="n">
        <f>L226 * 0.10</f>
        <v>0.0</v>
      </c>
      <c r="N226" s="3" t="n">
        <f>L226 * 0.05</f>
        <v>0.0</v>
      </c>
      <c r="O226" s="3" t="n">
        <f>M226 + N226</f>
        <v>0.0</v>
      </c>
      <c r="P226" s="3" t="n">
        <f>L226 - O226</f>
        <v>0.0</v>
      </c>
    </row>
    <row r="227">
      <c r="A227" t="n">
        <v>31.0</v>
      </c>
      <c r="B227" t="inlineStr">
        <is>
          <t>LEASE-BH-F28-2025</t>
        </is>
      </c>
      <c r="C227" t="inlineStr">
        <is>
          <t>Flat 28 - 3 West Gate</t>
        </is>
      </c>
      <c r="D227" s="2" t="n">
        <v>45836.0</v>
      </c>
      <c r="E227" s="2" t="n">
        <v>45865.0</v>
      </c>
      <c r="F227" t="n">
        <v>30.0</v>
      </c>
      <c r="G227" s="2" t="n">
        <v>45744.0</v>
      </c>
      <c r="H227" s="2" t="n">
        <v>45927.0</v>
      </c>
      <c r="I227" s="3" t="n">
        <v>740.0</v>
      </c>
      <c r="J227" t="n">
        <v>28.0</v>
      </c>
      <c r="K227" t="n">
        <v>30.0</v>
      </c>
      <c r="L227" s="3" t="n">
        <f>IF(F227 &lt; 28, ROUND(F227 / DAY(EOMONTH(D227, 0)) * I227, 2), I227)</f>
        <v>0.0</v>
      </c>
      <c r="M227" s="3" t="n">
        <f>L227 * 0.10</f>
        <v>0.0</v>
      </c>
      <c r="N227" s="3" t="n">
        <f>L227 * 0.05</f>
        <v>0.0</v>
      </c>
      <c r="O227" s="3" t="n">
        <f>M227 + N227</f>
        <v>0.0</v>
      </c>
      <c r="P227" s="3" t="n">
        <f>L227 - O227</f>
        <v>0.0</v>
      </c>
    </row>
    <row r="228">
      <c r="A228" t="n">
        <v>31.0</v>
      </c>
      <c r="B228" t="inlineStr">
        <is>
          <t>LEASE-BH-F28-2025</t>
        </is>
      </c>
      <c r="C228" t="inlineStr">
        <is>
          <t>Flat 28 - 3 West Gate</t>
        </is>
      </c>
      <c r="D228" s="2" t="n">
        <v>45866.0</v>
      </c>
      <c r="E228" s="2" t="n">
        <v>45896.0</v>
      </c>
      <c r="F228" t="n">
        <v>31.0</v>
      </c>
      <c r="G228" s="2" t="n">
        <v>45744.0</v>
      </c>
      <c r="H228" s="2" t="n">
        <v>45927.0</v>
      </c>
      <c r="I228" s="3" t="n">
        <v>740.0</v>
      </c>
      <c r="J228" t="n">
        <v>28.0</v>
      </c>
      <c r="K228" t="n">
        <v>31.0</v>
      </c>
      <c r="L228" s="3" t="n">
        <f>IF(F228 &lt; 28, ROUND(F228 / DAY(EOMONTH(D228, 0)) * I228, 2), I228)</f>
        <v>0.0</v>
      </c>
      <c r="M228" s="3" t="n">
        <f>L228 * 0.10</f>
        <v>0.0</v>
      </c>
      <c r="N228" s="3" t="n">
        <f>L228 * 0.05</f>
        <v>0.0</v>
      </c>
      <c r="O228" s="3" t="n">
        <f>M228 + N228</f>
        <v>0.0</v>
      </c>
      <c r="P228" s="3" t="n">
        <f>L228 - O228</f>
        <v>0.0</v>
      </c>
    </row>
    <row r="229">
      <c r="A229" t="n">
        <v>31.0</v>
      </c>
      <c r="B229" t="inlineStr">
        <is>
          <t>LEASE-BH-F28-2025</t>
        </is>
      </c>
      <c r="C229" t="inlineStr">
        <is>
          <t>Flat 28 - 3 West Gate</t>
        </is>
      </c>
      <c r="D229" s="2" t="n">
        <v>45897.0</v>
      </c>
      <c r="E229" s="2" t="n">
        <v>45927.0</v>
      </c>
      <c r="F229" t="n">
        <v>31.0</v>
      </c>
      <c r="G229" s="2" t="n">
        <v>45744.0</v>
      </c>
      <c r="H229" s="2" t="n">
        <v>45927.0</v>
      </c>
      <c r="I229" s="3" t="n">
        <v>740.0</v>
      </c>
      <c r="J229" t="n">
        <v>28.0</v>
      </c>
      <c r="K229" t="n">
        <v>31.0</v>
      </c>
      <c r="L229" s="3" t="n">
        <f>IF(F229 &lt; 28, ROUND(F229 / DAY(EOMONTH(D229, 0)) * I229, 2), I229)</f>
        <v>0.0</v>
      </c>
      <c r="M229" s="3" t="n">
        <f>L229 * 0.10</f>
        <v>0.0</v>
      </c>
      <c r="N229" s="3" t="n">
        <f>L229 * 0.05</f>
        <v>0.0</v>
      </c>
      <c r="O229" s="3" t="n">
        <f>M229 + N229</f>
        <v>0.0</v>
      </c>
      <c r="P229" s="3" t="n">
        <f>L229 - O229</f>
        <v>0.0</v>
      </c>
    </row>
    <row r="230">
      <c r="A230" t="n">
        <v>32.0</v>
      </c>
      <c r="B230" t="inlineStr">
        <is>
          <t>LEASE-BH-F29-2025</t>
        </is>
      </c>
      <c r="C230" t="inlineStr">
        <is>
          <t>Flat 29 - 3 West Gate</t>
        </is>
      </c>
      <c r="D230" s="2" t="n">
        <v>45715.0</v>
      </c>
      <c r="E230" s="2" t="n">
        <v>45742.0</v>
      </c>
      <c r="F230" t="n">
        <v>28.0</v>
      </c>
      <c r="G230" s="2" t="n">
        <v>45715.0</v>
      </c>
      <c r="H230"/>
      <c r="I230" s="3" t="n">
        <v>740.0</v>
      </c>
      <c r="J230" t="n">
        <v>27.0</v>
      </c>
      <c r="K230" t="n">
        <v>28.0</v>
      </c>
      <c r="L230" s="3" t="n">
        <f>IF(F230 &lt; 28, ROUND(F230 / DAY(EOMONTH(D230, 0)) * I230, 2), I230)</f>
        <v>0.0</v>
      </c>
      <c r="M230" s="3" t="n">
        <f>L230 * 0.10</f>
        <v>0.0</v>
      </c>
      <c r="N230" s="3" t="n">
        <f>L230 * 0.05</f>
        <v>0.0</v>
      </c>
      <c r="O230" s="3" t="n">
        <f>M230 + N230</f>
        <v>0.0</v>
      </c>
      <c r="P230" s="3" t="n">
        <f>L230 - O230</f>
        <v>0.0</v>
      </c>
    </row>
    <row r="231">
      <c r="A231" t="n">
        <v>32.0</v>
      </c>
      <c r="B231" t="inlineStr">
        <is>
          <t>LEASE-BH-F29-2025</t>
        </is>
      </c>
      <c r="C231" t="inlineStr">
        <is>
          <t>Flat 29 - 3 West Gate</t>
        </is>
      </c>
      <c r="D231" s="2" t="n">
        <v>45743.0</v>
      </c>
      <c r="E231" s="2" t="n">
        <v>45773.0</v>
      </c>
      <c r="F231" t="n">
        <v>31.0</v>
      </c>
      <c r="G231" s="2" t="n">
        <v>45715.0</v>
      </c>
      <c r="H231"/>
      <c r="I231" s="3" t="n">
        <v>740.0</v>
      </c>
      <c r="J231" t="n">
        <v>27.0</v>
      </c>
      <c r="K231" t="n">
        <v>31.0</v>
      </c>
      <c r="L231" s="3" t="n">
        <f>IF(F231 &lt; 28, ROUND(F231 / DAY(EOMONTH(D231, 0)) * I231, 2), I231)</f>
        <v>0.0</v>
      </c>
      <c r="M231" s="3" t="n">
        <f>L231 * 0.10</f>
        <v>0.0</v>
      </c>
      <c r="N231" s="3" t="n">
        <f>L231 * 0.05</f>
        <v>0.0</v>
      </c>
      <c r="O231" s="3" t="n">
        <f>M231 + N231</f>
        <v>0.0</v>
      </c>
      <c r="P231" s="3" t="n">
        <f>L231 - O231</f>
        <v>0.0</v>
      </c>
    </row>
    <row r="232">
      <c r="A232" t="n">
        <v>32.0</v>
      </c>
      <c r="B232" t="inlineStr">
        <is>
          <t>LEASE-BH-F29-2025</t>
        </is>
      </c>
      <c r="C232" t="inlineStr">
        <is>
          <t>Flat 29 - 3 West Gate</t>
        </is>
      </c>
      <c r="D232" s="2" t="n">
        <v>45774.0</v>
      </c>
      <c r="E232" s="2" t="n">
        <v>45803.0</v>
      </c>
      <c r="F232" t="n">
        <v>30.0</v>
      </c>
      <c r="G232" s="2" t="n">
        <v>45715.0</v>
      </c>
      <c r="H232"/>
      <c r="I232" s="3" t="n">
        <v>740.0</v>
      </c>
      <c r="J232" t="n">
        <v>27.0</v>
      </c>
      <c r="K232" t="n">
        <v>30.0</v>
      </c>
      <c r="L232" s="3" t="n">
        <f>IF(F232 &lt; 28, ROUND(F232 / DAY(EOMONTH(D232, 0)) * I232, 2), I232)</f>
        <v>0.0</v>
      </c>
      <c r="M232" s="3" t="n">
        <f>L232 * 0.10</f>
        <v>0.0</v>
      </c>
      <c r="N232" s="3" t="n">
        <f>L232 * 0.05</f>
        <v>0.0</v>
      </c>
      <c r="O232" s="3" t="n">
        <f>M232 + N232</f>
        <v>0.0</v>
      </c>
      <c r="P232" s="3" t="n">
        <f>L232 - O232</f>
        <v>0.0</v>
      </c>
    </row>
    <row r="233">
      <c r="A233" t="n">
        <v>32.0</v>
      </c>
      <c r="B233" t="inlineStr">
        <is>
          <t>LEASE-BH-F29-2025</t>
        </is>
      </c>
      <c r="C233" t="inlineStr">
        <is>
          <t>Flat 29 - 3 West Gate</t>
        </is>
      </c>
      <c r="D233" s="2" t="n">
        <v>45804.0</v>
      </c>
      <c r="E233" s="2" t="n">
        <v>45834.0</v>
      </c>
      <c r="F233" t="n">
        <v>31.0</v>
      </c>
      <c r="G233" s="2" t="n">
        <v>45715.0</v>
      </c>
      <c r="H233"/>
      <c r="I233" s="3" t="n">
        <v>740.0</v>
      </c>
      <c r="J233" t="n">
        <v>27.0</v>
      </c>
      <c r="K233" t="n">
        <v>31.0</v>
      </c>
      <c r="L233" s="3" t="n">
        <f>IF(F233 &lt; 28, ROUND(F233 / DAY(EOMONTH(D233, 0)) * I233, 2), I233)</f>
        <v>0.0</v>
      </c>
      <c r="M233" s="3" t="n">
        <f>L233 * 0.10</f>
        <v>0.0</v>
      </c>
      <c r="N233" s="3" t="n">
        <f>L233 * 0.05</f>
        <v>0.0</v>
      </c>
      <c r="O233" s="3" t="n">
        <f>M233 + N233</f>
        <v>0.0</v>
      </c>
      <c r="P233" s="3" t="n">
        <f>L233 - O233</f>
        <v>0.0</v>
      </c>
    </row>
    <row r="234">
      <c r="A234" t="n">
        <v>32.0</v>
      </c>
      <c r="B234" t="inlineStr">
        <is>
          <t>LEASE-BH-F29-2025</t>
        </is>
      </c>
      <c r="C234" t="inlineStr">
        <is>
          <t>Flat 29 - 3 West Gate</t>
        </is>
      </c>
      <c r="D234" s="2" t="n">
        <v>45835.0</v>
      </c>
      <c r="E234" s="2" t="n">
        <v>45864.0</v>
      </c>
      <c r="F234" t="n">
        <v>30.0</v>
      </c>
      <c r="G234" s="2" t="n">
        <v>45715.0</v>
      </c>
      <c r="H234"/>
      <c r="I234" s="3" t="n">
        <v>740.0</v>
      </c>
      <c r="J234" t="n">
        <v>27.0</v>
      </c>
      <c r="K234" t="n">
        <v>30.0</v>
      </c>
      <c r="L234" s="3" t="n">
        <f>IF(F234 &lt; 28, ROUND(F234 / DAY(EOMONTH(D234, 0)) * I234, 2), I234)</f>
        <v>0.0</v>
      </c>
      <c r="M234" s="3" t="n">
        <f>L234 * 0.10</f>
        <v>0.0</v>
      </c>
      <c r="N234" s="3" t="n">
        <f>L234 * 0.05</f>
        <v>0.0</v>
      </c>
      <c r="O234" s="3" t="n">
        <f>M234 + N234</f>
        <v>0.0</v>
      </c>
      <c r="P234" s="3" t="n">
        <f>L234 - O234</f>
        <v>0.0</v>
      </c>
    </row>
    <row r="235">
      <c r="A235" t="n">
        <v>32.0</v>
      </c>
      <c r="B235" t="inlineStr">
        <is>
          <t>LEASE-BH-F29-2025</t>
        </is>
      </c>
      <c r="C235" t="inlineStr">
        <is>
          <t>Flat 29 - 3 West Gate</t>
        </is>
      </c>
      <c r="D235" s="2" t="n">
        <v>45865.0</v>
      </c>
      <c r="E235" s="2" t="n">
        <v>45895.0</v>
      </c>
      <c r="F235" t="n">
        <v>31.0</v>
      </c>
      <c r="G235" s="2" t="n">
        <v>45715.0</v>
      </c>
      <c r="H235"/>
      <c r="I235" s="3" t="n">
        <v>740.0</v>
      </c>
      <c r="J235" t="n">
        <v>27.0</v>
      </c>
      <c r="K235" t="n">
        <v>31.0</v>
      </c>
      <c r="L235" s="3" t="n">
        <f>IF(F235 &lt; 28, ROUND(F235 / DAY(EOMONTH(D235, 0)) * I235, 2), I235)</f>
        <v>0.0</v>
      </c>
      <c r="M235" s="3" t="n">
        <f>L235 * 0.10</f>
        <v>0.0</v>
      </c>
      <c r="N235" s="3" t="n">
        <f>L235 * 0.05</f>
        <v>0.0</v>
      </c>
      <c r="O235" s="3" t="n">
        <f>M235 + N235</f>
        <v>0.0</v>
      </c>
      <c r="P235" s="3" t="n">
        <f>L235 - O235</f>
        <v>0.0</v>
      </c>
    </row>
    <row r="236">
      <c r="A236" t="n">
        <v>32.0</v>
      </c>
      <c r="B236" t="inlineStr">
        <is>
          <t>LEASE-BH-F29-2025</t>
        </is>
      </c>
      <c r="C236" t="inlineStr">
        <is>
          <t>Flat 29 - 3 West Gate</t>
        </is>
      </c>
      <c r="D236" s="2" t="n">
        <v>45896.0</v>
      </c>
      <c r="E236" s="2" t="n">
        <v>45926.0</v>
      </c>
      <c r="F236" t="n">
        <v>31.0</v>
      </c>
      <c r="G236" s="2" t="n">
        <v>45715.0</v>
      </c>
      <c r="H236"/>
      <c r="I236" s="3" t="n">
        <v>740.0</v>
      </c>
      <c r="J236" t="n">
        <v>27.0</v>
      </c>
      <c r="K236" t="n">
        <v>31.0</v>
      </c>
      <c r="L236" s="3" t="n">
        <f>IF(F236 &lt; 28, ROUND(F236 / DAY(EOMONTH(D236, 0)) * I236, 2), I236)</f>
        <v>0.0</v>
      </c>
      <c r="M236" s="3" t="n">
        <f>L236 * 0.10</f>
        <v>0.0</v>
      </c>
      <c r="N236" s="3" t="n">
        <f>L236 * 0.05</f>
        <v>0.0</v>
      </c>
      <c r="O236" s="3" t="n">
        <f>M236 + N236</f>
        <v>0.0</v>
      </c>
      <c r="P236" s="3" t="n">
        <f>L236 - O236</f>
        <v>0.0</v>
      </c>
    </row>
    <row r="237">
      <c r="A237" t="n">
        <v>32.0</v>
      </c>
      <c r="B237" t="inlineStr">
        <is>
          <t>LEASE-BH-F29-2025</t>
        </is>
      </c>
      <c r="C237" t="inlineStr">
        <is>
          <t>Flat 29 - 3 West Gate</t>
        </is>
      </c>
      <c r="D237" s="2" t="n">
        <v>45927.0</v>
      </c>
      <c r="E237" s="2" t="n">
        <v>45956.0</v>
      </c>
      <c r="F237" t="n">
        <v>30.0</v>
      </c>
      <c r="G237" s="2" t="n">
        <v>45715.0</v>
      </c>
      <c r="H237"/>
      <c r="I237" s="3" t="n">
        <v>740.0</v>
      </c>
      <c r="J237" t="n">
        <v>27.0</v>
      </c>
      <c r="K237" t="n">
        <v>30.0</v>
      </c>
      <c r="L237" s="3" t="n">
        <f>IF(F237 &lt; 28, ROUND(F237 / DAY(EOMONTH(D237, 0)) * I237, 2), I237)</f>
        <v>0.0</v>
      </c>
      <c r="M237" s="3" t="n">
        <f>L237 * 0.10</f>
        <v>0.0</v>
      </c>
      <c r="N237" s="3" t="n">
        <f>L237 * 0.05</f>
        <v>0.0</v>
      </c>
      <c r="O237" s="3" t="n">
        <f>M237 + N237</f>
        <v>0.0</v>
      </c>
      <c r="P237" s="3" t="n">
        <f>L237 - O237</f>
        <v>0.0</v>
      </c>
    </row>
    <row r="238">
      <c r="A238" t="n">
        <v>32.0</v>
      </c>
      <c r="B238" t="inlineStr">
        <is>
          <t>LEASE-BH-F29-2025</t>
        </is>
      </c>
      <c r="C238" t="inlineStr">
        <is>
          <t>Flat 29 - 3 West Gate</t>
        </is>
      </c>
      <c r="D238" s="2" t="n">
        <v>45957.0</v>
      </c>
      <c r="E238" s="2" t="n">
        <v>45987.0</v>
      </c>
      <c r="F238" t="n">
        <v>31.0</v>
      </c>
      <c r="G238" s="2" t="n">
        <v>45715.0</v>
      </c>
      <c r="H238"/>
      <c r="I238" s="3" t="n">
        <v>740.0</v>
      </c>
      <c r="J238" t="n">
        <v>27.0</v>
      </c>
      <c r="K238" t="n">
        <v>31.0</v>
      </c>
      <c r="L238" s="3" t="n">
        <f>IF(F238 &lt; 28, ROUND(F238 / DAY(EOMONTH(D238, 0)) * I238, 2), I238)</f>
        <v>0.0</v>
      </c>
      <c r="M238" s="3" t="n">
        <f>L238 * 0.10</f>
        <v>0.0</v>
      </c>
      <c r="N238" s="3" t="n">
        <f>L238 * 0.05</f>
        <v>0.0</v>
      </c>
      <c r="O238" s="3" t="n">
        <f>M238 + N238</f>
        <v>0.0</v>
      </c>
      <c r="P238" s="3" t="n">
        <f>L238 - O238</f>
        <v>0.0</v>
      </c>
    </row>
    <row r="239">
      <c r="A239" t="n">
        <v>33.0</v>
      </c>
      <c r="B239" t="inlineStr">
        <is>
          <t>LEASE-BH-F30-2025</t>
        </is>
      </c>
      <c r="C239" t="inlineStr">
        <is>
          <t>Flat 30 - 3 West Gate</t>
        </is>
      </c>
      <c r="D239" s="2" t="n">
        <v>45722.0</v>
      </c>
      <c r="E239" s="2" t="n">
        <v>45752.0</v>
      </c>
      <c r="F239" t="n">
        <v>31.0</v>
      </c>
      <c r="G239" s="2" t="n">
        <v>45722.0</v>
      </c>
      <c r="H239" s="2" t="n">
        <v>45966.0</v>
      </c>
      <c r="I239" s="3" t="n">
        <v>740.0</v>
      </c>
      <c r="J239" t="n">
        <v>6.0</v>
      </c>
      <c r="K239" t="n">
        <v>31.0</v>
      </c>
      <c r="L239" s="3" t="n">
        <f>IF(F239 &lt; 28, ROUND(F239 / DAY(EOMONTH(D239, 0)) * I239, 2), I239)</f>
        <v>0.0</v>
      </c>
      <c r="M239" s="3" t="n">
        <f>L239 * 0.10</f>
        <v>0.0</v>
      </c>
      <c r="N239" s="3" t="n">
        <f>L239 * 0.05</f>
        <v>0.0</v>
      </c>
      <c r="O239" s="3" t="n">
        <f>M239 + N239</f>
        <v>0.0</v>
      </c>
      <c r="P239" s="3" t="n">
        <f>L239 - O239</f>
        <v>0.0</v>
      </c>
    </row>
    <row r="240">
      <c r="A240" t="n">
        <v>33.0</v>
      </c>
      <c r="B240" t="inlineStr">
        <is>
          <t>LEASE-BH-F30-2025</t>
        </is>
      </c>
      <c r="C240" t="inlineStr">
        <is>
          <t>Flat 30 - 3 West Gate</t>
        </is>
      </c>
      <c r="D240" s="2" t="n">
        <v>45753.0</v>
      </c>
      <c r="E240" s="2" t="n">
        <v>45782.0</v>
      </c>
      <c r="F240" t="n">
        <v>30.0</v>
      </c>
      <c r="G240" s="2" t="n">
        <v>45722.0</v>
      </c>
      <c r="H240" s="2" t="n">
        <v>45966.0</v>
      </c>
      <c r="I240" s="3" t="n">
        <v>740.0</v>
      </c>
      <c r="J240" t="n">
        <v>6.0</v>
      </c>
      <c r="K240" t="n">
        <v>30.0</v>
      </c>
      <c r="L240" s="3" t="n">
        <f>IF(F240 &lt; 28, ROUND(F240 / DAY(EOMONTH(D240, 0)) * I240, 2), I240)</f>
        <v>0.0</v>
      </c>
      <c r="M240" s="3" t="n">
        <f>L240 * 0.10</f>
        <v>0.0</v>
      </c>
      <c r="N240" s="3" t="n">
        <f>L240 * 0.05</f>
        <v>0.0</v>
      </c>
      <c r="O240" s="3" t="n">
        <f>M240 + N240</f>
        <v>0.0</v>
      </c>
      <c r="P240" s="3" t="n">
        <f>L240 - O240</f>
        <v>0.0</v>
      </c>
    </row>
    <row r="241">
      <c r="A241" t="n">
        <v>33.0</v>
      </c>
      <c r="B241" t="inlineStr">
        <is>
          <t>LEASE-BH-F30-2025</t>
        </is>
      </c>
      <c r="C241" t="inlineStr">
        <is>
          <t>Flat 30 - 3 West Gate</t>
        </is>
      </c>
      <c r="D241" s="2" t="n">
        <v>45783.0</v>
      </c>
      <c r="E241" s="2" t="n">
        <v>45813.0</v>
      </c>
      <c r="F241" t="n">
        <v>31.0</v>
      </c>
      <c r="G241" s="2" t="n">
        <v>45722.0</v>
      </c>
      <c r="H241" s="2" t="n">
        <v>45966.0</v>
      </c>
      <c r="I241" s="3" t="n">
        <v>740.0</v>
      </c>
      <c r="J241" t="n">
        <v>6.0</v>
      </c>
      <c r="K241" t="n">
        <v>31.0</v>
      </c>
      <c r="L241" s="3" t="n">
        <f>IF(F241 &lt; 28, ROUND(F241 / DAY(EOMONTH(D241, 0)) * I241, 2), I241)</f>
        <v>0.0</v>
      </c>
      <c r="M241" s="3" t="n">
        <f>L241 * 0.10</f>
        <v>0.0</v>
      </c>
      <c r="N241" s="3" t="n">
        <f>L241 * 0.05</f>
        <v>0.0</v>
      </c>
      <c r="O241" s="3" t="n">
        <f>M241 + N241</f>
        <v>0.0</v>
      </c>
      <c r="P241" s="3" t="n">
        <f>L241 - O241</f>
        <v>0.0</v>
      </c>
    </row>
    <row r="242">
      <c r="A242" t="n">
        <v>33.0</v>
      </c>
      <c r="B242" t="inlineStr">
        <is>
          <t>LEASE-BH-F30-2025</t>
        </is>
      </c>
      <c r="C242" t="inlineStr">
        <is>
          <t>Flat 30 - 3 West Gate</t>
        </is>
      </c>
      <c r="D242" s="2" t="n">
        <v>45814.0</v>
      </c>
      <c r="E242" s="2" t="n">
        <v>45843.0</v>
      </c>
      <c r="F242" t="n">
        <v>30.0</v>
      </c>
      <c r="G242" s="2" t="n">
        <v>45722.0</v>
      </c>
      <c r="H242" s="2" t="n">
        <v>45966.0</v>
      </c>
      <c r="I242" s="3" t="n">
        <v>740.0</v>
      </c>
      <c r="J242" t="n">
        <v>6.0</v>
      </c>
      <c r="K242" t="n">
        <v>30.0</v>
      </c>
      <c r="L242" s="3" t="n">
        <f>IF(F242 &lt; 28, ROUND(F242 / DAY(EOMONTH(D242, 0)) * I242, 2), I242)</f>
        <v>0.0</v>
      </c>
      <c r="M242" s="3" t="n">
        <f>L242 * 0.10</f>
        <v>0.0</v>
      </c>
      <c r="N242" s="3" t="n">
        <f>L242 * 0.05</f>
        <v>0.0</v>
      </c>
      <c r="O242" s="3" t="n">
        <f>M242 + N242</f>
        <v>0.0</v>
      </c>
      <c r="P242" s="3" t="n">
        <f>L242 - O242</f>
        <v>0.0</v>
      </c>
    </row>
    <row r="243">
      <c r="A243" t="n">
        <v>33.0</v>
      </c>
      <c r="B243" t="inlineStr">
        <is>
          <t>LEASE-BH-F30-2025</t>
        </is>
      </c>
      <c r="C243" t="inlineStr">
        <is>
          <t>Flat 30 - 3 West Gate</t>
        </is>
      </c>
      <c r="D243" s="2" t="n">
        <v>45844.0</v>
      </c>
      <c r="E243" s="2" t="n">
        <v>45874.0</v>
      </c>
      <c r="F243" t="n">
        <v>31.0</v>
      </c>
      <c r="G243" s="2" t="n">
        <v>45722.0</v>
      </c>
      <c r="H243" s="2" t="n">
        <v>45966.0</v>
      </c>
      <c r="I243" s="3" t="n">
        <v>740.0</v>
      </c>
      <c r="J243" t="n">
        <v>6.0</v>
      </c>
      <c r="K243" t="n">
        <v>31.0</v>
      </c>
      <c r="L243" s="3" t="n">
        <f>IF(F243 &lt; 28, ROUND(F243 / DAY(EOMONTH(D243, 0)) * I243, 2), I243)</f>
        <v>0.0</v>
      </c>
      <c r="M243" s="3" t="n">
        <f>L243 * 0.10</f>
        <v>0.0</v>
      </c>
      <c r="N243" s="3" t="n">
        <f>L243 * 0.05</f>
        <v>0.0</v>
      </c>
      <c r="O243" s="3" t="n">
        <f>M243 + N243</f>
        <v>0.0</v>
      </c>
      <c r="P243" s="3" t="n">
        <f>L243 - O243</f>
        <v>0.0</v>
      </c>
    </row>
    <row r="244">
      <c r="A244" t="n">
        <v>33.0</v>
      </c>
      <c r="B244" t="inlineStr">
        <is>
          <t>LEASE-BH-F30-2025</t>
        </is>
      </c>
      <c r="C244" t="inlineStr">
        <is>
          <t>Flat 30 - 3 West Gate</t>
        </is>
      </c>
      <c r="D244" s="2" t="n">
        <v>45875.0</v>
      </c>
      <c r="E244" s="2" t="n">
        <v>45905.0</v>
      </c>
      <c r="F244" t="n">
        <v>31.0</v>
      </c>
      <c r="G244" s="2" t="n">
        <v>45722.0</v>
      </c>
      <c r="H244" s="2" t="n">
        <v>45966.0</v>
      </c>
      <c r="I244" s="3" t="n">
        <v>740.0</v>
      </c>
      <c r="J244" t="n">
        <v>6.0</v>
      </c>
      <c r="K244" t="n">
        <v>31.0</v>
      </c>
      <c r="L244" s="3" t="n">
        <f>IF(F244 &lt; 28, ROUND(F244 / DAY(EOMONTH(D244, 0)) * I244, 2), I244)</f>
        <v>0.0</v>
      </c>
      <c r="M244" s="3" t="n">
        <f>L244 * 0.10</f>
        <v>0.0</v>
      </c>
      <c r="N244" s="3" t="n">
        <f>L244 * 0.05</f>
        <v>0.0</v>
      </c>
      <c r="O244" s="3" t="n">
        <f>M244 + N244</f>
        <v>0.0</v>
      </c>
      <c r="P244" s="3" t="n">
        <f>L244 - O244</f>
        <v>0.0</v>
      </c>
    </row>
    <row r="245">
      <c r="A245" t="n">
        <v>33.0</v>
      </c>
      <c r="B245" t="inlineStr">
        <is>
          <t>LEASE-BH-F30-2025</t>
        </is>
      </c>
      <c r="C245" t="inlineStr">
        <is>
          <t>Flat 30 - 3 West Gate</t>
        </is>
      </c>
      <c r="D245" s="2" t="n">
        <v>45906.0</v>
      </c>
      <c r="E245" s="2" t="n">
        <v>45935.0</v>
      </c>
      <c r="F245" t="n">
        <v>30.0</v>
      </c>
      <c r="G245" s="2" t="n">
        <v>45722.0</v>
      </c>
      <c r="H245" s="2" t="n">
        <v>45966.0</v>
      </c>
      <c r="I245" s="3" t="n">
        <v>740.0</v>
      </c>
      <c r="J245" t="n">
        <v>6.0</v>
      </c>
      <c r="K245" t="n">
        <v>30.0</v>
      </c>
      <c r="L245" s="3" t="n">
        <f>IF(F245 &lt; 28, ROUND(F245 / DAY(EOMONTH(D245, 0)) * I245, 2), I245)</f>
        <v>0.0</v>
      </c>
      <c r="M245" s="3" t="n">
        <f>L245 * 0.10</f>
        <v>0.0</v>
      </c>
      <c r="N245" s="3" t="n">
        <f>L245 * 0.05</f>
        <v>0.0</v>
      </c>
      <c r="O245" s="3" t="n">
        <f>M245 + N245</f>
        <v>0.0</v>
      </c>
      <c r="P245" s="3" t="n">
        <f>L245 - O245</f>
        <v>0.0</v>
      </c>
    </row>
    <row r="246">
      <c r="A246" t="n">
        <v>33.0</v>
      </c>
      <c r="B246" t="inlineStr">
        <is>
          <t>LEASE-BH-F30-2025</t>
        </is>
      </c>
      <c r="C246" t="inlineStr">
        <is>
          <t>Flat 30 - 3 West Gate</t>
        </is>
      </c>
      <c r="D246" s="2" t="n">
        <v>45936.0</v>
      </c>
      <c r="E246" s="2" t="n">
        <v>45966.0</v>
      </c>
      <c r="F246" t="n">
        <v>31.0</v>
      </c>
      <c r="G246" s="2" t="n">
        <v>45722.0</v>
      </c>
      <c r="H246" s="2" t="n">
        <v>45966.0</v>
      </c>
      <c r="I246" s="3" t="n">
        <v>740.0</v>
      </c>
      <c r="J246" t="n">
        <v>6.0</v>
      </c>
      <c r="K246" t="n">
        <v>31.0</v>
      </c>
      <c r="L246" s="3" t="n">
        <f>IF(F246 &lt; 28, ROUND(F246 / DAY(EOMONTH(D246, 0)) * I246, 2), I246)</f>
        <v>0.0</v>
      </c>
      <c r="M246" s="3" t="n">
        <f>L246 * 0.10</f>
        <v>0.0</v>
      </c>
      <c r="N246" s="3" t="n">
        <f>L246 * 0.05</f>
        <v>0.0</v>
      </c>
      <c r="O246" s="3" t="n">
        <f>M246 + N246</f>
        <v>0.0</v>
      </c>
      <c r="P246" s="3" t="n">
        <f>L246 - O246</f>
        <v>0.0</v>
      </c>
    </row>
    <row r="247">
      <c r="A247" t="n">
        <v>34.0</v>
      </c>
      <c r="B247" t="inlineStr">
        <is>
          <t>LEASE-BH-PS1-2025</t>
        </is>
      </c>
      <c r="C247" t="inlineStr">
        <is>
          <t>Parking Space 1 - 3 West Gate</t>
        </is>
      </c>
      <c r="D247" s="2" t="n">
        <v>45842.0</v>
      </c>
      <c r="E247" s="2" t="n">
        <v>45872.0</v>
      </c>
      <c r="F247" t="n">
        <v>31.0</v>
      </c>
      <c r="G247" s="2" t="n">
        <v>45842.0</v>
      </c>
      <c r="H247"/>
      <c r="I247" s="3" t="n">
        <v>60.0</v>
      </c>
      <c r="J247" t="n">
        <v>4.0</v>
      </c>
      <c r="K247" t="n">
        <v>31.0</v>
      </c>
      <c r="L247" s="3" t="n">
        <f>IF(F247 &lt; 28, ROUND(F247 / DAY(EOMONTH(D247, 0)) * I247, 2), I247)</f>
        <v>0.0</v>
      </c>
      <c r="M247" s="3" t="n">
        <f>L247 * 0.10</f>
        <v>0.0</v>
      </c>
      <c r="N247" s="3" t="n">
        <f>L247 * 0.05</f>
        <v>0.0</v>
      </c>
      <c r="O247" s="3" t="n">
        <f>M247 + N247</f>
        <v>0.0</v>
      </c>
      <c r="P247" s="3" t="n">
        <f>L247 - O247</f>
        <v>0.0</v>
      </c>
    </row>
    <row r="248">
      <c r="A248" t="n">
        <v>34.0</v>
      </c>
      <c r="B248" t="inlineStr">
        <is>
          <t>LEASE-BH-PS1-2025</t>
        </is>
      </c>
      <c r="C248" t="inlineStr">
        <is>
          <t>Parking Space 1 - 3 West Gate</t>
        </is>
      </c>
      <c r="D248" s="2" t="n">
        <v>45873.0</v>
      </c>
      <c r="E248" s="2" t="n">
        <v>45903.0</v>
      </c>
      <c r="F248" t="n">
        <v>31.0</v>
      </c>
      <c r="G248" s="2" t="n">
        <v>45842.0</v>
      </c>
      <c r="H248"/>
      <c r="I248" s="3" t="n">
        <v>60.0</v>
      </c>
      <c r="J248" t="n">
        <v>4.0</v>
      </c>
      <c r="K248" t="n">
        <v>31.0</v>
      </c>
      <c r="L248" s="3" t="n">
        <f>IF(F248 &lt; 28, ROUND(F248 / DAY(EOMONTH(D248, 0)) * I248, 2), I248)</f>
        <v>0.0</v>
      </c>
      <c r="M248" s="3" t="n">
        <f>L248 * 0.10</f>
        <v>0.0</v>
      </c>
      <c r="N248" s="3" t="n">
        <f>L248 * 0.05</f>
        <v>0.0</v>
      </c>
      <c r="O248" s="3" t="n">
        <f>M248 + N248</f>
        <v>0.0</v>
      </c>
      <c r="P248" s="3" t="n">
        <f>L248 - O248</f>
        <v>0.0</v>
      </c>
    </row>
    <row r="249">
      <c r="A249" t="n">
        <v>34.0</v>
      </c>
      <c r="B249" t="inlineStr">
        <is>
          <t>LEASE-BH-PS1-2025</t>
        </is>
      </c>
      <c r="C249" t="inlineStr">
        <is>
          <t>Parking Space 1 - 3 West Gate</t>
        </is>
      </c>
      <c r="D249" s="2" t="n">
        <v>45904.0</v>
      </c>
      <c r="E249" s="2" t="n">
        <v>45933.0</v>
      </c>
      <c r="F249" t="n">
        <v>30.0</v>
      </c>
      <c r="G249" s="2" t="n">
        <v>45842.0</v>
      </c>
      <c r="H249"/>
      <c r="I249" s="3" t="n">
        <v>60.0</v>
      </c>
      <c r="J249" t="n">
        <v>4.0</v>
      </c>
      <c r="K249" t="n">
        <v>30.0</v>
      </c>
      <c r="L249" s="3" t="n">
        <f>IF(F249 &lt; 28, ROUND(F249 / DAY(EOMONTH(D249, 0)) * I249, 2), I249)</f>
        <v>0.0</v>
      </c>
      <c r="M249" s="3" t="n">
        <f>L249 * 0.10</f>
        <v>0.0</v>
      </c>
      <c r="N249" s="3" t="n">
        <f>L249 * 0.05</f>
        <v>0.0</v>
      </c>
      <c r="O249" s="3" t="n">
        <f>M249 + N249</f>
        <v>0.0</v>
      </c>
      <c r="P249" s="3" t="n">
        <f>L249 - O249</f>
        <v>0.0</v>
      </c>
    </row>
    <row r="250">
      <c r="A250" t="n">
        <v>34.0</v>
      </c>
      <c r="B250" t="inlineStr">
        <is>
          <t>LEASE-BH-PS1-2025</t>
        </is>
      </c>
      <c r="C250" t="inlineStr">
        <is>
          <t>Parking Space 1 - 3 West Gate</t>
        </is>
      </c>
      <c r="D250" s="2" t="n">
        <v>45934.0</v>
      </c>
      <c r="E250" s="2" t="n">
        <v>45964.0</v>
      </c>
      <c r="F250" t="n">
        <v>31.0</v>
      </c>
      <c r="G250" s="2" t="n">
        <v>45842.0</v>
      </c>
      <c r="H250"/>
      <c r="I250" s="3" t="n">
        <v>60.0</v>
      </c>
      <c r="J250" t="n">
        <v>4.0</v>
      </c>
      <c r="K250" t="n">
        <v>31.0</v>
      </c>
      <c r="L250" s="3" t="n">
        <f>IF(F250 &lt; 28, ROUND(F250 / DAY(EOMONTH(D250, 0)) * I250, 2), I250)</f>
        <v>0.0</v>
      </c>
      <c r="M250" s="3" t="n">
        <f>L250 * 0.10</f>
        <v>0.0</v>
      </c>
      <c r="N250" s="3" t="n">
        <f>L250 * 0.05</f>
        <v>0.0</v>
      </c>
      <c r="O250" s="3" t="n">
        <f>M250 + N250</f>
        <v>0.0</v>
      </c>
      <c r="P250" s="3" t="n">
        <f>L250 - O250</f>
        <v>0.0</v>
      </c>
    </row>
    <row r="251">
      <c r="A251" t="n">
        <v>34.0</v>
      </c>
      <c r="B251" t="inlineStr">
        <is>
          <t>LEASE-BH-PS1-2025</t>
        </is>
      </c>
      <c r="C251" t="inlineStr">
        <is>
          <t>Parking Space 1 - 3 West Gate</t>
        </is>
      </c>
      <c r="D251" s="2" t="n">
        <v>45965.0</v>
      </c>
      <c r="E251" s="2" t="n">
        <v>45994.0</v>
      </c>
      <c r="F251" t="n">
        <v>30.0</v>
      </c>
      <c r="G251" s="2" t="n">
        <v>45842.0</v>
      </c>
      <c r="H251"/>
      <c r="I251" s="3" t="n">
        <v>60.0</v>
      </c>
      <c r="J251" t="n">
        <v>4.0</v>
      </c>
      <c r="K251" t="n">
        <v>30.0</v>
      </c>
      <c r="L251" s="3" t="n">
        <f>IF(F251 &lt; 28, ROUND(F251 / DAY(EOMONTH(D251, 0)) * I251, 2), I251)</f>
        <v>0.0</v>
      </c>
      <c r="M251" s="3" t="n">
        <f>L251 * 0.10</f>
        <v>0.0</v>
      </c>
      <c r="N251" s="3" t="n">
        <f>L251 * 0.05</f>
        <v>0.0</v>
      </c>
      <c r="O251" s="3" t="n">
        <f>M251 + N251</f>
        <v>0.0</v>
      </c>
      <c r="P251" s="3" t="n">
        <f>L251 - O251</f>
        <v>0.0</v>
      </c>
    </row>
    <row r="252">
      <c r="A252" t="n">
        <v>35.0</v>
      </c>
      <c r="B252" t="inlineStr">
        <is>
          <t>LEASE-BH-PS2-2025</t>
        </is>
      </c>
      <c r="C252" t="inlineStr">
        <is>
          <t>Parking Space 2 - 3 West Gate</t>
        </is>
      </c>
      <c r="D252" s="2" t="n">
        <v>45852.0</v>
      </c>
      <c r="E252" s="2" t="n">
        <v>45882.0</v>
      </c>
      <c r="F252" t="n">
        <v>31.0</v>
      </c>
      <c r="G252" s="2" t="n">
        <v>45852.0</v>
      </c>
      <c r="H252"/>
      <c r="I252" s="3" t="n">
        <v>60.0</v>
      </c>
      <c r="J252" t="n">
        <v>14.0</v>
      </c>
      <c r="K252" t="n">
        <v>31.0</v>
      </c>
      <c r="L252" s="3" t="n">
        <f>IF(F252 &lt; 28, ROUND(F252 / DAY(EOMONTH(D252, 0)) * I252, 2), I252)</f>
        <v>0.0</v>
      </c>
      <c r="M252" s="3" t="n">
        <f>L252 * 0.10</f>
        <v>0.0</v>
      </c>
      <c r="N252" s="3" t="n">
        <f>L252 * 0.05</f>
        <v>0.0</v>
      </c>
      <c r="O252" s="3" t="n">
        <f>M252 + N252</f>
        <v>0.0</v>
      </c>
      <c r="P252" s="3" t="n">
        <f>L252 - O252</f>
        <v>0.0</v>
      </c>
    </row>
    <row r="253">
      <c r="A253" t="n">
        <v>35.0</v>
      </c>
      <c r="B253" t="inlineStr">
        <is>
          <t>LEASE-BH-PS2-2025</t>
        </is>
      </c>
      <c r="C253" t="inlineStr">
        <is>
          <t>Parking Space 2 - 3 West Gate</t>
        </is>
      </c>
      <c r="D253" s="2" t="n">
        <v>45883.0</v>
      </c>
      <c r="E253" s="2" t="n">
        <v>45913.0</v>
      </c>
      <c r="F253" t="n">
        <v>31.0</v>
      </c>
      <c r="G253" s="2" t="n">
        <v>45852.0</v>
      </c>
      <c r="H253"/>
      <c r="I253" s="3" t="n">
        <v>60.0</v>
      </c>
      <c r="J253" t="n">
        <v>14.0</v>
      </c>
      <c r="K253" t="n">
        <v>31.0</v>
      </c>
      <c r="L253" s="3" t="n">
        <f>IF(F253 &lt; 28, ROUND(F253 / DAY(EOMONTH(D253, 0)) * I253, 2), I253)</f>
        <v>0.0</v>
      </c>
      <c r="M253" s="3" t="n">
        <f>L253 * 0.10</f>
        <v>0.0</v>
      </c>
      <c r="N253" s="3" t="n">
        <f>L253 * 0.05</f>
        <v>0.0</v>
      </c>
      <c r="O253" s="3" t="n">
        <f>M253 + N253</f>
        <v>0.0</v>
      </c>
      <c r="P253" s="3" t="n">
        <f>L253 - O253</f>
        <v>0.0</v>
      </c>
    </row>
    <row r="254">
      <c r="A254" t="n">
        <v>35.0</v>
      </c>
      <c r="B254" t="inlineStr">
        <is>
          <t>LEASE-BH-PS2-2025</t>
        </is>
      </c>
      <c r="C254" t="inlineStr">
        <is>
          <t>Parking Space 2 - 3 West Gate</t>
        </is>
      </c>
      <c r="D254" s="2" t="n">
        <v>45914.0</v>
      </c>
      <c r="E254" s="2" t="n">
        <v>45943.0</v>
      </c>
      <c r="F254" t="n">
        <v>30.0</v>
      </c>
      <c r="G254" s="2" t="n">
        <v>45852.0</v>
      </c>
      <c r="H254"/>
      <c r="I254" s="3" t="n">
        <v>60.0</v>
      </c>
      <c r="J254" t="n">
        <v>14.0</v>
      </c>
      <c r="K254" t="n">
        <v>30.0</v>
      </c>
      <c r="L254" s="3" t="n">
        <f>IF(F254 &lt; 28, ROUND(F254 / DAY(EOMONTH(D254, 0)) * I254, 2), I254)</f>
        <v>0.0</v>
      </c>
      <c r="M254" s="3" t="n">
        <f>L254 * 0.10</f>
        <v>0.0</v>
      </c>
      <c r="N254" s="3" t="n">
        <f>L254 * 0.05</f>
        <v>0.0</v>
      </c>
      <c r="O254" s="3" t="n">
        <f>M254 + N254</f>
        <v>0.0</v>
      </c>
      <c r="P254" s="3" t="n">
        <f>L254 - O254</f>
        <v>0.0</v>
      </c>
    </row>
    <row r="255">
      <c r="A255" t="n">
        <v>35.0</v>
      </c>
      <c r="B255" t="inlineStr">
        <is>
          <t>LEASE-BH-PS2-2025</t>
        </is>
      </c>
      <c r="C255" t="inlineStr">
        <is>
          <t>Parking Space 2 - 3 West Gate</t>
        </is>
      </c>
      <c r="D255" s="2" t="n">
        <v>45944.0</v>
      </c>
      <c r="E255" s="2" t="n">
        <v>45974.0</v>
      </c>
      <c r="F255" t="n">
        <v>31.0</v>
      </c>
      <c r="G255" s="2" t="n">
        <v>45852.0</v>
      </c>
      <c r="H255"/>
      <c r="I255" s="3" t="n">
        <v>60.0</v>
      </c>
      <c r="J255" t="n">
        <v>14.0</v>
      </c>
      <c r="K255" t="n">
        <v>31.0</v>
      </c>
      <c r="L255" s="3" t="n">
        <f>IF(F255 &lt; 28, ROUND(F255 / DAY(EOMONTH(D255, 0)) * I255, 2), I255)</f>
        <v>0.0</v>
      </c>
      <c r="M255" s="3" t="n">
        <f>L255 * 0.10</f>
        <v>0.0</v>
      </c>
      <c r="N255" s="3" t="n">
        <f>L255 * 0.05</f>
        <v>0.0</v>
      </c>
      <c r="O255" s="3" t="n">
        <f>M255 + N255</f>
        <v>0.0</v>
      </c>
      <c r="P255" s="3" t="n">
        <f>L255 - O255</f>
        <v>0.0</v>
      </c>
    </row>
    <row r="256">
      <c r="A256" t="n">
        <v>35.0</v>
      </c>
      <c r="B256" t="inlineStr">
        <is>
          <t>LEASE-BH-PS2-2025</t>
        </is>
      </c>
      <c r="C256" t="inlineStr">
        <is>
          <t>Parking Space 2 - 3 West Gate</t>
        </is>
      </c>
      <c r="D256" s="2" t="n">
        <v>45975.0</v>
      </c>
      <c r="E256" s="2" t="n">
        <v>46004.0</v>
      </c>
      <c r="F256" t="n">
        <v>30.0</v>
      </c>
      <c r="G256" s="2" t="n">
        <v>45852.0</v>
      </c>
      <c r="H256"/>
      <c r="I256" s="3" t="n">
        <v>60.0</v>
      </c>
      <c r="J256" t="n">
        <v>14.0</v>
      </c>
      <c r="K256" t="n">
        <v>30.0</v>
      </c>
      <c r="L256" s="3" t="n">
        <f>IF(F256 &lt; 28, ROUND(F256 / DAY(EOMONTH(D256, 0)) * I256, 2), I256)</f>
        <v>0.0</v>
      </c>
      <c r="M256" s="3" t="n">
        <f>L256 * 0.10</f>
        <v>0.0</v>
      </c>
      <c r="N256" s="3" t="n">
        <f>L256 * 0.05</f>
        <v>0.0</v>
      </c>
      <c r="O256" s="3" t="n">
        <f>M256 + N256</f>
        <v>0.0</v>
      </c>
      <c r="P256" s="3" t="n">
        <f>L256 - O256</f>
        <v>0.0</v>
      </c>
    </row>
    <row r="257">
      <c r="A257" t="n">
        <v>36.0</v>
      </c>
      <c r="B257" t="inlineStr">
        <is>
          <t>LEASE-KH-F-2024</t>
        </is>
      </c>
      <c r="C257" t="inlineStr">
        <is>
          <t>Apartment F - Knighton Hayes Manor</t>
        </is>
      </c>
      <c r="D257" s="2" t="n">
        <v>45648.0</v>
      </c>
      <c r="E257" s="2" t="n">
        <v>45678.0</v>
      </c>
      <c r="F257" t="n">
        <v>31.0</v>
      </c>
      <c r="G257" s="2" t="n">
        <v>45648.0</v>
      </c>
      <c r="H257"/>
      <c r="I257" s="3" t="n">
        <v>1125.0</v>
      </c>
      <c r="J257" t="n">
        <v>22.0</v>
      </c>
      <c r="K257" t="n">
        <v>31.0</v>
      </c>
      <c r="L257" s="3" t="n">
        <f>IF(F257 &lt; 28, ROUND(F257 / DAY(EOMONTH(D257, 0)) * I257, 2), I257)</f>
        <v>0.0</v>
      </c>
      <c r="M257" s="3" t="n">
        <f>L257 * 0.10</f>
        <v>0.0</v>
      </c>
      <c r="N257" s="3" t="n">
        <f>L257 * 0.05</f>
        <v>0.0</v>
      </c>
      <c r="O257" s="3" t="n">
        <f>M257 + N257</f>
        <v>0.0</v>
      </c>
      <c r="P257" s="3" t="n">
        <f>L257 - O257</f>
        <v>0.0</v>
      </c>
    </row>
    <row r="258">
      <c r="A258" t="n">
        <v>36.0</v>
      </c>
      <c r="B258" t="inlineStr">
        <is>
          <t>LEASE-KH-F-2024</t>
        </is>
      </c>
      <c r="C258" t="inlineStr">
        <is>
          <t>Apartment F - Knighton Hayes Manor</t>
        </is>
      </c>
      <c r="D258" s="2" t="n">
        <v>45679.0</v>
      </c>
      <c r="E258" s="2" t="n">
        <v>45709.0</v>
      </c>
      <c r="F258" t="n">
        <v>31.0</v>
      </c>
      <c r="G258" s="2" t="n">
        <v>45648.0</v>
      </c>
      <c r="H258"/>
      <c r="I258" s="3" t="n">
        <v>1125.0</v>
      </c>
      <c r="J258" t="n">
        <v>22.0</v>
      </c>
      <c r="K258" t="n">
        <v>31.0</v>
      </c>
      <c r="L258" s="3" t="n">
        <f>IF(F258 &lt; 28, ROUND(F258 / DAY(EOMONTH(D258, 0)) * I258, 2), I258)</f>
        <v>0.0</v>
      </c>
      <c r="M258" s="3" t="n">
        <f>L258 * 0.10</f>
        <v>0.0</v>
      </c>
      <c r="N258" s="3" t="n">
        <f>L258 * 0.05</f>
        <v>0.0</v>
      </c>
      <c r="O258" s="3" t="n">
        <f>M258 + N258</f>
        <v>0.0</v>
      </c>
      <c r="P258" s="3" t="n">
        <f>L258 - O258</f>
        <v>0.0</v>
      </c>
    </row>
    <row r="259">
      <c r="A259" t="n">
        <v>36.0</v>
      </c>
      <c r="B259" t="inlineStr">
        <is>
          <t>LEASE-KH-F-2024</t>
        </is>
      </c>
      <c r="C259" t="inlineStr">
        <is>
          <t>Apartment F - Knighton Hayes Manor</t>
        </is>
      </c>
      <c r="D259" s="2" t="n">
        <v>45710.0</v>
      </c>
      <c r="E259" s="2" t="n">
        <v>45737.0</v>
      </c>
      <c r="F259" t="n">
        <v>28.0</v>
      </c>
      <c r="G259" s="2" t="n">
        <v>45648.0</v>
      </c>
      <c r="H259"/>
      <c r="I259" s="3" t="n">
        <v>1125.0</v>
      </c>
      <c r="J259" t="n">
        <v>22.0</v>
      </c>
      <c r="K259" t="n">
        <v>28.0</v>
      </c>
      <c r="L259" s="3" t="n">
        <f>IF(F259 &lt; 28, ROUND(F259 / DAY(EOMONTH(D259, 0)) * I259, 2), I259)</f>
        <v>0.0</v>
      </c>
      <c r="M259" s="3" t="n">
        <f>L259 * 0.10</f>
        <v>0.0</v>
      </c>
      <c r="N259" s="3" t="n">
        <f>L259 * 0.05</f>
        <v>0.0</v>
      </c>
      <c r="O259" s="3" t="n">
        <f>M259 + N259</f>
        <v>0.0</v>
      </c>
      <c r="P259" s="3" t="n">
        <f>L259 - O259</f>
        <v>0.0</v>
      </c>
    </row>
    <row r="260">
      <c r="A260" t="n">
        <v>36.0</v>
      </c>
      <c r="B260" t="inlineStr">
        <is>
          <t>LEASE-KH-F-2024</t>
        </is>
      </c>
      <c r="C260" t="inlineStr">
        <is>
          <t>Apartment F - Knighton Hayes Manor</t>
        </is>
      </c>
      <c r="D260" s="2" t="n">
        <v>45738.0</v>
      </c>
      <c r="E260" s="2" t="n">
        <v>45768.0</v>
      </c>
      <c r="F260" t="n">
        <v>31.0</v>
      </c>
      <c r="G260" s="2" t="n">
        <v>45648.0</v>
      </c>
      <c r="H260"/>
      <c r="I260" s="3" t="n">
        <v>1125.0</v>
      </c>
      <c r="J260" t="n">
        <v>22.0</v>
      </c>
      <c r="K260" t="n">
        <v>31.0</v>
      </c>
      <c r="L260" s="3" t="n">
        <f>IF(F260 &lt; 28, ROUND(F260 / DAY(EOMONTH(D260, 0)) * I260, 2), I260)</f>
        <v>0.0</v>
      </c>
      <c r="M260" s="3" t="n">
        <f>L260 * 0.10</f>
        <v>0.0</v>
      </c>
      <c r="N260" s="3" t="n">
        <f>L260 * 0.05</f>
        <v>0.0</v>
      </c>
      <c r="O260" s="3" t="n">
        <f>M260 + N260</f>
        <v>0.0</v>
      </c>
      <c r="P260" s="3" t="n">
        <f>L260 - O260</f>
        <v>0.0</v>
      </c>
    </row>
    <row r="261">
      <c r="A261" t="n">
        <v>36.0</v>
      </c>
      <c r="B261" t="inlineStr">
        <is>
          <t>LEASE-KH-F-2024</t>
        </is>
      </c>
      <c r="C261" t="inlineStr">
        <is>
          <t>Apartment F - Knighton Hayes Manor</t>
        </is>
      </c>
      <c r="D261" s="2" t="n">
        <v>45769.0</v>
      </c>
      <c r="E261" s="2" t="n">
        <v>45798.0</v>
      </c>
      <c r="F261" t="n">
        <v>30.0</v>
      </c>
      <c r="G261" s="2" t="n">
        <v>45648.0</v>
      </c>
      <c r="H261"/>
      <c r="I261" s="3" t="n">
        <v>1125.0</v>
      </c>
      <c r="J261" t="n">
        <v>22.0</v>
      </c>
      <c r="K261" t="n">
        <v>30.0</v>
      </c>
      <c r="L261" s="3" t="n">
        <f>IF(F261 &lt; 28, ROUND(F261 / DAY(EOMONTH(D261, 0)) * I261, 2), I261)</f>
        <v>0.0</v>
      </c>
      <c r="M261" s="3" t="n">
        <f>L261 * 0.10</f>
        <v>0.0</v>
      </c>
      <c r="N261" s="3" t="n">
        <f>L261 * 0.05</f>
        <v>0.0</v>
      </c>
      <c r="O261" s="3" t="n">
        <f>M261 + N261</f>
        <v>0.0</v>
      </c>
      <c r="P261" s="3" t="n">
        <f>L261 - O261</f>
        <v>0.0</v>
      </c>
    </row>
    <row r="262">
      <c r="A262" t="n">
        <v>36.0</v>
      </c>
      <c r="B262" t="inlineStr">
        <is>
          <t>LEASE-KH-F-2024</t>
        </is>
      </c>
      <c r="C262" t="inlineStr">
        <is>
          <t>Apartment F - Knighton Hayes Manor</t>
        </is>
      </c>
      <c r="D262" s="2" t="n">
        <v>45799.0</v>
      </c>
      <c r="E262" s="2" t="n">
        <v>45829.0</v>
      </c>
      <c r="F262" t="n">
        <v>31.0</v>
      </c>
      <c r="G262" s="2" t="n">
        <v>45648.0</v>
      </c>
      <c r="H262"/>
      <c r="I262" s="3" t="n">
        <v>1125.0</v>
      </c>
      <c r="J262" t="n">
        <v>22.0</v>
      </c>
      <c r="K262" t="n">
        <v>31.0</v>
      </c>
      <c r="L262" s="3" t="n">
        <f>IF(F262 &lt; 28, ROUND(F262 / DAY(EOMONTH(D262, 0)) * I262, 2), I262)</f>
        <v>0.0</v>
      </c>
      <c r="M262" s="3" t="n">
        <f>L262 * 0.10</f>
        <v>0.0</v>
      </c>
      <c r="N262" s="3" t="n">
        <f>L262 * 0.05</f>
        <v>0.0</v>
      </c>
      <c r="O262" s="3" t="n">
        <f>M262 + N262</f>
        <v>0.0</v>
      </c>
      <c r="P262" s="3" t="n">
        <f>L262 - O262</f>
        <v>0.0</v>
      </c>
    </row>
    <row r="263">
      <c r="A263" t="n">
        <v>36.0</v>
      </c>
      <c r="B263" t="inlineStr">
        <is>
          <t>LEASE-KH-F-2024</t>
        </is>
      </c>
      <c r="C263" t="inlineStr">
        <is>
          <t>Apartment F - Knighton Hayes Manor</t>
        </is>
      </c>
      <c r="D263" s="2" t="n">
        <v>45830.0</v>
      </c>
      <c r="E263" s="2" t="n">
        <v>45859.0</v>
      </c>
      <c r="F263" t="n">
        <v>30.0</v>
      </c>
      <c r="G263" s="2" t="n">
        <v>45648.0</v>
      </c>
      <c r="H263"/>
      <c r="I263" s="3" t="n">
        <v>1125.0</v>
      </c>
      <c r="J263" t="n">
        <v>22.0</v>
      </c>
      <c r="K263" t="n">
        <v>30.0</v>
      </c>
      <c r="L263" s="3" t="n">
        <f>IF(F263 &lt; 28, ROUND(F263 / DAY(EOMONTH(D263, 0)) * I263, 2), I263)</f>
        <v>0.0</v>
      </c>
      <c r="M263" s="3" t="n">
        <f>L263 * 0.10</f>
        <v>0.0</v>
      </c>
      <c r="N263" s="3" t="n">
        <f>L263 * 0.05</f>
        <v>0.0</v>
      </c>
      <c r="O263" s="3" t="n">
        <f>M263 + N263</f>
        <v>0.0</v>
      </c>
      <c r="P263" s="3" t="n">
        <f>L263 - O263</f>
        <v>0.0</v>
      </c>
    </row>
    <row r="264">
      <c r="A264" t="n">
        <v>36.0</v>
      </c>
      <c r="B264" t="inlineStr">
        <is>
          <t>LEASE-KH-F-2024</t>
        </is>
      </c>
      <c r="C264" t="inlineStr">
        <is>
          <t>Apartment F - Knighton Hayes Manor</t>
        </is>
      </c>
      <c r="D264" s="2" t="n">
        <v>45860.0</v>
      </c>
      <c r="E264" s="2" t="n">
        <v>45890.0</v>
      </c>
      <c r="F264" t="n">
        <v>31.0</v>
      </c>
      <c r="G264" s="2" t="n">
        <v>45648.0</v>
      </c>
      <c r="H264"/>
      <c r="I264" s="3" t="n">
        <v>1125.0</v>
      </c>
      <c r="J264" t="n">
        <v>22.0</v>
      </c>
      <c r="K264" t="n">
        <v>31.0</v>
      </c>
      <c r="L264" s="3" t="n">
        <f>IF(F264 &lt; 28, ROUND(F264 / DAY(EOMONTH(D264, 0)) * I264, 2), I264)</f>
        <v>0.0</v>
      </c>
      <c r="M264" s="3" t="n">
        <f>L264 * 0.10</f>
        <v>0.0</v>
      </c>
      <c r="N264" s="3" t="n">
        <f>L264 * 0.05</f>
        <v>0.0</v>
      </c>
      <c r="O264" s="3" t="n">
        <f>M264 + N264</f>
        <v>0.0</v>
      </c>
      <c r="P264" s="3" t="n">
        <f>L264 - O264</f>
        <v>0.0</v>
      </c>
    </row>
    <row r="265">
      <c r="A265" t="n">
        <v>36.0</v>
      </c>
      <c r="B265" t="inlineStr">
        <is>
          <t>LEASE-KH-F-2024</t>
        </is>
      </c>
      <c r="C265" t="inlineStr">
        <is>
          <t>Apartment F - Knighton Hayes Manor</t>
        </is>
      </c>
      <c r="D265" s="2" t="n">
        <v>45891.0</v>
      </c>
      <c r="E265" s="2" t="n">
        <v>45921.0</v>
      </c>
      <c r="F265" t="n">
        <v>31.0</v>
      </c>
      <c r="G265" s="2" t="n">
        <v>45648.0</v>
      </c>
      <c r="H265"/>
      <c r="I265" s="3" t="n">
        <v>1125.0</v>
      </c>
      <c r="J265" t="n">
        <v>22.0</v>
      </c>
      <c r="K265" t="n">
        <v>31.0</v>
      </c>
      <c r="L265" s="3" t="n">
        <f>IF(F265 &lt; 28, ROUND(F265 / DAY(EOMONTH(D265, 0)) * I265, 2), I265)</f>
        <v>0.0</v>
      </c>
      <c r="M265" s="3" t="n">
        <f>L265 * 0.10</f>
        <v>0.0</v>
      </c>
      <c r="N265" s="3" t="n">
        <f>L265 * 0.05</f>
        <v>0.0</v>
      </c>
      <c r="O265" s="3" t="n">
        <f>M265 + N265</f>
        <v>0.0</v>
      </c>
      <c r="P265" s="3" t="n">
        <f>L265 - O265</f>
        <v>0.0</v>
      </c>
    </row>
    <row r="266">
      <c r="A266" t="n">
        <v>36.0</v>
      </c>
      <c r="B266" t="inlineStr">
        <is>
          <t>LEASE-KH-F-2024</t>
        </is>
      </c>
      <c r="C266" t="inlineStr">
        <is>
          <t>Apartment F - Knighton Hayes Manor</t>
        </is>
      </c>
      <c r="D266" s="2" t="n">
        <v>45922.0</v>
      </c>
      <c r="E266" s="2" t="n">
        <v>45951.0</v>
      </c>
      <c r="F266" t="n">
        <v>30.0</v>
      </c>
      <c r="G266" s="2" t="n">
        <v>45648.0</v>
      </c>
      <c r="H266"/>
      <c r="I266" s="3" t="n">
        <v>1125.0</v>
      </c>
      <c r="J266" t="n">
        <v>22.0</v>
      </c>
      <c r="K266" t="n">
        <v>30.0</v>
      </c>
      <c r="L266" s="3" t="n">
        <f>IF(F266 &lt; 28, ROUND(F266 / DAY(EOMONTH(D266, 0)) * I266, 2), I266)</f>
        <v>0.0</v>
      </c>
      <c r="M266" s="3" t="n">
        <f>L266 * 0.10</f>
        <v>0.0</v>
      </c>
      <c r="N266" s="3" t="n">
        <f>L266 * 0.05</f>
        <v>0.0</v>
      </c>
      <c r="O266" s="3" t="n">
        <f>M266 + N266</f>
        <v>0.0</v>
      </c>
      <c r="P266" s="3" t="n">
        <f>L266 - O266</f>
        <v>0.0</v>
      </c>
    </row>
    <row r="267">
      <c r="A267" t="n">
        <v>36.0</v>
      </c>
      <c r="B267" t="inlineStr">
        <is>
          <t>LEASE-KH-F-2024</t>
        </is>
      </c>
      <c r="C267" t="inlineStr">
        <is>
          <t>Apartment F - Knighton Hayes Manor</t>
        </is>
      </c>
      <c r="D267" s="2" t="n">
        <v>45952.0</v>
      </c>
      <c r="E267" s="2" t="n">
        <v>45982.0</v>
      </c>
      <c r="F267" t="n">
        <v>31.0</v>
      </c>
      <c r="G267" s="2" t="n">
        <v>45648.0</v>
      </c>
      <c r="H267"/>
      <c r="I267" s="3" t="n">
        <v>1125.0</v>
      </c>
      <c r="J267" t="n">
        <v>22.0</v>
      </c>
      <c r="K267" t="n">
        <v>31.0</v>
      </c>
      <c r="L267" s="3" t="n">
        <f>IF(F267 &lt; 28, ROUND(F267 / DAY(EOMONTH(D267, 0)) * I267, 2), I267)</f>
        <v>0.0</v>
      </c>
      <c r="M267" s="3" t="n">
        <f>L267 * 0.10</f>
        <v>0.0</v>
      </c>
      <c r="N267" s="3" t="n">
        <f>L267 * 0.05</f>
        <v>0.0</v>
      </c>
      <c r="O267" s="3" t="n">
        <f>M267 + N267</f>
        <v>0.0</v>
      </c>
      <c r="P267" s="3" t="n">
        <f>L267 - O267</f>
        <v>0.0</v>
      </c>
    </row>
    <row r="268">
      <c r="A268" t="n">
        <v>78.0</v>
      </c>
      <c r="B268" t="inlineStr">
        <is>
          <t>LEASE-BH-F12-2025C</t>
        </is>
      </c>
      <c r="C268" t="inlineStr">
        <is>
          <t>Flat 12 - 3 West Gate</t>
        </is>
      </c>
      <c r="D268" s="2" t="n">
        <v>45940.0</v>
      </c>
      <c r="E268" s="2" t="n">
        <v>45970.0</v>
      </c>
      <c r="F268" t="n">
        <v>31.0</v>
      </c>
      <c r="G268" s="2" t="n">
        <v>45940.0</v>
      </c>
      <c r="H268"/>
      <c r="I268" s="3" t="n">
        <v>795.0</v>
      </c>
      <c r="J268" t="n">
        <v>10.0</v>
      </c>
      <c r="K268" t="n">
        <v>31.0</v>
      </c>
      <c r="L268" s="3" t="n">
        <f>IF(F268 &lt; 28, ROUND(F268 / DAY(EOMONTH(D268, 0)) * I268, 2), I268)</f>
        <v>0.0</v>
      </c>
      <c r="M268" s="3" t="n">
        <f>L268 * 0.10</f>
        <v>0.0</v>
      </c>
      <c r="N268" s="3" t="n">
        <f>L268 * 0.05</f>
        <v>0.0</v>
      </c>
      <c r="O268" s="3" t="n">
        <f>M268 + N268</f>
        <v>0.0</v>
      </c>
      <c r="P268" s="3" t="n">
        <f>L268 - O268</f>
        <v>0.0</v>
      </c>
    </row>
    <row r="269">
      <c r="A269" t="n">
        <v>78.0</v>
      </c>
      <c r="B269" t="inlineStr">
        <is>
          <t>LEASE-BH-F12-2025C</t>
        </is>
      </c>
      <c r="C269" t="inlineStr">
        <is>
          <t>Flat 12 - 3 West Gate</t>
        </is>
      </c>
      <c r="D269" s="2" t="n">
        <v>45971.0</v>
      </c>
      <c r="E269" s="2" t="n">
        <v>46000.0</v>
      </c>
      <c r="F269" t="n">
        <v>30.0</v>
      </c>
      <c r="G269" s="2" t="n">
        <v>45940.0</v>
      </c>
      <c r="H269"/>
      <c r="I269" s="3" t="n">
        <v>795.0</v>
      </c>
      <c r="J269" t="n">
        <v>10.0</v>
      </c>
      <c r="K269" t="n">
        <v>30.0</v>
      </c>
      <c r="L269" s="3" t="n">
        <f>IF(F269 &lt; 28, ROUND(F269 / DAY(EOMONTH(D269, 0)) * I269, 2), I269)</f>
        <v>0.0</v>
      </c>
      <c r="M269" s="3" t="n">
        <f>L269 * 0.10</f>
        <v>0.0</v>
      </c>
      <c r="N269" s="3" t="n">
        <f>L269 * 0.05</f>
        <v>0.0</v>
      </c>
      <c r="O269" s="3" t="n">
        <f>M269 + N269</f>
        <v>0.0</v>
      </c>
      <c r="P269" s="3" t="n">
        <f>L269 - O269</f>
        <v>0.0</v>
      </c>
    </row>
    <row r="270">
      <c r="A270" t="n">
        <v>79.0</v>
      </c>
      <c r="B270" t="inlineStr">
        <is>
          <t>LEASE-BH-F25-2025</t>
        </is>
      </c>
      <c r="C270" t="inlineStr">
        <is>
          <t>Flat 25 - 3 West Gate</t>
        </is>
      </c>
      <c r="D270" s="2" t="n">
        <v>45922.0</v>
      </c>
      <c r="E270" s="2" t="n">
        <v>45951.0</v>
      </c>
      <c r="F270" t="n">
        <v>30.0</v>
      </c>
      <c r="G270" s="2" t="n">
        <v>45922.0</v>
      </c>
      <c r="H270"/>
      <c r="I270" s="3" t="n">
        <v>765.0</v>
      </c>
      <c r="J270" t="n">
        <v>22.0</v>
      </c>
      <c r="K270" t="n">
        <v>30.0</v>
      </c>
      <c r="L270" s="3" t="n">
        <f>IF(F270 &lt; 28, ROUND(F270 / DAY(EOMONTH(D270, 0)) * I270, 2), I270)</f>
        <v>0.0</v>
      </c>
      <c r="M270" s="3" t="n">
        <f>L270 * 0.10</f>
        <v>0.0</v>
      </c>
      <c r="N270" s="3" t="n">
        <f>L270 * 0.05</f>
        <v>0.0</v>
      </c>
      <c r="O270" s="3" t="n">
        <f>M270 + N270</f>
        <v>0.0</v>
      </c>
      <c r="P270" s="3" t="n">
        <f>L270 - O270</f>
        <v>0.0</v>
      </c>
    </row>
    <row r="271">
      <c r="A271" t="n">
        <v>79.0</v>
      </c>
      <c r="B271" t="inlineStr">
        <is>
          <t>LEASE-BH-F25-2025</t>
        </is>
      </c>
      <c r="C271" t="inlineStr">
        <is>
          <t>Flat 25 - 3 West Gate</t>
        </is>
      </c>
      <c r="D271" s="2" t="n">
        <v>45952.0</v>
      </c>
      <c r="E271" s="2" t="n">
        <v>45982.0</v>
      </c>
      <c r="F271" t="n">
        <v>31.0</v>
      </c>
      <c r="G271" s="2" t="n">
        <v>45922.0</v>
      </c>
      <c r="H271"/>
      <c r="I271" s="3" t="n">
        <v>765.0</v>
      </c>
      <c r="J271" t="n">
        <v>22.0</v>
      </c>
      <c r="K271" t="n">
        <v>31.0</v>
      </c>
      <c r="L271" s="3" t="n">
        <f>IF(F271 &lt; 28, ROUND(F271 / DAY(EOMONTH(D271, 0)) * I271, 2), I271)</f>
        <v>0.0</v>
      </c>
      <c r="M271" s="3" t="n">
        <f>L271 * 0.10</f>
        <v>0.0</v>
      </c>
      <c r="N271" s="3" t="n">
        <f>L271 * 0.05</f>
        <v>0.0</v>
      </c>
      <c r="O271" s="3" t="n">
        <f>M271 + N271</f>
        <v>0.0</v>
      </c>
      <c r="P271" s="3" t="n">
        <f>L271 - O271</f>
        <v>0.0</v>
      </c>
    </row>
    <row r="272">
      <c r="A272" t="n">
        <v>86.0</v>
      </c>
      <c r="B272" t="inlineStr">
        <is>
          <t>BODEN-BLOCK-2025</t>
        </is>
      </c>
      <c r="C272" t="inlineStr">
        <is>
          <t>Boden House Block - Block Property</t>
        </is>
      </c>
      <c r="D272" s="2" t="n">
        <v>45717.0</v>
      </c>
      <c r="E272" s="2" t="n">
        <v>45747.0</v>
      </c>
      <c r="F272" t="n">
        <v>31.0</v>
      </c>
      <c r="G272" s="2" t="n">
        <v>45717.0</v>
      </c>
      <c r="H272"/>
      <c r="I272" s="3" t="n">
        <v>0.01</v>
      </c>
      <c r="J272" t="n">
        <v>1.0</v>
      </c>
      <c r="K272" t="n">
        <v>31.0</v>
      </c>
      <c r="L272" s="3" t="n">
        <f>IF(F272 &lt; 28, ROUND(F272 / DAY(EOMONTH(D272, 0)) * I272, 2), I272)</f>
        <v>0.0</v>
      </c>
      <c r="M272" s="3" t="n">
        <f>L272 * 0.10</f>
        <v>0.0</v>
      </c>
      <c r="N272" s="3" t="n">
        <f>L272 * 0.05</f>
        <v>0.0</v>
      </c>
      <c r="O272" s="3" t="n">
        <f>M272 + N272</f>
        <v>0.0</v>
      </c>
      <c r="P272" s="3" t="n">
        <f>L272 - O272</f>
        <v>0.0</v>
      </c>
    </row>
    <row r="273">
      <c r="A273" t="n">
        <v>86.0</v>
      </c>
      <c r="B273" t="inlineStr">
        <is>
          <t>BODEN-BLOCK-2025</t>
        </is>
      </c>
      <c r="C273" t="inlineStr">
        <is>
          <t>Boden House Block - Block Property</t>
        </is>
      </c>
      <c r="D273" s="2" t="n">
        <v>45748.0</v>
      </c>
      <c r="E273" s="2" t="n">
        <v>45777.0</v>
      </c>
      <c r="F273" t="n">
        <v>30.0</v>
      </c>
      <c r="G273" s="2" t="n">
        <v>45717.0</v>
      </c>
      <c r="H273"/>
      <c r="I273" s="3" t="n">
        <v>0.01</v>
      </c>
      <c r="J273" t="n">
        <v>1.0</v>
      </c>
      <c r="K273" t="n">
        <v>30.0</v>
      </c>
      <c r="L273" s="3" t="n">
        <v>0.0</v>
      </c>
      <c r="M273" s="3" t="n">
        <f>L273 * 0.10</f>
        <v>0.0</v>
      </c>
      <c r="N273" s="3" t="n">
        <f>L273 * 0.05</f>
        <v>0.0</v>
      </c>
      <c r="O273" s="3" t="n">
        <f>M273 + N273</f>
        <v>0.0</v>
      </c>
      <c r="P273" s="3" t="n">
        <f>L273 - O273</f>
        <v>0.0</v>
      </c>
    </row>
    <row r="274">
      <c r="A274" t="n">
        <v>86.0</v>
      </c>
      <c r="B274" t="inlineStr">
        <is>
          <t>BODEN-BLOCK-2025</t>
        </is>
      </c>
      <c r="C274" t="inlineStr">
        <is>
          <t>Boden House Block - Block Property</t>
        </is>
      </c>
      <c r="D274" s="2" t="n">
        <v>45778.0</v>
      </c>
      <c r="E274" s="2" t="n">
        <v>45808.0</v>
      </c>
      <c r="F274" t="n">
        <v>31.0</v>
      </c>
      <c r="G274" s="2" t="n">
        <v>45717.0</v>
      </c>
      <c r="H274"/>
      <c r="I274" s="3" t="n">
        <v>0.01</v>
      </c>
      <c r="J274" t="n">
        <v>1.0</v>
      </c>
      <c r="K274" t="n">
        <v>31.0</v>
      </c>
      <c r="L274" s="3" t="n">
        <v>0.0</v>
      </c>
      <c r="M274" s="3" t="n">
        <f>L274 * 0.10</f>
        <v>0.0</v>
      </c>
      <c r="N274" s="3" t="n">
        <f>L274 * 0.05</f>
        <v>0.0</v>
      </c>
      <c r="O274" s="3" t="n">
        <f>M274 + N274</f>
        <v>0.0</v>
      </c>
      <c r="P274" s="3" t="n">
        <f>L274 - O274</f>
        <v>0.0</v>
      </c>
    </row>
    <row r="275">
      <c r="A275" t="n">
        <v>86.0</v>
      </c>
      <c r="B275" t="inlineStr">
        <is>
          <t>BODEN-BLOCK-2025</t>
        </is>
      </c>
      <c r="C275" t="inlineStr">
        <is>
          <t>Boden House Block - Block Property</t>
        </is>
      </c>
      <c r="D275" s="2" t="n">
        <v>45809.0</v>
      </c>
      <c r="E275" s="2" t="n">
        <v>45838.0</v>
      </c>
      <c r="F275" t="n">
        <v>30.0</v>
      </c>
      <c r="G275" s="2" t="n">
        <v>45717.0</v>
      </c>
      <c r="H275"/>
      <c r="I275" s="3" t="n">
        <v>0.01</v>
      </c>
      <c r="J275" t="n">
        <v>1.0</v>
      </c>
      <c r="K275" t="n">
        <v>30.0</v>
      </c>
      <c r="L275" s="3" t="n">
        <v>0.0</v>
      </c>
      <c r="M275" s="3" t="n">
        <f>L275 * 0.10</f>
        <v>0.0</v>
      </c>
      <c r="N275" s="3" t="n">
        <f>L275 * 0.05</f>
        <v>0.0</v>
      </c>
      <c r="O275" s="3" t="n">
        <f>M275 + N275</f>
        <v>0.0</v>
      </c>
      <c r="P275" s="3" t="n">
        <f>L275 - O275</f>
        <v>0.0</v>
      </c>
    </row>
    <row r="276">
      <c r="A276" t="n">
        <v>86.0</v>
      </c>
      <c r="B276" t="inlineStr">
        <is>
          <t>BODEN-BLOCK-2025</t>
        </is>
      </c>
      <c r="C276" t="inlineStr">
        <is>
          <t>Boden House Block - Block Property</t>
        </is>
      </c>
      <c r="D276" s="2" t="n">
        <v>45839.0</v>
      </c>
      <c r="E276" s="2" t="n">
        <v>45869.0</v>
      </c>
      <c r="F276" t="n">
        <v>31.0</v>
      </c>
      <c r="G276" s="2" t="n">
        <v>45717.0</v>
      </c>
      <c r="H276"/>
      <c r="I276" s="3" t="n">
        <v>0.01</v>
      </c>
      <c r="J276" t="n">
        <v>1.0</v>
      </c>
      <c r="K276" t="n">
        <v>31.0</v>
      </c>
      <c r="L276" s="3" t="n">
        <v>0.0</v>
      </c>
      <c r="M276" s="3" t="n">
        <f>L276 * 0.10</f>
        <v>0.0</v>
      </c>
      <c r="N276" s="3" t="n">
        <f>L276 * 0.05</f>
        <v>0.0</v>
      </c>
      <c r="O276" s="3" t="n">
        <f>M276 + N276</f>
        <v>0.0</v>
      </c>
      <c r="P276" s="3" t="n">
        <f>L276 - O276</f>
        <v>0.0</v>
      </c>
    </row>
    <row r="277">
      <c r="A277" t="n">
        <v>86.0</v>
      </c>
      <c r="B277" t="inlineStr">
        <is>
          <t>BODEN-BLOCK-2025</t>
        </is>
      </c>
      <c r="C277" t="inlineStr">
        <is>
          <t>Boden House Block - Block Property</t>
        </is>
      </c>
      <c r="D277" s="2" t="n">
        <v>45870.0</v>
      </c>
      <c r="E277" s="2" t="n">
        <v>45900.0</v>
      </c>
      <c r="F277" t="n">
        <v>31.0</v>
      </c>
      <c r="G277" s="2" t="n">
        <v>45717.0</v>
      </c>
      <c r="H277"/>
      <c r="I277" s="3" t="n">
        <v>0.01</v>
      </c>
      <c r="J277" t="n">
        <v>1.0</v>
      </c>
      <c r="K277" t="n">
        <v>31.0</v>
      </c>
      <c r="L277" s="3" t="n">
        <v>0.0</v>
      </c>
      <c r="M277" s="3" t="n">
        <f>L277 * 0.10</f>
        <v>0.0</v>
      </c>
      <c r="N277" s="3" t="n">
        <f>L277 * 0.05</f>
        <v>0.0</v>
      </c>
      <c r="O277" s="3" t="n">
        <f>M277 + N277</f>
        <v>0.0</v>
      </c>
      <c r="P277" s="3" t="n">
        <f>L277 - O277</f>
        <v>0.0</v>
      </c>
    </row>
    <row r="278">
      <c r="A278" t="n">
        <v>86.0</v>
      </c>
      <c r="B278" t="inlineStr">
        <is>
          <t>BODEN-BLOCK-2025</t>
        </is>
      </c>
      <c r="C278" t="inlineStr">
        <is>
          <t>Boden House Block - Block Property</t>
        </is>
      </c>
      <c r="D278" s="2" t="n">
        <v>45901.0</v>
      </c>
      <c r="E278" s="2" t="n">
        <v>45930.0</v>
      </c>
      <c r="F278" t="n">
        <v>30.0</v>
      </c>
      <c r="G278" s="2" t="n">
        <v>45717.0</v>
      </c>
      <c r="H278"/>
      <c r="I278" s="3" t="n">
        <v>0.01</v>
      </c>
      <c r="J278" t="n">
        <v>1.0</v>
      </c>
      <c r="K278" t="n">
        <v>30.0</v>
      </c>
      <c r="L278" s="3" t="n">
        <v>0.0</v>
      </c>
      <c r="M278" s="3" t="n">
        <f>L278 * 0.10</f>
        <v>0.0</v>
      </c>
      <c r="N278" s="3" t="n">
        <f>L278 * 0.05</f>
        <v>0.0</v>
      </c>
      <c r="O278" s="3" t="n">
        <f>M278 + N278</f>
        <v>0.0</v>
      </c>
      <c r="P278" s="3" t="n">
        <f>L278 - O278</f>
        <v>0.0</v>
      </c>
    </row>
    <row r="279">
      <c r="A279" t="n">
        <v>86.0</v>
      </c>
      <c r="B279" t="inlineStr">
        <is>
          <t>BODEN-BLOCK-2025</t>
        </is>
      </c>
      <c r="C279" t="inlineStr">
        <is>
          <t>Boden House Block - Block Property</t>
        </is>
      </c>
      <c r="D279" s="2" t="n">
        <v>45931.0</v>
      </c>
      <c r="E279" s="2" t="n">
        <v>45961.0</v>
      </c>
      <c r="F279" t="n">
        <v>31.0</v>
      </c>
      <c r="G279" s="2" t="n">
        <v>45717.0</v>
      </c>
      <c r="H279"/>
      <c r="I279" s="3" t="n">
        <v>0.01</v>
      </c>
      <c r="J279" t="n">
        <v>1.0</v>
      </c>
      <c r="K279" t="n">
        <v>31.0</v>
      </c>
      <c r="L279" s="3" t="n">
        <v>0.0</v>
      </c>
      <c r="M279" s="3" t="n">
        <f>L279 * 0.10</f>
        <v>0.0</v>
      </c>
      <c r="N279" s="3" t="n">
        <f>L279 * 0.05</f>
        <v>0.0</v>
      </c>
      <c r="O279" s="3" t="n">
        <f>M279 + N279</f>
        <v>0.0</v>
      </c>
      <c r="P279" s="3" t="n">
        <f>L279 - O279</f>
        <v>0.0</v>
      </c>
    </row>
    <row r="280">
      <c r="A280" t="n">
        <v>86.0</v>
      </c>
      <c r="B280" t="inlineStr">
        <is>
          <t>BODEN-BLOCK-2025</t>
        </is>
      </c>
      <c r="C280" t="inlineStr">
        <is>
          <t>Boden House Block - Block Property</t>
        </is>
      </c>
      <c r="D280" s="2" t="n">
        <v>45962.0</v>
      </c>
      <c r="E280" s="2" t="n">
        <v>45991.0</v>
      </c>
      <c r="F280" t="n">
        <v>30.0</v>
      </c>
      <c r="G280" s="2" t="n">
        <v>45717.0</v>
      </c>
      <c r="H280"/>
      <c r="I280" s="3" t="n">
        <v>0.01</v>
      </c>
      <c r="J280" t="n">
        <v>1.0</v>
      </c>
      <c r="K280" t="n">
        <v>30.0</v>
      </c>
      <c r="L280" s="3" t="n">
        <v>0.0</v>
      </c>
      <c r="M280" s="3" t="n">
        <f>L280 * 0.10</f>
        <v>0.0</v>
      </c>
      <c r="N280" s="3" t="n">
        <f>L280 * 0.05</f>
        <v>0.0</v>
      </c>
      <c r="O280" s="3" t="n">
        <f>M280 + N280</f>
        <v>0.0</v>
      </c>
      <c r="P280" s="3" t="n">
        <f>L280 - O280</f>
        <v>0.0</v>
      </c>
    </row>
    <row r="281">
      <c r="A281" t="n">
        <v>88.0</v>
      </c>
      <c r="B281" t="inlineStr">
        <is>
          <t>LEASE-88</t>
        </is>
      </c>
      <c r="C281" t="inlineStr">
        <is>
          <t>Flat 28 - 3 West Gate</t>
        </is>
      </c>
      <c r="D281" s="2" t="n">
        <v>45956.0</v>
      </c>
      <c r="E281" s="2" t="n">
        <v>45986.0</v>
      </c>
      <c r="F281" t="n">
        <v>31.0</v>
      </c>
      <c r="G281" s="2" t="n">
        <v>45956.0</v>
      </c>
      <c r="H281"/>
      <c r="I281" s="3" t="n">
        <v>750.0</v>
      </c>
      <c r="J281" t="n">
        <v>26.0</v>
      </c>
      <c r="K281" t="n">
        <v>31.0</v>
      </c>
      <c r="L281" s="3" t="n">
        <f>IF(F281 &lt; 28, ROUND(F281 / DAY(EOMONTH(D281, 0)) * I281, 2), I281)</f>
        <v>0.0</v>
      </c>
      <c r="M281" s="3" t="n">
        <f>L281 * 0.10</f>
        <v>0.0</v>
      </c>
      <c r="N281" s="3" t="n">
        <f>L281 * 0.05</f>
        <v>0.0</v>
      </c>
      <c r="O281" s="3" t="n">
        <f>M281 + N281</f>
        <v>0.0</v>
      </c>
      <c r="P281" s="3" t="n">
        <f>L281 - O281</f>
        <v>0.0</v>
      </c>
    </row>
  </sheetData>
  <pageMargins bottom="0.75" footer="0.3" header="0.3" left="0.7" right="0.7" top="0.75"/>
</worksheet>
</file>

<file path=xl/worksheets/sheet4.xml><?xml version="1.0" encoding="utf-8"?>
<worksheet xmlns="http://schemas.openxmlformats.org/spreadsheetml/2006/main">
  <dimension ref="A1:O291"/>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s>
  <sheetData>
    <row r="1">
      <c r="A1" s="1" t="inlineStr">
        <is>
          <t>lease_id</t>
        </is>
      </c>
      <c r="B1" s="1" t="inlineStr">
        <is>
          <t>lease_reference</t>
        </is>
      </c>
      <c r="C1" s="1" t="inlineStr">
        <is>
          <t>property_name</t>
        </is>
      </c>
      <c r="D1" s="1" t="inlineStr">
        <is>
          <t>rent_due_date</t>
        </is>
      </c>
      <c r="E1" s="1" t="inlineStr">
        <is>
          <t>period_start</t>
        </is>
      </c>
      <c r="F1" s="1" t="inlineStr">
        <is>
          <t>period_end</t>
        </is>
      </c>
      <c r="G1" s="1" t="inlineStr">
        <is>
          <t>payment_1_date</t>
        </is>
      </c>
      <c r="H1" s="1" t="inlineStr">
        <is>
          <t>payment_1_amount</t>
        </is>
      </c>
      <c r="I1" s="1" t="inlineStr">
        <is>
          <t>payment_2_date</t>
        </is>
      </c>
      <c r="J1" s="1" t="inlineStr">
        <is>
          <t>payment_2_amount</t>
        </is>
      </c>
      <c r="K1" s="1" t="inlineStr">
        <is>
          <t>payment_3_date</t>
        </is>
      </c>
      <c r="L1" s="1" t="inlineStr">
        <is>
          <t>payment_3_amount</t>
        </is>
      </c>
      <c r="M1" s="1" t="inlineStr">
        <is>
          <t>payment_4_date</t>
        </is>
      </c>
      <c r="N1" s="1" t="inlineStr">
        <is>
          <t>payment_4_amount</t>
        </is>
      </c>
      <c r="O1" s="1" t="inlineStr">
        <is>
          <t>total_received</t>
        </is>
      </c>
    </row>
    <row r="2">
      <c r="A2" t="n">
        <v>1.0</v>
      </c>
      <c r="B2" t="inlineStr">
        <is>
          <t>LEASE-BH-F1-2025</t>
        </is>
      </c>
      <c r="C2" t="inlineStr">
        <is>
          <t>Flat 1 - 3 West Gate</t>
        </is>
      </c>
      <c r="D2" s="2" t="n">
        <v>45715.0</v>
      </c>
      <c r="E2" s="2" t="n">
        <v>45715.0</v>
      </c>
      <c r="F2" s="2" t="n">
        <v>45742.0</v>
      </c>
      <c r="G2" s="2" t="n">
        <v>45720.0</v>
      </c>
      <c r="H2" s="3" t="n">
        <v>795.0</v>
      </c>
      <c r="I2"/>
      <c r="J2"/>
      <c r="K2"/>
      <c r="L2"/>
      <c r="M2"/>
      <c r="N2"/>
      <c r="O2" s="3" t="n">
        <v>795.0</v>
      </c>
    </row>
    <row r="3">
      <c r="A3" t="n">
        <v>1.0</v>
      </c>
      <c r="B3" t="inlineStr">
        <is>
          <t>LEASE-BH-F1-2025</t>
        </is>
      </c>
      <c r="C3" t="inlineStr">
        <is>
          <t>Flat 1 - 3 West Gate</t>
        </is>
      </c>
      <c r="D3" s="2" t="n">
        <v>45743.0</v>
      </c>
      <c r="E3" s="2" t="n">
        <v>45743.0</v>
      </c>
      <c r="F3" s="2" t="n">
        <v>45773.0</v>
      </c>
      <c r="G3" s="2" t="n">
        <v>45751.0</v>
      </c>
      <c r="H3" s="3" t="n">
        <v>795.0</v>
      </c>
      <c r="I3"/>
      <c r="J3"/>
      <c r="K3"/>
      <c r="L3"/>
      <c r="M3"/>
      <c r="N3"/>
      <c r="O3" s="3" t="n">
        <v>795.0</v>
      </c>
    </row>
    <row r="4">
      <c r="A4" t="n">
        <v>1.0</v>
      </c>
      <c r="B4" t="inlineStr">
        <is>
          <t>LEASE-BH-F1-2025</t>
        </is>
      </c>
      <c r="C4" t="inlineStr">
        <is>
          <t>Flat 1 - 3 West Gate</t>
        </is>
      </c>
      <c r="D4" s="2" t="n">
        <v>45774.0</v>
      </c>
      <c r="E4" s="2" t="n">
        <v>45774.0</v>
      </c>
      <c r="F4" s="2" t="n">
        <v>45803.0</v>
      </c>
      <c r="G4" s="2" t="n">
        <v>45783.0</v>
      </c>
      <c r="H4" s="3" t="n">
        <v>795.0</v>
      </c>
      <c r="I4"/>
      <c r="J4"/>
      <c r="K4"/>
      <c r="L4"/>
      <c r="M4"/>
      <c r="N4"/>
      <c r="O4" s="3" t="n">
        <v>795.0</v>
      </c>
    </row>
    <row r="5">
      <c r="A5" t="n">
        <v>1.0</v>
      </c>
      <c r="B5" t="inlineStr">
        <is>
          <t>LEASE-BH-F1-2025</t>
        </is>
      </c>
      <c r="C5" t="inlineStr">
        <is>
          <t>Flat 1 - 3 West Gate</t>
        </is>
      </c>
      <c r="D5" s="2" t="n">
        <v>45804.0</v>
      </c>
      <c r="E5" s="2" t="n">
        <v>45804.0</v>
      </c>
      <c r="F5" s="2" t="n">
        <v>45834.0</v>
      </c>
      <c r="G5" s="2" t="n">
        <v>45812.0</v>
      </c>
      <c r="H5" s="3" t="n">
        <v>795.0</v>
      </c>
      <c r="I5"/>
      <c r="J5"/>
      <c r="K5"/>
      <c r="L5"/>
      <c r="M5"/>
      <c r="N5"/>
      <c r="O5" s="3" t="n">
        <v>795.0</v>
      </c>
    </row>
    <row r="6">
      <c r="A6" t="n">
        <v>1.0</v>
      </c>
      <c r="B6" t="inlineStr">
        <is>
          <t>LEASE-BH-F1-2025</t>
        </is>
      </c>
      <c r="C6" t="inlineStr">
        <is>
          <t>Flat 1 - 3 West Gate</t>
        </is>
      </c>
      <c r="D6" s="2" t="n">
        <v>45835.0</v>
      </c>
      <c r="E6" s="2" t="n">
        <v>45835.0</v>
      </c>
      <c r="F6" s="2" t="n">
        <v>45864.0</v>
      </c>
      <c r="G6" s="2" t="n">
        <v>45842.0</v>
      </c>
      <c r="H6" s="3" t="n">
        <v>795.0</v>
      </c>
      <c r="I6"/>
      <c r="J6"/>
      <c r="K6"/>
      <c r="L6"/>
      <c r="M6"/>
      <c r="N6"/>
      <c r="O6" s="3" t="n">
        <v>795.0</v>
      </c>
    </row>
    <row r="7">
      <c r="A7" t="n">
        <v>1.0</v>
      </c>
      <c r="B7" t="inlineStr">
        <is>
          <t>LEASE-BH-F1-2025</t>
        </is>
      </c>
      <c r="C7" t="inlineStr">
        <is>
          <t>Flat 1 - 3 West Gate</t>
        </is>
      </c>
      <c r="D7" s="2" t="n">
        <v>45865.0</v>
      </c>
      <c r="E7" s="2" t="n">
        <v>45865.0</v>
      </c>
      <c r="F7" s="2" t="n">
        <v>45895.0</v>
      </c>
      <c r="G7" s="2" t="n">
        <v>45873.0</v>
      </c>
      <c r="H7" s="3" t="n">
        <v>795.0</v>
      </c>
      <c r="I7"/>
      <c r="J7"/>
      <c r="K7"/>
      <c r="L7"/>
      <c r="M7"/>
      <c r="N7"/>
      <c r="O7" s="3" t="n">
        <v>795.0</v>
      </c>
    </row>
    <row r="8">
      <c r="A8" t="n">
        <v>1.0</v>
      </c>
      <c r="B8" t="inlineStr">
        <is>
          <t>LEASE-BH-F1-2025</t>
        </is>
      </c>
      <c r="C8" t="inlineStr">
        <is>
          <t>Flat 1 - 3 West Gate</t>
        </is>
      </c>
      <c r="D8" s="2" t="n">
        <v>45896.0</v>
      </c>
      <c r="E8" s="2" t="n">
        <v>45896.0</v>
      </c>
      <c r="F8" s="2" t="n">
        <v>45926.0</v>
      </c>
      <c r="G8" s="2" t="n">
        <v>45904.0</v>
      </c>
      <c r="H8" s="3" t="n">
        <v>795.0</v>
      </c>
      <c r="I8"/>
      <c r="J8"/>
      <c r="K8"/>
      <c r="L8"/>
      <c r="M8"/>
      <c r="N8"/>
      <c r="O8" s="3" t="n">
        <v>795.0</v>
      </c>
    </row>
    <row r="9">
      <c r="A9" t="n">
        <v>1.0</v>
      </c>
      <c r="B9" t="inlineStr">
        <is>
          <t>LEASE-BH-F1-2025</t>
        </is>
      </c>
      <c r="C9" t="inlineStr">
        <is>
          <t>Flat 1 - 3 West Gate</t>
        </is>
      </c>
      <c r="D9" s="2" t="n">
        <v>45927.0</v>
      </c>
      <c r="E9" s="2" t="n">
        <v>45927.0</v>
      </c>
      <c r="F9" s="2" t="n">
        <v>45956.0</v>
      </c>
      <c r="G9" s="2" t="n">
        <v>45936.0</v>
      </c>
      <c r="H9" s="3" t="n">
        <v>795.0</v>
      </c>
      <c r="I9"/>
      <c r="J9"/>
      <c r="K9"/>
      <c r="L9"/>
      <c r="M9"/>
      <c r="N9"/>
      <c r="O9" s="3" t="n">
        <v>795.0</v>
      </c>
    </row>
    <row r="10">
      <c r="A10" t="n">
        <v>1.0</v>
      </c>
      <c r="B10" t="inlineStr">
        <is>
          <t>LEASE-BH-F1-2025</t>
        </is>
      </c>
      <c r="C10" t="inlineStr">
        <is>
          <t>Flat 1 - 3 West Gate</t>
        </is>
      </c>
      <c r="D10" s="2" t="n">
        <v>45957.0</v>
      </c>
      <c r="E10" s="2" t="n">
        <v>45957.0</v>
      </c>
      <c r="F10" s="2" t="n">
        <v>45987.0</v>
      </c>
      <c r="G10" s="2" t="n">
        <v>45965.0</v>
      </c>
      <c r="H10" s="3" t="n">
        <v>795.0</v>
      </c>
      <c r="I10"/>
      <c r="J10"/>
      <c r="K10"/>
      <c r="L10"/>
      <c r="M10"/>
      <c r="N10"/>
      <c r="O10" s="3" t="n">
        <v>795.0</v>
      </c>
    </row>
    <row r="11">
      <c r="A11" t="n">
        <v>2.0</v>
      </c>
      <c r="B11" t="inlineStr">
        <is>
          <t>LEASE-BH-F2-2025</t>
        </is>
      </c>
      <c r="C11" t="inlineStr">
        <is>
          <t>Flat 2 - 3 West Gate</t>
        </is>
      </c>
      <c r="D11" s="2" t="n">
        <v>45715.0</v>
      </c>
      <c r="E11" s="2" t="n">
        <v>45715.0</v>
      </c>
      <c r="F11" s="2" t="n">
        <v>45742.0</v>
      </c>
      <c r="G11" s="2" t="n">
        <v>45719.0</v>
      </c>
      <c r="H11" s="3" t="n">
        <v>740.0</v>
      </c>
      <c r="I11"/>
      <c r="J11"/>
      <c r="K11"/>
      <c r="L11"/>
      <c r="M11"/>
      <c r="N11"/>
      <c r="O11" s="3" t="n">
        <v>740.0</v>
      </c>
    </row>
    <row r="12">
      <c r="A12" t="n">
        <v>2.0</v>
      </c>
      <c r="B12" t="inlineStr">
        <is>
          <t>LEASE-BH-F2-2025</t>
        </is>
      </c>
      <c r="C12" t="inlineStr">
        <is>
          <t>Flat 2 - 3 West Gate</t>
        </is>
      </c>
      <c r="D12" s="2" t="n">
        <v>45743.0</v>
      </c>
      <c r="E12" s="2" t="n">
        <v>45743.0</v>
      </c>
      <c r="F12" s="2" t="n">
        <v>45773.0</v>
      </c>
      <c r="G12" s="2" t="n">
        <v>45749.0</v>
      </c>
      <c r="H12" s="3" t="n">
        <v>740.0</v>
      </c>
      <c r="I12"/>
      <c r="J12"/>
      <c r="K12"/>
      <c r="L12"/>
      <c r="M12"/>
      <c r="N12"/>
      <c r="O12" s="3" t="n">
        <v>740.0</v>
      </c>
    </row>
    <row r="13">
      <c r="A13" t="n">
        <v>2.0</v>
      </c>
      <c r="B13" t="inlineStr">
        <is>
          <t>LEASE-BH-F2-2025</t>
        </is>
      </c>
      <c r="C13" t="inlineStr">
        <is>
          <t>Flat 2 - 3 West Gate</t>
        </is>
      </c>
      <c r="D13" s="2" t="n">
        <v>45774.0</v>
      </c>
      <c r="E13" s="2" t="n">
        <v>45774.0</v>
      </c>
      <c r="F13" s="2" t="n">
        <v>45803.0</v>
      </c>
      <c r="G13" s="2" t="n">
        <v>45779.0</v>
      </c>
      <c r="H13" s="3" t="n">
        <v>740.0</v>
      </c>
      <c r="I13"/>
      <c r="J13"/>
      <c r="K13"/>
      <c r="L13"/>
      <c r="M13"/>
      <c r="N13"/>
      <c r="O13" s="3" t="n">
        <v>740.0</v>
      </c>
    </row>
    <row r="14">
      <c r="A14" t="n">
        <v>2.0</v>
      </c>
      <c r="B14" t="inlineStr">
        <is>
          <t>LEASE-BH-F2-2025</t>
        </is>
      </c>
      <c r="C14" t="inlineStr">
        <is>
          <t>Flat 2 - 3 West Gate</t>
        </is>
      </c>
      <c r="D14" s="2" t="n">
        <v>45804.0</v>
      </c>
      <c r="E14" s="2" t="n">
        <v>45804.0</v>
      </c>
      <c r="F14" s="2" t="n">
        <v>45834.0</v>
      </c>
      <c r="G14" s="2" t="n">
        <v>45810.0</v>
      </c>
      <c r="H14" s="3" t="n">
        <v>740.0</v>
      </c>
      <c r="I14"/>
      <c r="J14"/>
      <c r="K14"/>
      <c r="L14"/>
      <c r="M14"/>
      <c r="N14"/>
      <c r="O14" s="3" t="n">
        <v>740.0</v>
      </c>
    </row>
    <row r="15">
      <c r="A15" t="n">
        <v>2.0</v>
      </c>
      <c r="B15" t="inlineStr">
        <is>
          <t>LEASE-BH-F2-2025</t>
        </is>
      </c>
      <c r="C15" t="inlineStr">
        <is>
          <t>Flat 2 - 3 West Gate</t>
        </is>
      </c>
      <c r="D15" s="2" t="n">
        <v>45835.0</v>
      </c>
      <c r="E15" s="2" t="n">
        <v>45835.0</v>
      </c>
      <c r="F15" s="2" t="n">
        <v>45864.0</v>
      </c>
      <c r="G15" s="2" t="n">
        <v>45840.0</v>
      </c>
      <c r="H15" s="3" t="n">
        <v>740.0</v>
      </c>
      <c r="I15"/>
      <c r="J15"/>
      <c r="K15"/>
      <c r="L15"/>
      <c r="M15"/>
      <c r="N15"/>
      <c r="O15" s="3" t="n">
        <v>740.0</v>
      </c>
    </row>
    <row r="16">
      <c r="A16" t="n">
        <v>2.0</v>
      </c>
      <c r="B16" t="inlineStr">
        <is>
          <t>LEASE-BH-F2-2025</t>
        </is>
      </c>
      <c r="C16" t="inlineStr">
        <is>
          <t>Flat 2 - 3 West Gate</t>
        </is>
      </c>
      <c r="D16" s="2" t="n">
        <v>45865.0</v>
      </c>
      <c r="E16" s="2" t="n">
        <v>45865.0</v>
      </c>
      <c r="F16" s="2" t="n">
        <v>45895.0</v>
      </c>
      <c r="G16" s="2" t="n">
        <v>45873.0</v>
      </c>
      <c r="H16" s="3" t="n">
        <v>740.0</v>
      </c>
      <c r="I16"/>
      <c r="J16"/>
      <c r="K16"/>
      <c r="L16"/>
      <c r="M16"/>
      <c r="N16"/>
      <c r="O16" s="3" t="n">
        <v>740.0</v>
      </c>
    </row>
    <row r="17">
      <c r="A17" t="n">
        <v>2.0</v>
      </c>
      <c r="B17" t="inlineStr">
        <is>
          <t>LEASE-BH-F2-2025</t>
        </is>
      </c>
      <c r="C17" t="inlineStr">
        <is>
          <t>Flat 2 - 3 West Gate</t>
        </is>
      </c>
      <c r="D17" s="2" t="n">
        <v>45896.0</v>
      </c>
      <c r="E17" s="2" t="n">
        <v>45896.0</v>
      </c>
      <c r="F17" s="2" t="n">
        <v>45926.0</v>
      </c>
      <c r="G17" s="2" t="n">
        <v>45902.0</v>
      </c>
      <c r="H17" s="3" t="n">
        <v>740.0</v>
      </c>
      <c r="I17"/>
      <c r="J17"/>
      <c r="K17"/>
      <c r="L17"/>
      <c r="M17"/>
      <c r="N17"/>
      <c r="O17" s="3" t="n">
        <v>740.0</v>
      </c>
    </row>
    <row r="18">
      <c r="A18" t="n">
        <v>2.0</v>
      </c>
      <c r="B18" t="inlineStr">
        <is>
          <t>LEASE-BH-F2-2025</t>
        </is>
      </c>
      <c r="C18" t="inlineStr">
        <is>
          <t>Flat 2 - 3 West Gate</t>
        </is>
      </c>
      <c r="D18" s="2" t="n">
        <v>45927.0</v>
      </c>
      <c r="E18" s="2" t="n">
        <v>45927.0</v>
      </c>
      <c r="F18" s="2" t="n">
        <v>45956.0</v>
      </c>
      <c r="G18" s="2" t="n">
        <v>45932.0</v>
      </c>
      <c r="H18" s="3" t="n">
        <v>740.0</v>
      </c>
      <c r="I18"/>
      <c r="J18"/>
      <c r="K18"/>
      <c r="L18"/>
      <c r="M18"/>
      <c r="N18"/>
      <c r="O18" s="3" t="n">
        <v>740.0</v>
      </c>
    </row>
    <row r="19">
      <c r="A19" t="n">
        <v>2.0</v>
      </c>
      <c r="B19" t="inlineStr">
        <is>
          <t>LEASE-BH-F2-2025</t>
        </is>
      </c>
      <c r="C19" t="inlineStr">
        <is>
          <t>Flat 2 - 3 West Gate</t>
        </is>
      </c>
      <c r="D19" s="2" t="n">
        <v>45957.0</v>
      </c>
      <c r="E19" s="2" t="n">
        <v>45957.0</v>
      </c>
      <c r="F19" s="2" t="n">
        <v>45987.0</v>
      </c>
      <c r="G19" s="2" t="n">
        <v>45964.0</v>
      </c>
      <c r="H19" s="3" t="n">
        <v>740.0</v>
      </c>
      <c r="I19"/>
      <c r="J19"/>
      <c r="K19"/>
      <c r="L19"/>
      <c r="M19"/>
      <c r="N19"/>
      <c r="O19" s="3" t="n">
        <v>740.0</v>
      </c>
    </row>
    <row r="20">
      <c r="A20" t="n">
        <v>3.0</v>
      </c>
      <c r="B20" t="inlineStr">
        <is>
          <t>LEASE-BH-F3-2025</t>
        </is>
      </c>
      <c r="C20" t="inlineStr">
        <is>
          <t>Flat 3 - 3 West Gate</t>
        </is>
      </c>
      <c r="D20" s="2" t="n">
        <v>45727.0</v>
      </c>
      <c r="E20" s="2" t="n">
        <v>45727.0</v>
      </c>
      <c r="F20" s="2" t="n">
        <v>45757.0</v>
      </c>
      <c r="G20" s="2" t="n">
        <v>45730.0</v>
      </c>
      <c r="H20" s="3" t="n">
        <v>740.0</v>
      </c>
      <c r="I20"/>
      <c r="J20"/>
      <c r="K20"/>
      <c r="L20"/>
      <c r="M20"/>
      <c r="N20"/>
      <c r="O20" s="3" t="n">
        <v>740.0</v>
      </c>
    </row>
    <row r="21">
      <c r="A21" t="n">
        <v>3.0</v>
      </c>
      <c r="B21" t="inlineStr">
        <is>
          <t>LEASE-BH-F3-2025</t>
        </is>
      </c>
      <c r="C21" t="inlineStr">
        <is>
          <t>Flat 3 - 3 West Gate</t>
        </is>
      </c>
      <c r="D21" s="2" t="n">
        <v>45758.0</v>
      </c>
      <c r="E21" s="2" t="n">
        <v>45758.0</v>
      </c>
      <c r="F21" s="2" t="n">
        <v>45787.0</v>
      </c>
      <c r="G21" s="2" t="n">
        <v>45761.0</v>
      </c>
      <c r="H21" s="3" t="n">
        <v>740.0</v>
      </c>
      <c r="I21"/>
      <c r="J21"/>
      <c r="K21"/>
      <c r="L21"/>
      <c r="M21"/>
      <c r="N21"/>
      <c r="O21" s="3" t="n">
        <v>740.0</v>
      </c>
    </row>
    <row r="22">
      <c r="A22" t="n">
        <v>3.0</v>
      </c>
      <c r="B22" t="inlineStr">
        <is>
          <t>LEASE-BH-F3-2025</t>
        </is>
      </c>
      <c r="C22" t="inlineStr">
        <is>
          <t>Flat 3 - 3 West Gate</t>
        </is>
      </c>
      <c r="D22" s="2" t="n">
        <v>45788.0</v>
      </c>
      <c r="E22" s="2" t="n">
        <v>45788.0</v>
      </c>
      <c r="F22" s="2" t="n">
        <v>45818.0</v>
      </c>
      <c r="G22" s="2" t="n">
        <v>45791.0</v>
      </c>
      <c r="H22" s="3" t="n">
        <v>740.0</v>
      </c>
      <c r="I22"/>
      <c r="J22"/>
      <c r="K22"/>
      <c r="L22"/>
      <c r="M22"/>
      <c r="N22"/>
      <c r="O22" s="3" t="n">
        <v>740.0</v>
      </c>
    </row>
    <row r="23">
      <c r="A23" t="n">
        <v>3.0</v>
      </c>
      <c r="B23" t="inlineStr">
        <is>
          <t>LEASE-BH-F3-2025</t>
        </is>
      </c>
      <c r="C23" t="inlineStr">
        <is>
          <t>Flat 3 - 3 West Gate</t>
        </is>
      </c>
      <c r="D23" s="2" t="n">
        <v>45819.0</v>
      </c>
      <c r="E23" s="2" t="n">
        <v>45819.0</v>
      </c>
      <c r="F23" s="2" t="n">
        <v>45848.0</v>
      </c>
      <c r="G23" s="2" t="n">
        <v>45824.0</v>
      </c>
      <c r="H23" s="3" t="n">
        <v>740.0</v>
      </c>
      <c r="I23"/>
      <c r="J23"/>
      <c r="K23"/>
      <c r="L23"/>
      <c r="M23"/>
      <c r="N23"/>
      <c r="O23" s="3" t="n">
        <v>740.0</v>
      </c>
    </row>
    <row r="24">
      <c r="A24" t="n">
        <v>3.0</v>
      </c>
      <c r="B24" t="inlineStr">
        <is>
          <t>LEASE-BH-F3-2025</t>
        </is>
      </c>
      <c r="C24" t="inlineStr">
        <is>
          <t>Flat 3 - 3 West Gate</t>
        </is>
      </c>
      <c r="D24" s="2" t="n">
        <v>45849.0</v>
      </c>
      <c r="E24" s="2" t="n">
        <v>45849.0</v>
      </c>
      <c r="F24" s="2" t="n">
        <v>45879.0</v>
      </c>
      <c r="G24" s="2" t="n">
        <v>45852.0</v>
      </c>
      <c r="H24" s="3" t="n">
        <v>740.0</v>
      </c>
      <c r="I24"/>
      <c r="J24"/>
      <c r="K24"/>
      <c r="L24"/>
      <c r="M24"/>
      <c r="N24"/>
      <c r="O24" s="3" t="n">
        <v>740.0</v>
      </c>
    </row>
    <row r="25">
      <c r="A25" t="n">
        <v>3.0</v>
      </c>
      <c r="B25" t="inlineStr">
        <is>
          <t>LEASE-BH-F3-2025</t>
        </is>
      </c>
      <c r="C25" t="inlineStr">
        <is>
          <t>Flat 3 - 3 West Gate</t>
        </is>
      </c>
      <c r="D25" s="2" t="n">
        <v>45880.0</v>
      </c>
      <c r="E25" s="2" t="n">
        <v>45880.0</v>
      </c>
      <c r="F25" s="2" t="n">
        <v>45910.0</v>
      </c>
      <c r="G25" s="2" t="n">
        <v>45883.0</v>
      </c>
      <c r="H25" s="3" t="n">
        <v>740.0</v>
      </c>
      <c r="I25"/>
      <c r="J25"/>
      <c r="K25"/>
      <c r="L25"/>
      <c r="M25"/>
      <c r="N25"/>
      <c r="O25" s="3" t="n">
        <v>740.0</v>
      </c>
    </row>
    <row r="26">
      <c r="A26" t="n">
        <v>3.0</v>
      </c>
      <c r="B26" t="inlineStr">
        <is>
          <t>LEASE-BH-F3-2025</t>
        </is>
      </c>
      <c r="C26" t="inlineStr">
        <is>
          <t>Flat 3 - 3 West Gate</t>
        </is>
      </c>
      <c r="D26" s="2" t="n">
        <v>45911.0</v>
      </c>
      <c r="E26" s="2" t="n">
        <v>45911.0</v>
      </c>
      <c r="F26" s="2" t="n">
        <v>45940.0</v>
      </c>
      <c r="G26" s="2" t="n">
        <v>45915.0</v>
      </c>
      <c r="H26" s="3" t="n">
        <v>740.0</v>
      </c>
      <c r="I26"/>
      <c r="J26"/>
      <c r="K26"/>
      <c r="L26"/>
      <c r="M26"/>
      <c r="N26"/>
      <c r="O26" s="3" t="n">
        <v>740.0</v>
      </c>
    </row>
    <row r="27">
      <c r="A27" t="n">
        <v>3.0</v>
      </c>
      <c r="B27" t="inlineStr">
        <is>
          <t>LEASE-BH-F3-2025</t>
        </is>
      </c>
      <c r="C27" t="inlineStr">
        <is>
          <t>Flat 3 - 3 West Gate</t>
        </is>
      </c>
      <c r="D27" s="2" t="n">
        <v>45941.0</v>
      </c>
      <c r="E27" s="2" t="n">
        <v>45941.0</v>
      </c>
      <c r="F27" s="2" t="n">
        <v>45971.0</v>
      </c>
      <c r="G27" s="2" t="n">
        <v>45944.0</v>
      </c>
      <c r="H27" s="3" t="n">
        <v>740.0</v>
      </c>
      <c r="I27"/>
      <c r="J27"/>
      <c r="K27"/>
      <c r="L27"/>
      <c r="M27"/>
      <c r="N27"/>
      <c r="O27" s="3" t="n">
        <v>740.0</v>
      </c>
    </row>
    <row r="28">
      <c r="A28" t="n">
        <v>3.0</v>
      </c>
      <c r="B28" t="inlineStr">
        <is>
          <t>LEASE-BH-F3-2025</t>
        </is>
      </c>
      <c r="C28" t="inlineStr">
        <is>
          <t>Flat 3 - 3 West Gate</t>
        </is>
      </c>
      <c r="D28" s="2" t="n">
        <v>45972.0</v>
      </c>
      <c r="E28" s="2" t="n">
        <v>45972.0</v>
      </c>
      <c r="F28" s="2" t="n">
        <v>46001.0</v>
      </c>
      <c r="G28" s="2" t="n">
        <v>45982.0</v>
      </c>
      <c r="H28" s="3" t="n">
        <v>740.0</v>
      </c>
      <c r="I28"/>
      <c r="J28"/>
      <c r="K28"/>
      <c r="L28"/>
      <c r="M28"/>
      <c r="N28"/>
      <c r="O28" s="3" t="n">
        <v>740.0</v>
      </c>
    </row>
    <row r="29">
      <c r="A29" t="n">
        <v>4.0</v>
      </c>
      <c r="B29" t="inlineStr">
        <is>
          <t>LEASE-BH-F4-2025</t>
        </is>
      </c>
      <c r="C29" t="inlineStr">
        <is>
          <t>Flat 4 - 3 West Gate</t>
        </is>
      </c>
      <c r="D29" s="2" t="n">
        <v>45713.0</v>
      </c>
      <c r="E29" s="2" t="n">
        <v>45713.0</v>
      </c>
      <c r="F29" s="2" t="n">
        <v>45740.0</v>
      </c>
      <c r="G29" s="2" t="n">
        <v>45719.0</v>
      </c>
      <c r="H29" s="3" t="n">
        <v>855.0</v>
      </c>
      <c r="I29"/>
      <c r="J29"/>
      <c r="K29"/>
      <c r="L29"/>
      <c r="M29"/>
      <c r="N29"/>
      <c r="O29" s="3" t="n">
        <v>855.0</v>
      </c>
    </row>
    <row r="30">
      <c r="A30" t="n">
        <v>4.0</v>
      </c>
      <c r="B30" t="inlineStr">
        <is>
          <t>LEASE-BH-F4-2025</t>
        </is>
      </c>
      <c r="C30" t="inlineStr">
        <is>
          <t>Flat 4 - 3 West Gate</t>
        </is>
      </c>
      <c r="D30" s="2" t="n">
        <v>45741.0</v>
      </c>
      <c r="E30" s="2" t="n">
        <v>45741.0</v>
      </c>
      <c r="F30" s="2" t="n">
        <v>45771.0</v>
      </c>
      <c r="G30" s="2" t="n">
        <v>45750.0</v>
      </c>
      <c r="H30" s="3" t="n">
        <v>855.0</v>
      </c>
      <c r="I30"/>
      <c r="J30"/>
      <c r="K30"/>
      <c r="L30"/>
      <c r="M30"/>
      <c r="N30"/>
      <c r="O30" s="3" t="n">
        <v>855.0</v>
      </c>
    </row>
    <row r="31">
      <c r="A31" t="n">
        <v>4.0</v>
      </c>
      <c r="B31" t="inlineStr">
        <is>
          <t>LEASE-BH-F4-2025</t>
        </is>
      </c>
      <c r="C31" t="inlineStr">
        <is>
          <t>Flat 4 - 3 West Gate</t>
        </is>
      </c>
      <c r="D31" s="2" t="n">
        <v>45772.0</v>
      </c>
      <c r="E31" s="2" t="n">
        <v>45772.0</v>
      </c>
      <c r="F31" s="2" t="n">
        <v>45801.0</v>
      </c>
      <c r="G31" s="2" t="n">
        <v>45780.0</v>
      </c>
      <c r="H31" s="3" t="n">
        <v>855.0</v>
      </c>
      <c r="I31"/>
      <c r="J31"/>
      <c r="K31"/>
      <c r="L31"/>
      <c r="M31"/>
      <c r="N31"/>
      <c r="O31" s="3" t="n">
        <v>855.0</v>
      </c>
    </row>
    <row r="32">
      <c r="A32" t="n">
        <v>4.0</v>
      </c>
      <c r="B32" t="inlineStr">
        <is>
          <t>LEASE-BH-F4-2025</t>
        </is>
      </c>
      <c r="C32" t="inlineStr">
        <is>
          <t>Flat 4 - 3 West Gate</t>
        </is>
      </c>
      <c r="D32" s="2" t="n">
        <v>45802.0</v>
      </c>
      <c r="E32" s="2" t="n">
        <v>45802.0</v>
      </c>
      <c r="F32" s="2" t="n">
        <v>45832.0</v>
      </c>
      <c r="G32" s="2" t="n">
        <v>45811.0</v>
      </c>
      <c r="H32" s="3" t="n">
        <v>855.0</v>
      </c>
      <c r="I32"/>
      <c r="J32"/>
      <c r="K32"/>
      <c r="L32"/>
      <c r="M32"/>
      <c r="N32"/>
      <c r="O32" s="3" t="n">
        <v>855.0</v>
      </c>
    </row>
    <row r="33">
      <c r="A33" t="n">
        <v>4.0</v>
      </c>
      <c r="B33" t="inlineStr">
        <is>
          <t>LEASE-BH-F4-2025</t>
        </is>
      </c>
      <c r="C33" t="inlineStr">
        <is>
          <t>Flat 4 - 3 West Gate</t>
        </is>
      </c>
      <c r="D33" s="2" t="n">
        <v>45833.0</v>
      </c>
      <c r="E33" s="2" t="n">
        <v>45833.0</v>
      </c>
      <c r="F33" s="2" t="n">
        <v>45862.0</v>
      </c>
      <c r="G33" s="2" t="n">
        <v>45860.0</v>
      </c>
      <c r="H33" s="3" t="n">
        <v>855.0</v>
      </c>
      <c r="I33"/>
      <c r="J33"/>
      <c r="K33"/>
      <c r="L33"/>
      <c r="M33"/>
      <c r="N33"/>
      <c r="O33" s="3" t="n">
        <v>855.0</v>
      </c>
    </row>
    <row r="34">
      <c r="A34" t="n">
        <v>4.0</v>
      </c>
      <c r="B34" t="inlineStr">
        <is>
          <t>LEASE-BH-F4-2025</t>
        </is>
      </c>
      <c r="C34" t="inlineStr">
        <is>
          <t>Flat 4 - 3 West Gate</t>
        </is>
      </c>
      <c r="D34" s="2" t="n">
        <v>45863.0</v>
      </c>
      <c r="E34" s="2" t="n">
        <v>45863.0</v>
      </c>
      <c r="F34" s="2" t="n">
        <v>45893.0</v>
      </c>
      <c r="G34" s="2" t="n">
        <v>45877.0</v>
      </c>
      <c r="H34" s="3" t="n">
        <v>855.0</v>
      </c>
      <c r="I34"/>
      <c r="J34"/>
      <c r="K34"/>
      <c r="L34"/>
      <c r="M34"/>
      <c r="N34"/>
      <c r="O34" s="3" t="n">
        <v>855.0</v>
      </c>
    </row>
    <row r="35">
      <c r="A35" t="n">
        <v>4.0</v>
      </c>
      <c r="B35" t="inlineStr">
        <is>
          <t>LEASE-BH-F4-2025</t>
        </is>
      </c>
      <c r="C35" t="inlineStr">
        <is>
          <t>Flat 4 - 3 West Gate</t>
        </is>
      </c>
      <c r="D35" s="2" t="n">
        <v>45894.0</v>
      </c>
      <c r="E35" s="2" t="n">
        <v>45894.0</v>
      </c>
      <c r="F35" s="2" t="n">
        <v>45924.0</v>
      </c>
      <c r="G35" s="2" t="n">
        <v>45909.0</v>
      </c>
      <c r="H35" s="3" t="n">
        <v>855.0</v>
      </c>
      <c r="I35"/>
      <c r="J35"/>
      <c r="K35"/>
      <c r="L35"/>
      <c r="M35"/>
      <c r="N35"/>
      <c r="O35" s="3" t="n">
        <v>855.0</v>
      </c>
    </row>
    <row r="36">
      <c r="A36" t="n">
        <v>4.0</v>
      </c>
      <c r="B36" t="inlineStr">
        <is>
          <t>LEASE-BH-F4-2025</t>
        </is>
      </c>
      <c r="C36" t="inlineStr">
        <is>
          <t>Flat 4 - 3 West Gate</t>
        </is>
      </c>
      <c r="D36" s="2" t="n">
        <v>45925.0</v>
      </c>
      <c r="E36" s="2" t="n">
        <v>45925.0</v>
      </c>
      <c r="F36" s="2" t="n">
        <v>45954.0</v>
      </c>
      <c r="G36" s="2" t="n">
        <v>45936.0</v>
      </c>
      <c r="H36" s="3" t="n">
        <v>855.0</v>
      </c>
      <c r="I36"/>
      <c r="J36"/>
      <c r="K36"/>
      <c r="L36"/>
      <c r="M36"/>
      <c r="N36"/>
      <c r="O36" s="3" t="n">
        <v>855.0</v>
      </c>
    </row>
    <row r="37">
      <c r="A37" t="n">
        <v>4.0</v>
      </c>
      <c r="B37" t="inlineStr">
        <is>
          <t>LEASE-BH-F4-2025</t>
        </is>
      </c>
      <c r="C37" t="inlineStr">
        <is>
          <t>Flat 4 - 3 West Gate</t>
        </is>
      </c>
      <c r="D37" s="2" t="n">
        <v>45955.0</v>
      </c>
      <c r="E37" s="2" t="n">
        <v>45955.0</v>
      </c>
      <c r="F37" s="2" t="n">
        <v>45985.0</v>
      </c>
      <c r="G37" s="2" t="n">
        <v>45982.0</v>
      </c>
      <c r="H37" s="3" t="n">
        <v>855.0</v>
      </c>
      <c r="I37"/>
      <c r="J37"/>
      <c r="K37"/>
      <c r="L37"/>
      <c r="M37"/>
      <c r="N37"/>
      <c r="O37" s="3" t="n">
        <v>855.0</v>
      </c>
    </row>
    <row r="38">
      <c r="A38" t="n">
        <v>5.0</v>
      </c>
      <c r="B38" t="inlineStr">
        <is>
          <t>LEASE-BH-F5-2025</t>
        </is>
      </c>
      <c r="C38" t="inlineStr">
        <is>
          <t>Flat 5 - 3 West Gate</t>
        </is>
      </c>
      <c r="D38" s="2" t="n">
        <v>45698.0</v>
      </c>
      <c r="E38" s="2" t="n">
        <v>45698.0</v>
      </c>
      <c r="F38" s="2" t="n">
        <v>45725.0</v>
      </c>
      <c r="G38" s="2" t="n">
        <v>45705.0</v>
      </c>
      <c r="H38" s="3" t="n">
        <v>740.0</v>
      </c>
      <c r="I38"/>
      <c r="J38"/>
      <c r="K38"/>
      <c r="L38"/>
      <c r="M38"/>
      <c r="N38"/>
      <c r="O38" s="3" t="n">
        <v>740.0</v>
      </c>
    </row>
    <row r="39">
      <c r="A39" t="n">
        <v>5.0</v>
      </c>
      <c r="B39" t="inlineStr">
        <is>
          <t>LEASE-BH-F5-2025</t>
        </is>
      </c>
      <c r="C39" t="inlineStr">
        <is>
          <t>Flat 5 - 3 West Gate</t>
        </is>
      </c>
      <c r="D39" s="2" t="n">
        <v>45726.0</v>
      </c>
      <c r="E39" s="2" t="n">
        <v>45726.0</v>
      </c>
      <c r="F39" s="2" t="n">
        <v>45756.0</v>
      </c>
      <c r="G39" s="2" t="n">
        <v>45733.0</v>
      </c>
      <c r="H39" s="3" t="n">
        <v>740.0</v>
      </c>
      <c r="I39"/>
      <c r="J39"/>
      <c r="K39"/>
      <c r="L39"/>
      <c r="M39"/>
      <c r="N39"/>
      <c r="O39" s="3" t="n">
        <v>740.0</v>
      </c>
    </row>
    <row r="40">
      <c r="A40" t="n">
        <v>5.0</v>
      </c>
      <c r="B40" t="inlineStr">
        <is>
          <t>LEASE-BH-F5-2025</t>
        </is>
      </c>
      <c r="C40" t="inlineStr">
        <is>
          <t>Flat 5 - 3 West Gate</t>
        </is>
      </c>
      <c r="D40" s="2" t="n">
        <v>45757.0</v>
      </c>
      <c r="E40" s="2" t="n">
        <v>45757.0</v>
      </c>
      <c r="F40" s="2" t="n">
        <v>45786.0</v>
      </c>
      <c r="G40" s="2" t="n">
        <v>45764.0</v>
      </c>
      <c r="H40" s="3" t="n">
        <v>740.0</v>
      </c>
      <c r="I40"/>
      <c r="J40"/>
      <c r="K40"/>
      <c r="L40"/>
      <c r="M40"/>
      <c r="N40"/>
      <c r="O40" s="3" t="n">
        <v>740.0</v>
      </c>
    </row>
    <row r="41">
      <c r="A41" t="n">
        <v>5.0</v>
      </c>
      <c r="B41" t="inlineStr">
        <is>
          <t>LEASE-BH-F5-2025</t>
        </is>
      </c>
      <c r="C41" t="inlineStr">
        <is>
          <t>Flat 5 - 3 West Gate</t>
        </is>
      </c>
      <c r="D41" s="2" t="n">
        <v>45787.0</v>
      </c>
      <c r="E41" s="2" t="n">
        <v>45787.0</v>
      </c>
      <c r="F41" s="2" t="n">
        <v>45817.0</v>
      </c>
      <c r="G41" s="2" t="n">
        <v>45794.0</v>
      </c>
      <c r="H41" s="3" t="n">
        <v>740.0</v>
      </c>
      <c r="I41"/>
      <c r="J41"/>
      <c r="K41"/>
      <c r="L41"/>
      <c r="M41"/>
      <c r="N41"/>
      <c r="O41" s="3" t="n">
        <v>740.0</v>
      </c>
    </row>
    <row r="42">
      <c r="A42" t="n">
        <v>5.0</v>
      </c>
      <c r="B42" t="inlineStr">
        <is>
          <t>LEASE-BH-F5-2025</t>
        </is>
      </c>
      <c r="C42" t="inlineStr">
        <is>
          <t>Flat 5 - 3 West Gate</t>
        </is>
      </c>
      <c r="D42" s="2" t="n">
        <v>45818.0</v>
      </c>
      <c r="E42" s="2" t="n">
        <v>45818.0</v>
      </c>
      <c r="F42" s="2" t="n">
        <v>45847.0</v>
      </c>
      <c r="G42" s="2" t="n">
        <v>45831.0</v>
      </c>
      <c r="H42" s="3" t="n">
        <v>740.0</v>
      </c>
      <c r="I42"/>
      <c r="J42"/>
      <c r="K42"/>
      <c r="L42"/>
      <c r="M42"/>
      <c r="N42"/>
      <c r="O42" s="3" t="n">
        <v>740.0</v>
      </c>
    </row>
    <row r="43">
      <c r="A43" t="n">
        <v>5.0</v>
      </c>
      <c r="B43" t="inlineStr">
        <is>
          <t>LEASE-BH-F5-2025</t>
        </is>
      </c>
      <c r="C43" t="inlineStr">
        <is>
          <t>Flat 5 - 3 West Gate</t>
        </is>
      </c>
      <c r="D43" s="2" t="n">
        <v>45848.0</v>
      </c>
      <c r="E43" s="2" t="n">
        <v>45848.0</v>
      </c>
      <c r="F43" s="2" t="n">
        <v>45878.0</v>
      </c>
      <c r="G43" s="2" t="n">
        <v>45860.0</v>
      </c>
      <c r="H43" s="3" t="n">
        <v>740.0</v>
      </c>
      <c r="I43"/>
      <c r="J43"/>
      <c r="K43"/>
      <c r="L43"/>
      <c r="M43"/>
      <c r="N43"/>
      <c r="O43" s="3" t="n">
        <v>740.0</v>
      </c>
    </row>
    <row r="44">
      <c r="A44" t="n">
        <v>5.0</v>
      </c>
      <c r="B44" t="inlineStr">
        <is>
          <t>LEASE-BH-F5-2025</t>
        </is>
      </c>
      <c r="C44" t="inlineStr">
        <is>
          <t>Flat 5 - 3 West Gate</t>
        </is>
      </c>
      <c r="D44" s="2" t="n">
        <v>45879.0</v>
      </c>
      <c r="E44" s="2" t="n">
        <v>45879.0</v>
      </c>
      <c r="F44" s="2" t="n">
        <v>45909.0</v>
      </c>
      <c r="G44" s="2" t="n">
        <v>45891.0</v>
      </c>
      <c r="H44" s="3" t="n">
        <v>740.0</v>
      </c>
      <c r="I44"/>
      <c r="J44"/>
      <c r="K44"/>
      <c r="L44"/>
      <c r="M44"/>
      <c r="N44"/>
      <c r="O44" s="3" t="n">
        <v>740.0</v>
      </c>
    </row>
    <row r="45">
      <c r="A45" t="n">
        <v>5.0</v>
      </c>
      <c r="B45" t="inlineStr">
        <is>
          <t>LEASE-BH-F5-2025</t>
        </is>
      </c>
      <c r="C45" t="inlineStr">
        <is>
          <t>Flat 5 - 3 West Gate</t>
        </is>
      </c>
      <c r="D45" s="2" t="n">
        <v>45910.0</v>
      </c>
      <c r="E45" s="2" t="n">
        <v>45910.0</v>
      </c>
      <c r="F45" s="2" t="n">
        <v>45939.0</v>
      </c>
      <c r="G45" s="2" t="n">
        <v>45919.0</v>
      </c>
      <c r="H45" s="3" t="n">
        <v>740.0</v>
      </c>
      <c r="I45"/>
      <c r="J45"/>
      <c r="K45"/>
      <c r="L45"/>
      <c r="M45"/>
      <c r="N45"/>
      <c r="O45" s="3" t="n">
        <v>740.0</v>
      </c>
    </row>
    <row r="46">
      <c r="A46" t="n">
        <v>5.0</v>
      </c>
      <c r="B46" t="inlineStr">
        <is>
          <t>LEASE-BH-F5-2025</t>
        </is>
      </c>
      <c r="C46" t="inlineStr">
        <is>
          <t>Flat 5 - 3 West Gate</t>
        </is>
      </c>
      <c r="D46" s="2" t="n">
        <v>45940.0</v>
      </c>
      <c r="E46" s="2" t="n">
        <v>45940.0</v>
      </c>
      <c r="F46" s="2" t="n">
        <v>45970.0</v>
      </c>
      <c r="G46" s="2" t="n">
        <v>45953.0</v>
      </c>
      <c r="H46" s="3" t="n">
        <v>740.0</v>
      </c>
      <c r="I46"/>
      <c r="J46"/>
      <c r="K46"/>
      <c r="L46"/>
      <c r="M46"/>
      <c r="N46"/>
      <c r="O46" s="3" t="n">
        <v>740.0</v>
      </c>
    </row>
    <row r="47">
      <c r="A47" t="n">
        <v>5.0</v>
      </c>
      <c r="B47" t="inlineStr">
        <is>
          <t>LEASE-BH-F5-2025</t>
        </is>
      </c>
      <c r="C47" t="inlineStr">
        <is>
          <t>Flat 5 - 3 West Gate</t>
        </is>
      </c>
      <c r="D47" s="2" t="n">
        <v>45971.0</v>
      </c>
      <c r="E47" s="2" t="n">
        <v>45971.0</v>
      </c>
      <c r="F47" s="2" t="n">
        <v>46000.0</v>
      </c>
      <c r="G47" s="2" t="n">
        <v>45981.0</v>
      </c>
      <c r="H47" s="3" t="n">
        <v>740.0</v>
      </c>
      <c r="I47"/>
      <c r="J47"/>
      <c r="K47"/>
      <c r="L47"/>
      <c r="M47"/>
      <c r="N47"/>
      <c r="O47" s="3" t="n">
        <v>740.0</v>
      </c>
    </row>
    <row r="48">
      <c r="A48" t="n">
        <v>6.0</v>
      </c>
      <c r="B48" t="inlineStr">
        <is>
          <t>LEASE-BH-F6-2025</t>
        </is>
      </c>
      <c r="C48" t="inlineStr">
        <is>
          <t>Flat 6 - 3 West Gate</t>
        </is>
      </c>
      <c r="D48" s="2" t="n">
        <v>45744.0</v>
      </c>
      <c r="E48" s="2" t="n">
        <v>45744.0</v>
      </c>
      <c r="F48" s="2" t="n">
        <v>45774.0</v>
      </c>
      <c r="G48" s="2" t="n">
        <v>45746.0</v>
      </c>
      <c r="H48" s="3" t="n">
        <v>740.0</v>
      </c>
      <c r="I48"/>
      <c r="J48"/>
      <c r="K48"/>
      <c r="L48"/>
      <c r="M48"/>
      <c r="N48"/>
      <c r="O48" s="3" t="n">
        <v>740.0</v>
      </c>
    </row>
    <row r="49">
      <c r="A49" t="n">
        <v>6.0</v>
      </c>
      <c r="B49" t="inlineStr">
        <is>
          <t>LEASE-BH-F6-2025</t>
        </is>
      </c>
      <c r="C49" t="inlineStr">
        <is>
          <t>Flat 6 - 3 West Gate</t>
        </is>
      </c>
      <c r="D49" s="2" t="n">
        <v>45775.0</v>
      </c>
      <c r="E49" s="2" t="n">
        <v>45775.0</v>
      </c>
      <c r="F49" s="2" t="n">
        <v>45804.0</v>
      </c>
      <c r="G49" s="2" t="n">
        <v>45775.0</v>
      </c>
      <c r="H49" s="3" t="n">
        <v>740.0</v>
      </c>
      <c r="I49"/>
      <c r="J49"/>
      <c r="K49"/>
      <c r="L49"/>
      <c r="M49"/>
      <c r="N49"/>
      <c r="O49" s="3" t="n">
        <v>740.0</v>
      </c>
    </row>
    <row r="50">
      <c r="A50" t="n">
        <v>6.0</v>
      </c>
      <c r="B50" t="inlineStr">
        <is>
          <t>LEASE-BH-F6-2025</t>
        </is>
      </c>
      <c r="C50" t="inlineStr">
        <is>
          <t>Flat 6 - 3 West Gate</t>
        </is>
      </c>
      <c r="D50" s="2" t="n">
        <v>45805.0</v>
      </c>
      <c r="E50" s="2" t="n">
        <v>45805.0</v>
      </c>
      <c r="F50" s="2" t="n">
        <v>45835.0</v>
      </c>
      <c r="G50" s="2" t="n">
        <v>45805.0</v>
      </c>
      <c r="H50" s="3" t="n">
        <v>740.0</v>
      </c>
      <c r="I50"/>
      <c r="J50"/>
      <c r="K50"/>
      <c r="L50"/>
      <c r="M50"/>
      <c r="N50"/>
      <c r="O50" s="3" t="n">
        <v>740.0</v>
      </c>
    </row>
    <row r="51">
      <c r="A51" t="n">
        <v>6.0</v>
      </c>
      <c r="B51" t="inlineStr">
        <is>
          <t>LEASE-BH-F6-2025</t>
        </is>
      </c>
      <c r="C51" t="inlineStr">
        <is>
          <t>Flat 6 - 3 West Gate</t>
        </is>
      </c>
      <c r="D51" s="2" t="n">
        <v>45836.0</v>
      </c>
      <c r="E51" s="2" t="n">
        <v>45836.0</v>
      </c>
      <c r="F51" s="2" t="n">
        <v>45865.0</v>
      </c>
      <c r="G51" s="2" t="n">
        <v>45860.0</v>
      </c>
      <c r="H51" s="3" t="n">
        <v>740.0</v>
      </c>
      <c r="I51"/>
      <c r="J51"/>
      <c r="K51"/>
      <c r="L51"/>
      <c r="M51"/>
      <c r="N51"/>
      <c r="O51" s="3" t="n">
        <v>740.0</v>
      </c>
    </row>
    <row r="52">
      <c r="A52" t="n">
        <v>6.0</v>
      </c>
      <c r="B52" t="inlineStr">
        <is>
          <t>LEASE-BH-F6-2025</t>
        </is>
      </c>
      <c r="C52" t="inlineStr">
        <is>
          <t>Flat 6 - 3 West Gate</t>
        </is>
      </c>
      <c r="D52" s="2" t="n">
        <v>45866.0</v>
      </c>
      <c r="E52" s="2" t="n">
        <v>45866.0</v>
      </c>
      <c r="F52" s="2" t="n">
        <v>45896.0</v>
      </c>
      <c r="G52" s="2" t="n">
        <v>45877.0</v>
      </c>
      <c r="H52" s="3" t="n">
        <v>740.0</v>
      </c>
      <c r="I52"/>
      <c r="J52"/>
      <c r="K52"/>
      <c r="L52"/>
      <c r="M52"/>
      <c r="N52"/>
      <c r="O52" s="3" t="n">
        <v>740.0</v>
      </c>
    </row>
    <row r="53">
      <c r="A53" t="n">
        <v>6.0</v>
      </c>
      <c r="B53" t="inlineStr">
        <is>
          <t>LEASE-BH-F6-2025</t>
        </is>
      </c>
      <c r="C53" t="inlineStr">
        <is>
          <t>Flat 6 - 3 West Gate</t>
        </is>
      </c>
      <c r="D53" s="2" t="n">
        <v>45897.0</v>
      </c>
      <c r="E53" s="2" t="n">
        <v>45897.0</v>
      </c>
      <c r="F53" s="2" t="n">
        <v>45927.0</v>
      </c>
      <c r="G53" s="2" t="n">
        <v>45902.0</v>
      </c>
      <c r="H53" s="3" t="n">
        <v>740.0</v>
      </c>
      <c r="I53"/>
      <c r="J53"/>
      <c r="K53"/>
      <c r="L53"/>
      <c r="M53"/>
      <c r="N53"/>
      <c r="O53" s="3" t="n">
        <v>740.0</v>
      </c>
    </row>
    <row r="54">
      <c r="A54" t="n">
        <v>6.0</v>
      </c>
      <c r="B54" t="inlineStr">
        <is>
          <t>LEASE-BH-F6-2025</t>
        </is>
      </c>
      <c r="C54" t="inlineStr">
        <is>
          <t>Flat 6 - 3 West Gate</t>
        </is>
      </c>
      <c r="D54" s="2" t="n">
        <v>45928.0</v>
      </c>
      <c r="E54" s="2" t="n">
        <v>45928.0</v>
      </c>
      <c r="F54" s="2" t="n">
        <v>45957.0</v>
      </c>
      <c r="G54" s="2" t="n">
        <v>45936.0</v>
      </c>
      <c r="H54" s="3" t="n">
        <v>740.0</v>
      </c>
      <c r="I54"/>
      <c r="J54"/>
      <c r="K54"/>
      <c r="L54"/>
      <c r="M54"/>
      <c r="N54"/>
      <c r="O54" s="3" t="n">
        <v>740.0</v>
      </c>
    </row>
    <row r="55">
      <c r="A55" t="n">
        <v>6.0</v>
      </c>
      <c r="B55" t="inlineStr">
        <is>
          <t>LEASE-BH-F6-2025</t>
        </is>
      </c>
      <c r="C55" t="inlineStr">
        <is>
          <t>Flat 6 - 3 West Gate</t>
        </is>
      </c>
      <c r="D55" s="2" t="n">
        <v>45958.0</v>
      </c>
      <c r="E55" s="2" t="n">
        <v>45958.0</v>
      </c>
      <c r="F55" s="2" t="n">
        <v>45988.0</v>
      </c>
      <c r="G55" s="2" t="n">
        <v>45982.0</v>
      </c>
      <c r="H55" s="3" t="n">
        <v>740.0</v>
      </c>
      <c r="I55"/>
      <c r="J55"/>
      <c r="K55"/>
      <c r="L55"/>
      <c r="M55"/>
      <c r="N55"/>
      <c r="O55" s="3" t="n">
        <v>740.0</v>
      </c>
    </row>
    <row r="56">
      <c r="A56" t="n">
        <v>7.0</v>
      </c>
      <c r="B56" t="inlineStr">
        <is>
          <t>LEASE-BH-F7-2025</t>
        </is>
      </c>
      <c r="C56" t="inlineStr">
        <is>
          <t>Flat 7 - 3 West Gate</t>
        </is>
      </c>
      <c r="D56" s="2" t="n">
        <v>45707.0</v>
      </c>
      <c r="E56" s="2" t="n">
        <v>45707.0</v>
      </c>
      <c r="F56" s="2" t="n">
        <v>45734.0</v>
      </c>
      <c r="G56" s="2" t="n">
        <v>45707.0</v>
      </c>
      <c r="H56" s="3" t="n">
        <v>700.0</v>
      </c>
      <c r="I56"/>
      <c r="J56"/>
      <c r="K56"/>
      <c r="L56"/>
      <c r="M56"/>
      <c r="N56"/>
      <c r="O56" s="3" t="n">
        <v>700.0</v>
      </c>
    </row>
    <row r="57">
      <c r="A57" t="n">
        <v>7.0</v>
      </c>
      <c r="B57" t="inlineStr">
        <is>
          <t>LEASE-BH-F7-2025</t>
        </is>
      </c>
      <c r="C57" t="inlineStr">
        <is>
          <t>Flat 7 - 3 West Gate</t>
        </is>
      </c>
      <c r="D57" s="2" t="n">
        <v>45735.0</v>
      </c>
      <c r="E57" s="2" t="n">
        <v>45735.0</v>
      </c>
      <c r="F57" s="2" t="n">
        <v>45765.0</v>
      </c>
      <c r="G57" s="2" t="n">
        <v>45735.0</v>
      </c>
      <c r="H57" s="3" t="n">
        <v>700.0</v>
      </c>
      <c r="I57"/>
      <c r="J57"/>
      <c r="K57"/>
      <c r="L57"/>
      <c r="M57"/>
      <c r="N57"/>
      <c r="O57" s="3" t="n">
        <v>700.0</v>
      </c>
    </row>
    <row r="58">
      <c r="A58" t="n">
        <v>7.0</v>
      </c>
      <c r="B58" t="inlineStr">
        <is>
          <t>LEASE-BH-F7-2025</t>
        </is>
      </c>
      <c r="C58" t="inlineStr">
        <is>
          <t>Flat 7 - 3 West Gate</t>
        </is>
      </c>
      <c r="D58" s="2" t="n">
        <v>45766.0</v>
      </c>
      <c r="E58" s="2" t="n">
        <v>45766.0</v>
      </c>
      <c r="F58" s="2" t="n">
        <v>45795.0</v>
      </c>
      <c r="G58"/>
      <c r="H58"/>
      <c r="I58"/>
      <c r="J58"/>
      <c r="K58"/>
      <c r="L58"/>
      <c r="M58"/>
      <c r="N58"/>
      <c r="O58" s="3" t="n">
        <v>0.0</v>
      </c>
    </row>
    <row r="59">
      <c r="A59" t="n">
        <v>7.0</v>
      </c>
      <c r="B59" t="inlineStr">
        <is>
          <t>LEASE-BH-F7-2025</t>
        </is>
      </c>
      <c r="C59" t="inlineStr">
        <is>
          <t>Flat 7 - 3 West Gate</t>
        </is>
      </c>
      <c r="D59" s="2" t="n">
        <v>45796.0</v>
      </c>
      <c r="E59" s="2" t="n">
        <v>45796.0</v>
      </c>
      <c r="F59" s="2" t="n">
        <v>45826.0</v>
      </c>
      <c r="G59" s="2" t="n">
        <v>45796.0</v>
      </c>
      <c r="H59" s="3" t="n">
        <v>1400.0</v>
      </c>
      <c r="I59"/>
      <c r="J59"/>
      <c r="K59"/>
      <c r="L59"/>
      <c r="M59"/>
      <c r="N59"/>
      <c r="O59" s="3" t="n">
        <v>1400.0</v>
      </c>
    </row>
    <row r="60">
      <c r="A60" t="n">
        <v>7.0</v>
      </c>
      <c r="B60" t="inlineStr">
        <is>
          <t>LEASE-BH-F7-2025</t>
        </is>
      </c>
      <c r="C60" t="inlineStr">
        <is>
          <t>Flat 7 - 3 West Gate</t>
        </is>
      </c>
      <c r="D60" s="2" t="n">
        <v>45827.0</v>
      </c>
      <c r="E60" s="2" t="n">
        <v>45827.0</v>
      </c>
      <c r="F60" s="2" t="n">
        <v>45856.0</v>
      </c>
      <c r="G60" s="2" t="n">
        <v>45831.0</v>
      </c>
      <c r="H60" s="3" t="n">
        <v>700.0</v>
      </c>
      <c r="I60"/>
      <c r="J60"/>
      <c r="K60"/>
      <c r="L60"/>
      <c r="M60"/>
      <c r="N60"/>
      <c r="O60" s="3" t="n">
        <v>700.0</v>
      </c>
    </row>
    <row r="61">
      <c r="A61" t="n">
        <v>7.0</v>
      </c>
      <c r="B61" t="inlineStr">
        <is>
          <t>LEASE-BH-F7-2025</t>
        </is>
      </c>
      <c r="C61" t="inlineStr">
        <is>
          <t>Flat 7 - 3 West Gate</t>
        </is>
      </c>
      <c r="D61" s="2" t="n">
        <v>45857.0</v>
      </c>
      <c r="E61" s="2" t="n">
        <v>45857.0</v>
      </c>
      <c r="F61" s="2" t="n">
        <v>45887.0</v>
      </c>
      <c r="G61" s="2" t="n">
        <v>45860.0</v>
      </c>
      <c r="H61" s="3" t="n">
        <v>700.0</v>
      </c>
      <c r="I61"/>
      <c r="J61"/>
      <c r="K61"/>
      <c r="L61"/>
      <c r="M61"/>
      <c r="N61"/>
      <c r="O61" s="3" t="n">
        <v>700.0</v>
      </c>
    </row>
    <row r="62">
      <c r="A62" t="n">
        <v>8.0</v>
      </c>
      <c r="B62" t="inlineStr">
        <is>
          <t>LEASE-BH-F8-2025</t>
        </is>
      </c>
      <c r="C62" t="inlineStr">
        <is>
          <t>Flat 8 - 3 West Gate</t>
        </is>
      </c>
      <c r="D62" s="2" t="n">
        <v>45712.0</v>
      </c>
      <c r="E62" s="2" t="n">
        <v>45712.0</v>
      </c>
      <c r="F62" s="2" t="n">
        <v>45739.0</v>
      </c>
      <c r="G62" s="2" t="n">
        <v>45720.0</v>
      </c>
      <c r="H62" s="3" t="n">
        <v>675.0</v>
      </c>
      <c r="I62"/>
      <c r="J62"/>
      <c r="K62"/>
      <c r="L62"/>
      <c r="M62"/>
      <c r="N62"/>
      <c r="O62" s="3" t="n">
        <v>675.0</v>
      </c>
    </row>
    <row r="63">
      <c r="A63" t="n">
        <v>8.0</v>
      </c>
      <c r="B63" t="inlineStr">
        <is>
          <t>LEASE-BH-F8-2025</t>
        </is>
      </c>
      <c r="C63" t="inlineStr">
        <is>
          <t>Flat 8 - 3 West Gate</t>
        </is>
      </c>
      <c r="D63" s="2" t="n">
        <v>45740.0</v>
      </c>
      <c r="E63" s="2" t="n">
        <v>45740.0</v>
      </c>
      <c r="F63" s="2" t="n">
        <v>45770.0</v>
      </c>
      <c r="G63" s="2" t="n">
        <v>45751.0</v>
      </c>
      <c r="H63" s="3" t="n">
        <v>675.0</v>
      </c>
      <c r="I63"/>
      <c r="J63"/>
      <c r="K63"/>
      <c r="L63"/>
      <c r="M63"/>
      <c r="N63"/>
      <c r="O63" s="3" t="n">
        <v>675.0</v>
      </c>
    </row>
    <row r="64">
      <c r="A64" t="n">
        <v>8.0</v>
      </c>
      <c r="B64" t="inlineStr">
        <is>
          <t>LEASE-BH-F8-2025</t>
        </is>
      </c>
      <c r="C64" t="inlineStr">
        <is>
          <t>Flat 8 - 3 West Gate</t>
        </is>
      </c>
      <c r="D64" s="2" t="n">
        <v>45771.0</v>
      </c>
      <c r="E64" s="2" t="n">
        <v>45771.0</v>
      </c>
      <c r="F64" s="2" t="n">
        <v>45800.0</v>
      </c>
      <c r="G64" s="2" t="n">
        <v>45783.0</v>
      </c>
      <c r="H64" s="3" t="n">
        <v>675.0</v>
      </c>
      <c r="I64"/>
      <c r="J64"/>
      <c r="K64"/>
      <c r="L64"/>
      <c r="M64"/>
      <c r="N64"/>
      <c r="O64" s="3" t="n">
        <v>675.0</v>
      </c>
    </row>
    <row r="65">
      <c r="A65" t="n">
        <v>8.0</v>
      </c>
      <c r="B65" t="inlineStr">
        <is>
          <t>LEASE-BH-F8-2025</t>
        </is>
      </c>
      <c r="C65" t="inlineStr">
        <is>
          <t>Flat 8 - 3 West Gate</t>
        </is>
      </c>
      <c r="D65" s="2" t="n">
        <v>45801.0</v>
      </c>
      <c r="E65" s="2" t="n">
        <v>45801.0</v>
      </c>
      <c r="F65" s="2" t="n">
        <v>45831.0</v>
      </c>
      <c r="G65" s="2" t="n">
        <v>45812.0</v>
      </c>
      <c r="H65" s="3" t="n">
        <v>675.0</v>
      </c>
      <c r="I65"/>
      <c r="J65"/>
      <c r="K65"/>
      <c r="L65"/>
      <c r="M65"/>
      <c r="N65"/>
      <c r="O65" s="3" t="n">
        <v>675.0</v>
      </c>
    </row>
    <row r="66">
      <c r="A66" t="n">
        <v>8.0</v>
      </c>
      <c r="B66" t="inlineStr">
        <is>
          <t>LEASE-BH-F8-2025</t>
        </is>
      </c>
      <c r="C66" t="inlineStr">
        <is>
          <t>Flat 8 - 3 West Gate</t>
        </is>
      </c>
      <c r="D66" s="2" t="n">
        <v>45832.0</v>
      </c>
      <c r="E66" s="2" t="n">
        <v>45832.0</v>
      </c>
      <c r="F66" s="2" t="n">
        <v>45861.0</v>
      </c>
      <c r="G66" s="2" t="n">
        <v>45861.0</v>
      </c>
      <c r="H66" s="3" t="n">
        <v>735.0</v>
      </c>
      <c r="I66"/>
      <c r="J66"/>
      <c r="K66"/>
      <c r="L66"/>
      <c r="M66"/>
      <c r="N66"/>
      <c r="O66" s="3" t="n">
        <v>735.0</v>
      </c>
    </row>
    <row r="67">
      <c r="A67" t="n">
        <v>8.0</v>
      </c>
      <c r="B67" t="inlineStr">
        <is>
          <t>LEASE-BH-F8-2025</t>
        </is>
      </c>
      <c r="C67" t="inlineStr">
        <is>
          <t>Flat 8 - 3 West Gate</t>
        </is>
      </c>
      <c r="D67" s="2" t="n">
        <v>45862.0</v>
      </c>
      <c r="E67" s="2" t="n">
        <v>45862.0</v>
      </c>
      <c r="F67" s="2" t="n">
        <v>45892.0</v>
      </c>
      <c r="G67" s="2" t="n">
        <v>45877.0</v>
      </c>
      <c r="H67" s="3" t="n">
        <v>735.0</v>
      </c>
      <c r="I67"/>
      <c r="J67"/>
      <c r="K67"/>
      <c r="L67"/>
      <c r="M67"/>
      <c r="N67"/>
      <c r="O67" s="3" t="n">
        <v>735.0</v>
      </c>
    </row>
    <row r="68">
      <c r="A68" t="n">
        <v>8.0</v>
      </c>
      <c r="B68" t="inlineStr">
        <is>
          <t>LEASE-BH-F8-2025</t>
        </is>
      </c>
      <c r="C68" t="inlineStr">
        <is>
          <t>Flat 8 - 3 West Gate</t>
        </is>
      </c>
      <c r="D68" s="2" t="n">
        <v>45893.0</v>
      </c>
      <c r="E68" s="2" t="n">
        <v>45893.0</v>
      </c>
      <c r="F68" s="2" t="n">
        <v>45923.0</v>
      </c>
      <c r="G68" s="2" t="n">
        <v>45909.0</v>
      </c>
      <c r="H68" s="3" t="n">
        <v>735.0</v>
      </c>
      <c r="I68"/>
      <c r="J68"/>
      <c r="K68"/>
      <c r="L68"/>
      <c r="M68"/>
      <c r="N68"/>
      <c r="O68" s="3" t="n">
        <v>735.0</v>
      </c>
    </row>
    <row r="69">
      <c r="A69" t="n">
        <v>8.0</v>
      </c>
      <c r="B69" t="inlineStr">
        <is>
          <t>LEASE-BH-F8-2025</t>
        </is>
      </c>
      <c r="C69" t="inlineStr">
        <is>
          <t>Flat 8 - 3 West Gate</t>
        </is>
      </c>
      <c r="D69" s="2" t="n">
        <v>45924.0</v>
      </c>
      <c r="E69" s="2" t="n">
        <v>45924.0</v>
      </c>
      <c r="F69" s="2" t="n">
        <v>45953.0</v>
      </c>
      <c r="G69" s="2" t="n">
        <v>45936.0</v>
      </c>
      <c r="H69" s="3" t="n">
        <v>735.0</v>
      </c>
      <c r="I69"/>
      <c r="J69"/>
      <c r="K69"/>
      <c r="L69"/>
      <c r="M69"/>
      <c r="N69"/>
      <c r="O69" s="3" t="n">
        <v>735.0</v>
      </c>
    </row>
    <row r="70">
      <c r="A70" t="n">
        <v>8.0</v>
      </c>
      <c r="B70" t="inlineStr">
        <is>
          <t>LEASE-BH-F8-2025</t>
        </is>
      </c>
      <c r="C70" t="inlineStr">
        <is>
          <t>Flat 8 - 3 West Gate</t>
        </is>
      </c>
      <c r="D70" s="2" t="n">
        <v>45954.0</v>
      </c>
      <c r="E70" s="2" t="n">
        <v>45954.0</v>
      </c>
      <c r="F70" s="2" t="n">
        <v>45984.0</v>
      </c>
      <c r="G70" s="2" t="n">
        <v>45982.0</v>
      </c>
      <c r="H70" s="3" t="n">
        <v>735.0</v>
      </c>
      <c r="I70"/>
      <c r="J70"/>
      <c r="K70"/>
      <c r="L70"/>
      <c r="M70"/>
      <c r="N70"/>
      <c r="O70" s="3" t="n">
        <v>735.0</v>
      </c>
    </row>
    <row r="71">
      <c r="A71" t="n">
        <v>9.0</v>
      </c>
      <c r="B71" t="inlineStr">
        <is>
          <t>LEASE-BH-F9-2025</t>
        </is>
      </c>
      <c r="C71" t="inlineStr">
        <is>
          <t>Flat 9 - 3 West Gate</t>
        </is>
      </c>
      <c r="D71" s="2" t="n">
        <v>45371.0</v>
      </c>
      <c r="E71" s="2" t="n">
        <v>45371.0</v>
      </c>
      <c r="F71" s="2" t="n">
        <v>45735.0</v>
      </c>
      <c r="G71" s="2" t="n">
        <v>45719.0</v>
      </c>
      <c r="H71" s="3" t="n">
        <v>700.0</v>
      </c>
      <c r="I71"/>
      <c r="J71"/>
      <c r="K71"/>
      <c r="L71"/>
      <c r="M71"/>
      <c r="N71"/>
      <c r="O71" s="3" t="n">
        <v>700.0</v>
      </c>
    </row>
    <row r="72">
      <c r="A72" t="n">
        <v>9.0</v>
      </c>
      <c r="B72" t="inlineStr">
        <is>
          <t>LEASE-BH-F9-2025</t>
        </is>
      </c>
      <c r="C72" t="inlineStr">
        <is>
          <t>Flat 9 - 3 West Gate</t>
        </is>
      </c>
      <c r="D72" s="2" t="n">
        <v>45736.0</v>
      </c>
      <c r="E72" s="2" t="n">
        <v>45736.0</v>
      </c>
      <c r="F72" s="2" t="n">
        <v>45766.0</v>
      </c>
      <c r="G72" s="2" t="n">
        <v>45748.0</v>
      </c>
      <c r="H72" s="3" t="n">
        <v>700.0</v>
      </c>
      <c r="I72"/>
      <c r="J72"/>
      <c r="K72"/>
      <c r="L72"/>
      <c r="M72"/>
      <c r="N72"/>
      <c r="O72" s="3" t="n">
        <v>700.0</v>
      </c>
    </row>
    <row r="73">
      <c r="A73" t="n">
        <v>9.0</v>
      </c>
      <c r="B73" t="inlineStr">
        <is>
          <t>LEASE-BH-F9-2025</t>
        </is>
      </c>
      <c r="C73" t="inlineStr">
        <is>
          <t>Flat 9 - 3 West Gate</t>
        </is>
      </c>
      <c r="D73" s="2" t="n">
        <v>45767.0</v>
      </c>
      <c r="E73" s="2" t="n">
        <v>45767.0</v>
      </c>
      <c r="F73" s="2" t="n">
        <v>45796.0</v>
      </c>
      <c r="G73" s="2" t="n">
        <v>45778.0</v>
      </c>
      <c r="H73" s="3" t="n">
        <v>700.0</v>
      </c>
      <c r="I73"/>
      <c r="J73"/>
      <c r="K73"/>
      <c r="L73"/>
      <c r="M73"/>
      <c r="N73"/>
      <c r="O73" s="3" t="n">
        <v>700.0</v>
      </c>
    </row>
    <row r="74">
      <c r="A74" t="n">
        <v>9.0</v>
      </c>
      <c r="B74" t="inlineStr">
        <is>
          <t>LEASE-BH-F9-2025</t>
        </is>
      </c>
      <c r="C74" t="inlineStr">
        <is>
          <t>Flat 9 - 3 West Gate</t>
        </is>
      </c>
      <c r="D74" s="2" t="n">
        <v>45797.0</v>
      </c>
      <c r="E74" s="2" t="n">
        <v>45797.0</v>
      </c>
      <c r="F74" s="2" t="n">
        <v>45827.0</v>
      </c>
      <c r="G74" s="2" t="n">
        <v>45810.0</v>
      </c>
      <c r="H74" s="3" t="n">
        <v>700.0</v>
      </c>
      <c r="I74"/>
      <c r="J74"/>
      <c r="K74"/>
      <c r="L74"/>
      <c r="M74"/>
      <c r="N74"/>
      <c r="O74" s="3" t="n">
        <v>700.0</v>
      </c>
    </row>
    <row r="75">
      <c r="A75" t="n">
        <v>9.0</v>
      </c>
      <c r="B75" t="inlineStr">
        <is>
          <t>LEASE-BH-F9-2025</t>
        </is>
      </c>
      <c r="C75" t="inlineStr">
        <is>
          <t>Flat 9 - 3 West Gate</t>
        </is>
      </c>
      <c r="D75" s="2" t="n">
        <v>45828.0</v>
      </c>
      <c r="E75" s="2" t="n">
        <v>45828.0</v>
      </c>
      <c r="F75" s="2" t="n">
        <v>45857.0</v>
      </c>
      <c r="G75"/>
      <c r="H75"/>
      <c r="I75"/>
      <c r="J75"/>
      <c r="K75"/>
      <c r="L75"/>
      <c r="M75"/>
      <c r="N75"/>
      <c r="O75" s="3" t="n">
        <v>0.0</v>
      </c>
    </row>
    <row r="76">
      <c r="A76" t="n">
        <v>9.0</v>
      </c>
      <c r="B76" t="inlineStr">
        <is>
          <t>LEASE-BH-F9-2025</t>
        </is>
      </c>
      <c r="C76" t="inlineStr">
        <is>
          <t>Flat 9 - 3 West Gate</t>
        </is>
      </c>
      <c r="D76" s="2" t="n">
        <v>45858.0</v>
      </c>
      <c r="E76" s="2" t="n">
        <v>45858.0</v>
      </c>
      <c r="F76" s="2" t="n">
        <v>45888.0</v>
      </c>
      <c r="G76" s="2" t="n">
        <v>45860.0</v>
      </c>
      <c r="H76" s="3" t="n">
        <v>700.0</v>
      </c>
      <c r="I76" s="2" t="n">
        <v>45877.0</v>
      </c>
      <c r="J76" s="3" t="n">
        <v>700.0</v>
      </c>
      <c r="K76"/>
      <c r="L76"/>
      <c r="M76"/>
      <c r="N76"/>
      <c r="O76" s="3" t="n">
        <v>1400.0</v>
      </c>
    </row>
    <row r="77">
      <c r="A77" t="n">
        <v>9.0</v>
      </c>
      <c r="B77" t="inlineStr">
        <is>
          <t>LEASE-BH-F9-2025</t>
        </is>
      </c>
      <c r="C77" t="inlineStr">
        <is>
          <t>Flat 9 - 3 West Gate</t>
        </is>
      </c>
      <c r="D77" s="2" t="n">
        <v>45889.0</v>
      </c>
      <c r="E77" s="2" t="n">
        <v>45889.0</v>
      </c>
      <c r="F77" s="2" t="n">
        <v>45919.0</v>
      </c>
      <c r="G77" s="2" t="n">
        <v>45902.0</v>
      </c>
      <c r="H77" s="3" t="n">
        <v>700.0</v>
      </c>
      <c r="I77"/>
      <c r="J77"/>
      <c r="K77"/>
      <c r="L77"/>
      <c r="M77"/>
      <c r="N77"/>
      <c r="O77" s="3" t="n">
        <v>700.0</v>
      </c>
    </row>
    <row r="78">
      <c r="A78" t="n">
        <v>9.0</v>
      </c>
      <c r="B78" t="inlineStr">
        <is>
          <t>LEASE-BH-F9-2025</t>
        </is>
      </c>
      <c r="C78" t="inlineStr">
        <is>
          <t>Flat 9 - 3 West Gate</t>
        </is>
      </c>
      <c r="D78" s="2" t="n">
        <v>45920.0</v>
      </c>
      <c r="E78" s="2" t="n">
        <v>45920.0</v>
      </c>
      <c r="F78" s="2" t="n">
        <v>45949.0</v>
      </c>
      <c r="G78" s="2" t="n">
        <v>45936.0</v>
      </c>
      <c r="H78" s="3" t="n">
        <v>700.0</v>
      </c>
      <c r="I78"/>
      <c r="J78"/>
      <c r="K78"/>
      <c r="L78"/>
      <c r="M78"/>
      <c r="N78"/>
      <c r="O78" s="3" t="n">
        <v>700.0</v>
      </c>
    </row>
    <row r="79">
      <c r="A79" t="n">
        <v>9.0</v>
      </c>
      <c r="B79" t="inlineStr">
        <is>
          <t>LEASE-BH-F9-2025</t>
        </is>
      </c>
      <c r="C79" t="inlineStr">
        <is>
          <t>Flat 9 - 3 West Gate</t>
        </is>
      </c>
      <c r="D79" s="2" t="n">
        <v>45950.0</v>
      </c>
      <c r="E79" s="2" t="n">
        <v>45950.0</v>
      </c>
      <c r="F79" s="2" t="n">
        <v>45980.0</v>
      </c>
      <c r="G79"/>
      <c r="H79"/>
      <c r="I79"/>
      <c r="J79"/>
      <c r="K79"/>
      <c r="L79"/>
      <c r="M79"/>
      <c r="N79"/>
      <c r="O79" s="3" t="n">
        <v>0.0</v>
      </c>
    </row>
    <row r="80">
      <c r="A80" t="n">
        <v>9.0</v>
      </c>
      <c r="B80" t="inlineStr">
        <is>
          <t>LEASE-BH-F9-2025</t>
        </is>
      </c>
      <c r="C80" t="inlineStr">
        <is>
          <t>Flat 9 - 3 West Gate</t>
        </is>
      </c>
      <c r="D80" s="2" t="n">
        <v>45981.0</v>
      </c>
      <c r="E80" s="2" t="n">
        <v>45981.0</v>
      </c>
      <c r="F80" s="2" t="n">
        <v>46010.0</v>
      </c>
      <c r="G80" s="2" t="n">
        <v>45982.0</v>
      </c>
      <c r="H80" s="3" t="n">
        <v>700.0</v>
      </c>
      <c r="I80"/>
      <c r="J80"/>
      <c r="K80"/>
      <c r="L80"/>
      <c r="M80"/>
      <c r="N80"/>
      <c r="O80" s="3" t="n">
        <v>700.0</v>
      </c>
    </row>
    <row r="81">
      <c r="A81" t="n">
        <v>10.0</v>
      </c>
      <c r="B81" t="inlineStr">
        <is>
          <t>LEASE-BH-F10-2025</t>
        </is>
      </c>
      <c r="C81" t="inlineStr">
        <is>
          <t>Flat 10 - 3 West Gate</t>
        </is>
      </c>
      <c r="D81" s="2" t="n">
        <v>45357.0</v>
      </c>
      <c r="E81" s="2" t="n">
        <v>45357.0</v>
      </c>
      <c r="F81" s="2" t="n">
        <v>45721.0</v>
      </c>
      <c r="G81" s="2" t="n">
        <v>45721.0</v>
      </c>
      <c r="H81" s="3" t="n">
        <v>735.0</v>
      </c>
      <c r="I81"/>
      <c r="J81"/>
      <c r="K81"/>
      <c r="L81"/>
      <c r="M81"/>
      <c r="N81"/>
      <c r="O81" s="3" t="n">
        <v>735.0</v>
      </c>
    </row>
    <row r="82">
      <c r="A82" t="n">
        <v>10.0</v>
      </c>
      <c r="B82" t="inlineStr">
        <is>
          <t>LEASE-BH-F10-2025</t>
        </is>
      </c>
      <c r="C82" t="inlineStr">
        <is>
          <t>Flat 10 - 3 West Gate</t>
        </is>
      </c>
      <c r="D82" s="2" t="n">
        <v>45722.0</v>
      </c>
      <c r="E82" s="2" t="n">
        <v>45722.0</v>
      </c>
      <c r="F82" s="2" t="n">
        <v>45752.0</v>
      </c>
      <c r="G82"/>
      <c r="H82"/>
      <c r="I82"/>
      <c r="J82"/>
      <c r="K82"/>
      <c r="L82"/>
      <c r="M82"/>
      <c r="N82"/>
      <c r="O82" s="3" t="n">
        <v>0.0</v>
      </c>
    </row>
    <row r="83">
      <c r="A83" t="n">
        <v>10.0</v>
      </c>
      <c r="B83" t="inlineStr">
        <is>
          <t>LEASE-BH-F10-2025</t>
        </is>
      </c>
      <c r="C83" t="inlineStr">
        <is>
          <t>Flat 10 - 3 West Gate</t>
        </is>
      </c>
      <c r="D83" s="2" t="n">
        <v>45753.0</v>
      </c>
      <c r="E83" s="2" t="n">
        <v>45753.0</v>
      </c>
      <c r="F83" s="2" t="n">
        <v>45782.0</v>
      </c>
      <c r="G83" s="2" t="n">
        <v>45754.0</v>
      </c>
      <c r="H83" s="3" t="n">
        <v>735.0</v>
      </c>
      <c r="I83"/>
      <c r="J83"/>
      <c r="K83"/>
      <c r="L83"/>
      <c r="M83"/>
      <c r="N83"/>
      <c r="O83" s="3" t="n">
        <v>735.0</v>
      </c>
    </row>
    <row r="84">
      <c r="A84" t="n">
        <v>10.0</v>
      </c>
      <c r="B84" t="inlineStr">
        <is>
          <t>LEASE-BH-F10-2025</t>
        </is>
      </c>
      <c r="C84" t="inlineStr">
        <is>
          <t>Flat 10 - 3 West Gate</t>
        </is>
      </c>
      <c r="D84" s="2" t="n">
        <v>45783.0</v>
      </c>
      <c r="E84" s="2" t="n">
        <v>45783.0</v>
      </c>
      <c r="F84" s="2" t="n">
        <v>45813.0</v>
      </c>
      <c r="G84" s="2" t="n">
        <v>45783.0</v>
      </c>
      <c r="H84" s="3" t="n">
        <v>735.0</v>
      </c>
      <c r="I84" s="2" t="n">
        <v>45813.0</v>
      </c>
      <c r="J84" s="3" t="n">
        <v>735.0</v>
      </c>
      <c r="K84"/>
      <c r="L84"/>
      <c r="M84"/>
      <c r="N84"/>
      <c r="O84" s="3" t="n">
        <v>1470.0</v>
      </c>
    </row>
    <row r="85">
      <c r="A85" t="n">
        <v>10.0</v>
      </c>
      <c r="B85" t="inlineStr">
        <is>
          <t>LEASE-BH-F10-2025</t>
        </is>
      </c>
      <c r="C85" t="inlineStr">
        <is>
          <t>Flat 10 - 3 West Gate</t>
        </is>
      </c>
      <c r="D85" s="2" t="n">
        <v>45814.0</v>
      </c>
      <c r="E85" s="2" t="n">
        <v>45814.0</v>
      </c>
      <c r="F85" s="2" t="n">
        <v>45843.0</v>
      </c>
      <c r="G85"/>
      <c r="H85"/>
      <c r="I85"/>
      <c r="J85"/>
      <c r="K85"/>
      <c r="L85"/>
      <c r="M85"/>
      <c r="N85"/>
      <c r="O85" s="3" t="n">
        <v>0.0</v>
      </c>
    </row>
    <row r="86">
      <c r="A86" t="n">
        <v>10.0</v>
      </c>
      <c r="B86" t="inlineStr">
        <is>
          <t>LEASE-BH-F10-2025</t>
        </is>
      </c>
      <c r="C86" t="inlineStr">
        <is>
          <t>Flat 10 - 3 West Gate</t>
        </is>
      </c>
      <c r="D86" s="2" t="n">
        <v>45844.0</v>
      </c>
      <c r="E86" s="2" t="n">
        <v>45844.0</v>
      </c>
      <c r="F86" s="2" t="n">
        <v>45874.0</v>
      </c>
      <c r="G86" s="2" t="n">
        <v>45860.0</v>
      </c>
      <c r="H86" s="3" t="n">
        <v>735.0</v>
      </c>
      <c r="I86"/>
      <c r="J86"/>
      <c r="K86"/>
      <c r="L86"/>
      <c r="M86"/>
      <c r="N86"/>
      <c r="O86" s="3" t="n">
        <v>735.0</v>
      </c>
    </row>
    <row r="87">
      <c r="A87" t="n">
        <v>10.0</v>
      </c>
      <c r="B87" t="inlineStr">
        <is>
          <t>LEASE-BH-F10-2025</t>
        </is>
      </c>
      <c r="C87" t="inlineStr">
        <is>
          <t>Flat 10 - 3 West Gate</t>
        </is>
      </c>
      <c r="D87" s="2" t="n">
        <v>45875.0</v>
      </c>
      <c r="E87" s="2" t="n">
        <v>45875.0</v>
      </c>
      <c r="F87" s="2" t="n">
        <v>45894.0</v>
      </c>
      <c r="G87"/>
      <c r="H87"/>
      <c r="I87"/>
      <c r="J87"/>
      <c r="K87"/>
      <c r="L87"/>
      <c r="M87"/>
      <c r="N87"/>
      <c r="O87" s="3" t="n">
        <v>0.0</v>
      </c>
    </row>
    <row r="88">
      <c r="A88" t="n">
        <v>10.0</v>
      </c>
      <c r="B88" t="inlineStr">
        <is>
          <t>LEASE-BH-F10-2025</t>
        </is>
      </c>
      <c r="C88" t="inlineStr">
        <is>
          <t>Flat 10 - 3 West Gate</t>
        </is>
      </c>
      <c r="D88" s="2" t="n">
        <v>45895.0</v>
      </c>
      <c r="E88" s="2" t="n">
        <v>45895.0</v>
      </c>
      <c r="F88" s="2" t="n">
        <v>45982.0</v>
      </c>
      <c r="G88" s="2" t="n">
        <v>45911.0</v>
      </c>
      <c r="H88" s="3" t="n">
        <v>483.2</v>
      </c>
      <c r="I88"/>
      <c r="J88"/>
      <c r="K88"/>
      <c r="L88"/>
      <c r="M88"/>
      <c r="N88"/>
      <c r="O88" s="3" t="n">
        <v>483.2</v>
      </c>
    </row>
    <row r="89">
      <c r="A89" t="n">
        <v>11.0</v>
      </c>
      <c r="B89" t="inlineStr">
        <is>
          <t>LEASE-BH-F10-2025B</t>
        </is>
      </c>
      <c r="C89" t="inlineStr">
        <is>
          <t>Flat 10 - 3 West Gate</t>
        </is>
      </c>
      <c r="D89" s="2" t="n">
        <v>45903.0</v>
      </c>
      <c r="E89" s="2" t="n">
        <v>45903.0</v>
      </c>
      <c r="F89" s="2" t="n">
        <v>45932.0</v>
      </c>
      <c r="G89" s="2" t="n">
        <v>45911.0</v>
      </c>
      <c r="H89" s="3" t="n">
        <v>795.0</v>
      </c>
      <c r="I89"/>
      <c r="J89"/>
      <c r="K89"/>
      <c r="L89"/>
      <c r="M89"/>
      <c r="N89"/>
      <c r="O89" s="3" t="n">
        <v>795.0</v>
      </c>
    </row>
    <row r="90">
      <c r="A90" t="n">
        <v>11.0</v>
      </c>
      <c r="B90" t="inlineStr">
        <is>
          <t>LEASE-BH-F10-2025B</t>
        </is>
      </c>
      <c r="C90" t="inlineStr">
        <is>
          <t>Flat 10 - 3 West Gate</t>
        </is>
      </c>
      <c r="D90" s="2" t="n">
        <v>45933.0</v>
      </c>
      <c r="E90" s="2" t="n">
        <v>45933.0</v>
      </c>
      <c r="F90" s="2" t="n">
        <v>45963.0</v>
      </c>
      <c r="G90" s="2" t="n">
        <v>45953.0</v>
      </c>
      <c r="H90" s="3" t="n">
        <v>785.0</v>
      </c>
      <c r="I90"/>
      <c r="J90"/>
      <c r="K90"/>
      <c r="L90"/>
      <c r="M90"/>
      <c r="N90"/>
      <c r="O90" s="3" t="n">
        <v>785.0</v>
      </c>
    </row>
    <row r="91">
      <c r="A91" t="n">
        <v>11.0</v>
      </c>
      <c r="B91" t="inlineStr">
        <is>
          <t>LEASE-BH-F10-2025B</t>
        </is>
      </c>
      <c r="C91" t="inlineStr">
        <is>
          <t>Flat 10 - 3 West Gate</t>
        </is>
      </c>
      <c r="D91" s="2" t="n">
        <v>45964.0</v>
      </c>
      <c r="E91" s="2" t="n">
        <v>45964.0</v>
      </c>
      <c r="F91" s="2" t="n">
        <v>45993.0</v>
      </c>
      <c r="G91" s="2" t="n">
        <v>45982.0</v>
      </c>
      <c r="H91" s="3" t="n">
        <v>785.0</v>
      </c>
      <c r="I91"/>
      <c r="J91"/>
      <c r="K91"/>
      <c r="L91"/>
      <c r="M91"/>
      <c r="N91"/>
      <c r="O91" s="3" t="n">
        <v>785.0</v>
      </c>
    </row>
    <row r="92">
      <c r="A92" t="n">
        <v>12.0</v>
      </c>
      <c r="B92" t="inlineStr">
        <is>
          <t>LEASE-BH-F11-2025</t>
        </is>
      </c>
      <c r="C92" t="inlineStr">
        <is>
          <t>Flat 11 - 3 West Gate</t>
        </is>
      </c>
      <c r="D92" s="2" t="n">
        <v>45357.0</v>
      </c>
      <c r="E92" s="2" t="n">
        <v>45357.0</v>
      </c>
      <c r="F92" s="2" t="n">
        <v>45721.0</v>
      </c>
      <c r="G92" s="2" t="n">
        <v>45718.0</v>
      </c>
      <c r="H92" s="3" t="n">
        <v>795.0</v>
      </c>
      <c r="I92"/>
      <c r="J92"/>
      <c r="K92"/>
      <c r="L92"/>
      <c r="M92"/>
      <c r="N92"/>
      <c r="O92" s="3" t="n">
        <v>795.0</v>
      </c>
    </row>
    <row r="93">
      <c r="A93" t="n">
        <v>12.0</v>
      </c>
      <c r="B93" t="inlineStr">
        <is>
          <t>LEASE-BH-F11-2025</t>
        </is>
      </c>
      <c r="C93" t="inlineStr">
        <is>
          <t>Flat 11 - 3 West Gate</t>
        </is>
      </c>
      <c r="D93" s="2" t="n">
        <v>45722.0</v>
      </c>
      <c r="E93" s="2" t="n">
        <v>45722.0</v>
      </c>
      <c r="F93" s="2" t="n">
        <v>45752.0</v>
      </c>
      <c r="G93" s="2" t="n">
        <v>45748.0</v>
      </c>
      <c r="H93" s="3" t="n">
        <v>795.0</v>
      </c>
      <c r="I93"/>
      <c r="J93"/>
      <c r="K93"/>
      <c r="L93"/>
      <c r="M93"/>
      <c r="N93"/>
      <c r="O93" s="3" t="n">
        <v>795.0</v>
      </c>
    </row>
    <row r="94">
      <c r="A94" t="n">
        <v>12.0</v>
      </c>
      <c r="B94" t="inlineStr">
        <is>
          <t>LEASE-BH-F11-2025</t>
        </is>
      </c>
      <c r="C94" t="inlineStr">
        <is>
          <t>Flat 11 - 3 West Gate</t>
        </is>
      </c>
      <c r="D94" s="2" t="n">
        <v>45753.0</v>
      </c>
      <c r="E94" s="2" t="n">
        <v>45753.0</v>
      </c>
      <c r="F94" s="2" t="n">
        <v>45782.0</v>
      </c>
      <c r="G94" s="2" t="n">
        <v>45779.0</v>
      </c>
      <c r="H94" s="3" t="n">
        <v>795.0</v>
      </c>
      <c r="I94"/>
      <c r="J94"/>
      <c r="K94"/>
      <c r="L94"/>
      <c r="M94"/>
      <c r="N94"/>
      <c r="O94" s="3" t="n">
        <v>795.0</v>
      </c>
    </row>
    <row r="95">
      <c r="A95" t="n">
        <v>12.0</v>
      </c>
      <c r="B95" t="inlineStr">
        <is>
          <t>LEASE-BH-F11-2025</t>
        </is>
      </c>
      <c r="C95" t="inlineStr">
        <is>
          <t>Flat 11 - 3 West Gate</t>
        </is>
      </c>
      <c r="D95" s="2" t="n">
        <v>45783.0</v>
      </c>
      <c r="E95" s="2" t="n">
        <v>45783.0</v>
      </c>
      <c r="F95" s="2" t="n">
        <v>45813.0</v>
      </c>
      <c r="G95" s="2" t="n">
        <v>45809.0</v>
      </c>
      <c r="H95" s="3" t="n">
        <v>795.0</v>
      </c>
      <c r="I95"/>
      <c r="J95"/>
      <c r="K95"/>
      <c r="L95"/>
      <c r="M95"/>
      <c r="N95"/>
      <c r="O95" s="3" t="n">
        <v>795.0</v>
      </c>
    </row>
    <row r="96">
      <c r="A96" t="n">
        <v>12.0</v>
      </c>
      <c r="B96" t="inlineStr">
        <is>
          <t>LEASE-BH-F11-2025</t>
        </is>
      </c>
      <c r="C96" t="inlineStr">
        <is>
          <t>Flat 11 - 3 West Gate</t>
        </is>
      </c>
      <c r="D96" s="2" t="n">
        <v>45814.0</v>
      </c>
      <c r="E96" s="2" t="n">
        <v>45814.0</v>
      </c>
      <c r="F96" s="2" t="n">
        <v>45843.0</v>
      </c>
      <c r="G96"/>
      <c r="H96"/>
      <c r="I96"/>
      <c r="J96"/>
      <c r="K96"/>
      <c r="L96"/>
      <c r="M96"/>
      <c r="N96"/>
      <c r="O96" s="3" t="n">
        <v>0.0</v>
      </c>
    </row>
    <row r="97">
      <c r="A97" t="n">
        <v>12.0</v>
      </c>
      <c r="B97" t="inlineStr">
        <is>
          <t>LEASE-BH-F11-2025</t>
        </is>
      </c>
      <c r="C97" t="inlineStr">
        <is>
          <t>Flat 11 - 3 West Gate</t>
        </is>
      </c>
      <c r="D97" s="2" t="n">
        <v>45844.0</v>
      </c>
      <c r="E97" s="2" t="n">
        <v>45844.0</v>
      </c>
      <c r="F97" s="2" t="n">
        <v>45874.0</v>
      </c>
      <c r="G97" s="2" t="n">
        <v>45860.0</v>
      </c>
      <c r="H97" s="3" t="n">
        <v>795.0</v>
      </c>
      <c r="I97"/>
      <c r="J97"/>
      <c r="K97"/>
      <c r="L97"/>
      <c r="M97"/>
      <c r="N97"/>
      <c r="O97" s="3" t="n">
        <v>795.0</v>
      </c>
    </row>
    <row r="98">
      <c r="A98" t="n">
        <v>12.0</v>
      </c>
      <c r="B98" t="inlineStr">
        <is>
          <t>LEASE-BH-F11-2025</t>
        </is>
      </c>
      <c r="C98" t="inlineStr">
        <is>
          <t>Flat 11 - 3 West Gate</t>
        </is>
      </c>
      <c r="D98" s="2" t="n">
        <v>45875.0</v>
      </c>
      <c r="E98" s="2" t="n">
        <v>45875.0</v>
      </c>
      <c r="F98" s="2" t="n">
        <v>45905.0</v>
      </c>
      <c r="G98" s="2" t="n">
        <v>45877.0</v>
      </c>
      <c r="H98" s="3" t="n">
        <v>795.0</v>
      </c>
      <c r="I98" s="2" t="n">
        <v>45902.0</v>
      </c>
      <c r="J98" s="3" t="n">
        <v>795.0</v>
      </c>
      <c r="K98"/>
      <c r="L98"/>
      <c r="M98"/>
      <c r="N98"/>
      <c r="O98" s="3" t="n">
        <v>1590.0</v>
      </c>
    </row>
    <row r="99">
      <c r="A99" t="n">
        <v>12.0</v>
      </c>
      <c r="B99" t="inlineStr">
        <is>
          <t>LEASE-BH-F11-2025</t>
        </is>
      </c>
      <c r="C99" t="inlineStr">
        <is>
          <t>Flat 11 - 3 West Gate</t>
        </is>
      </c>
      <c r="D99" s="2" t="n">
        <v>45906.0</v>
      </c>
      <c r="E99" s="2" t="n">
        <v>45906.0</v>
      </c>
      <c r="F99" s="2" t="n">
        <v>45935.0</v>
      </c>
      <c r="G99"/>
      <c r="H99"/>
      <c r="I99"/>
      <c r="J99"/>
      <c r="K99"/>
      <c r="L99"/>
      <c r="M99"/>
      <c r="N99"/>
      <c r="O99" s="3" t="n">
        <v>0.0</v>
      </c>
    </row>
    <row r="100">
      <c r="A100" t="n">
        <v>12.0</v>
      </c>
      <c r="B100" t="inlineStr">
        <is>
          <t>LEASE-BH-F11-2025</t>
        </is>
      </c>
      <c r="C100" t="inlineStr">
        <is>
          <t>Flat 11 - 3 West Gate</t>
        </is>
      </c>
      <c r="D100" s="2" t="n">
        <v>45936.0</v>
      </c>
      <c r="E100" s="2" t="n">
        <v>45936.0</v>
      </c>
      <c r="F100" s="2" t="n">
        <v>45966.0</v>
      </c>
      <c r="G100" s="2" t="n">
        <v>45936.0</v>
      </c>
      <c r="H100" s="3" t="n">
        <v>795.0</v>
      </c>
      <c r="I100"/>
      <c r="J100"/>
      <c r="K100"/>
      <c r="L100"/>
      <c r="M100"/>
      <c r="N100"/>
      <c r="O100" s="3" t="n">
        <v>795.0</v>
      </c>
    </row>
    <row r="101">
      <c r="A101" t="n">
        <v>12.0</v>
      </c>
      <c r="B101" t="inlineStr">
        <is>
          <t>LEASE-BH-F11-2025</t>
        </is>
      </c>
      <c r="C101" t="inlineStr">
        <is>
          <t>Flat 11 - 3 West Gate</t>
        </is>
      </c>
      <c r="D101" s="2" t="n">
        <v>45967.0</v>
      </c>
      <c r="E101" s="2" t="n">
        <v>45967.0</v>
      </c>
      <c r="F101" s="2" t="n">
        <v>45996.0</v>
      </c>
      <c r="G101" s="2" t="n">
        <v>45981.0</v>
      </c>
      <c r="H101" s="3" t="n">
        <v>795.0</v>
      </c>
      <c r="I101"/>
      <c r="J101"/>
      <c r="K101"/>
      <c r="L101"/>
      <c r="M101"/>
      <c r="N101"/>
      <c r="O101" s="3" t="n">
        <v>795.0</v>
      </c>
    </row>
    <row r="102">
      <c r="A102" t="n">
        <v>13.0</v>
      </c>
      <c r="B102" t="inlineStr">
        <is>
          <t>LEASE-BH-F12-2025</t>
        </is>
      </c>
      <c r="C102" t="inlineStr">
        <is>
          <t>Flat 12 - 3 West Gate</t>
        </is>
      </c>
      <c r="D102" s="2" t="n">
        <v>45754.0</v>
      </c>
      <c r="E102" s="2" t="n">
        <v>45754.0</v>
      </c>
      <c r="F102" s="2" t="n">
        <v>45783.0</v>
      </c>
      <c r="G102" s="2" t="n">
        <v>45761.0</v>
      </c>
      <c r="H102" s="3" t="n">
        <v>675.0</v>
      </c>
      <c r="I102"/>
      <c r="J102"/>
      <c r="K102"/>
      <c r="L102"/>
      <c r="M102"/>
      <c r="N102"/>
      <c r="O102" s="3" t="n">
        <v>675.0</v>
      </c>
    </row>
    <row r="103">
      <c r="A103" t="n">
        <v>13.0</v>
      </c>
      <c r="B103" t="inlineStr">
        <is>
          <t>LEASE-BH-F12-2025</t>
        </is>
      </c>
      <c r="C103" t="inlineStr">
        <is>
          <t>Flat 12 - 3 West Gate</t>
        </is>
      </c>
      <c r="D103" s="2" t="n">
        <v>45784.0</v>
      </c>
      <c r="E103" s="2" t="n">
        <v>45784.0</v>
      </c>
      <c r="F103" s="2" t="n">
        <v>45814.0</v>
      </c>
      <c r="G103" s="2" t="n">
        <v>45786.0</v>
      </c>
      <c r="H103" s="3" t="n">
        <v>675.0</v>
      </c>
      <c r="I103"/>
      <c r="J103"/>
      <c r="K103"/>
      <c r="L103"/>
      <c r="M103"/>
      <c r="N103"/>
      <c r="O103" s="3" t="n">
        <v>675.0</v>
      </c>
    </row>
    <row r="104">
      <c r="A104" t="n">
        <v>14.0</v>
      </c>
      <c r="B104" t="inlineStr">
        <is>
          <t>LEASE-BH-F12-2025B</t>
        </is>
      </c>
      <c r="C104" t="inlineStr">
        <is>
          <t>Flat 12 - 3 West Gate</t>
        </is>
      </c>
      <c r="D104" s="2" t="n">
        <v>45860.0</v>
      </c>
      <c r="E104" s="2" t="n">
        <v>45860.0</v>
      </c>
      <c r="F104" s="2" t="n">
        <v>45890.0</v>
      </c>
      <c r="G104" s="2" t="n">
        <v>45877.0</v>
      </c>
      <c r="H104" s="3" t="n">
        <v>5687.3</v>
      </c>
      <c r="I104"/>
      <c r="J104"/>
      <c r="K104"/>
      <c r="L104"/>
      <c r="M104"/>
      <c r="N104"/>
      <c r="O104" s="3" t="n">
        <v>5687.3</v>
      </c>
    </row>
    <row r="105">
      <c r="A105" t="n">
        <v>14.0</v>
      </c>
      <c r="B105" t="inlineStr">
        <is>
          <t>LEASE-BH-F12-2025B</t>
        </is>
      </c>
      <c r="C105" t="inlineStr">
        <is>
          <t>Flat 12 - 3 West Gate</t>
        </is>
      </c>
      <c r="D105" s="2" t="n">
        <v>45891.0</v>
      </c>
      <c r="E105" s="2" t="n">
        <v>45891.0</v>
      </c>
      <c r="F105" s="2" t="n">
        <v>45921.0</v>
      </c>
      <c r="G105"/>
      <c r="H105"/>
      <c r="I105"/>
      <c r="J105"/>
      <c r="K105"/>
      <c r="L105"/>
      <c r="M105"/>
      <c r="N105"/>
      <c r="O105" s="3" t="n">
        <v>0.0</v>
      </c>
    </row>
    <row r="106">
      <c r="A106" t="n">
        <v>14.0</v>
      </c>
      <c r="B106" t="inlineStr">
        <is>
          <t>LEASE-BH-F12-2025B</t>
        </is>
      </c>
      <c r="C106" t="inlineStr">
        <is>
          <t>Flat 12 - 3 West Gate</t>
        </is>
      </c>
      <c r="D106" s="2" t="n">
        <v>45922.0</v>
      </c>
      <c r="E106" s="2" t="n">
        <v>45922.0</v>
      </c>
      <c r="F106" s="2" t="n">
        <v>45951.0</v>
      </c>
      <c r="G106"/>
      <c r="H106"/>
      <c r="I106"/>
      <c r="J106"/>
      <c r="K106"/>
      <c r="L106"/>
      <c r="M106"/>
      <c r="N106"/>
      <c r="O106" s="3" t="n">
        <v>0.0</v>
      </c>
    </row>
    <row r="107">
      <c r="A107" t="n">
        <v>15.0</v>
      </c>
      <c r="B107" t="inlineStr">
        <is>
          <t>LEASE-BH-F13-2025</t>
        </is>
      </c>
      <c r="C107" t="inlineStr">
        <is>
          <t>Flat 13 - 3 West Gate</t>
        </is>
      </c>
      <c r="D107" s="2" t="n">
        <v>45719.0</v>
      </c>
      <c r="E107" s="2" t="n">
        <v>45719.0</v>
      </c>
      <c r="F107" s="2" t="n">
        <v>45749.0</v>
      </c>
      <c r="G107" s="2" t="n">
        <v>45722.0</v>
      </c>
      <c r="H107" s="3" t="n">
        <v>800.0</v>
      </c>
      <c r="I107"/>
      <c r="J107"/>
      <c r="K107"/>
      <c r="L107"/>
      <c r="M107"/>
      <c r="N107"/>
      <c r="O107" s="3" t="n">
        <v>800.0</v>
      </c>
    </row>
    <row r="108">
      <c r="A108" t="n">
        <v>15.0</v>
      </c>
      <c r="B108" t="inlineStr">
        <is>
          <t>LEASE-BH-F13-2025</t>
        </is>
      </c>
      <c r="C108" t="inlineStr">
        <is>
          <t>Flat 13 - 3 West Gate</t>
        </is>
      </c>
      <c r="D108" s="2" t="n">
        <v>45750.0</v>
      </c>
      <c r="E108" s="2" t="n">
        <v>45750.0</v>
      </c>
      <c r="F108" s="2" t="n">
        <v>45779.0</v>
      </c>
      <c r="G108" s="2" t="n">
        <v>45754.0</v>
      </c>
      <c r="H108" s="3" t="n">
        <v>800.0</v>
      </c>
      <c r="I108"/>
      <c r="J108"/>
      <c r="K108"/>
      <c r="L108"/>
      <c r="M108"/>
      <c r="N108"/>
      <c r="O108" s="3" t="n">
        <v>800.0</v>
      </c>
    </row>
    <row r="109">
      <c r="A109" t="n">
        <v>15.0</v>
      </c>
      <c r="B109" t="inlineStr">
        <is>
          <t>LEASE-BH-F13-2025</t>
        </is>
      </c>
      <c r="C109" t="inlineStr">
        <is>
          <t>Flat 13 - 3 West Gate</t>
        </is>
      </c>
      <c r="D109" s="2" t="n">
        <v>45780.0</v>
      </c>
      <c r="E109" s="2" t="n">
        <v>45780.0</v>
      </c>
      <c r="F109" s="2" t="n">
        <v>45810.0</v>
      </c>
      <c r="G109" s="2" t="n">
        <v>45783.0</v>
      </c>
      <c r="H109" s="3" t="n">
        <v>800.0</v>
      </c>
      <c r="I109"/>
      <c r="J109"/>
      <c r="K109"/>
      <c r="L109"/>
      <c r="M109"/>
      <c r="N109"/>
      <c r="O109" s="3" t="n">
        <v>800.0</v>
      </c>
    </row>
    <row r="110">
      <c r="A110" t="n">
        <v>15.0</v>
      </c>
      <c r="B110" t="inlineStr">
        <is>
          <t>LEASE-BH-F13-2025</t>
        </is>
      </c>
      <c r="C110" t="inlineStr">
        <is>
          <t>Flat 13 - 3 West Gate</t>
        </is>
      </c>
      <c r="D110" s="2" t="n">
        <v>45811.0</v>
      </c>
      <c r="E110" s="2" t="n">
        <v>45811.0</v>
      </c>
      <c r="F110" s="2" t="n">
        <v>45840.0</v>
      </c>
      <c r="G110" s="2" t="n">
        <v>45814.0</v>
      </c>
      <c r="H110" s="3" t="n">
        <v>800.0</v>
      </c>
      <c r="I110"/>
      <c r="J110"/>
      <c r="K110"/>
      <c r="L110"/>
      <c r="M110"/>
      <c r="N110"/>
      <c r="O110" s="3" t="n">
        <v>800.0</v>
      </c>
    </row>
    <row r="111">
      <c r="A111" t="n">
        <v>15.0</v>
      </c>
      <c r="B111" t="inlineStr">
        <is>
          <t>LEASE-BH-F13-2025</t>
        </is>
      </c>
      <c r="C111" t="inlineStr">
        <is>
          <t>Flat 13 - 3 West Gate</t>
        </is>
      </c>
      <c r="D111" s="2" t="n">
        <v>45841.0</v>
      </c>
      <c r="E111" s="2" t="n">
        <v>45841.0</v>
      </c>
      <c r="F111" s="2" t="n">
        <v>45871.0</v>
      </c>
      <c r="G111" s="2" t="n">
        <v>45860.0</v>
      </c>
      <c r="H111" s="3" t="n">
        <v>800.0</v>
      </c>
      <c r="I111"/>
      <c r="J111"/>
      <c r="K111"/>
      <c r="L111"/>
      <c r="M111"/>
      <c r="N111"/>
      <c r="O111" s="3" t="n">
        <v>800.0</v>
      </c>
    </row>
    <row r="112">
      <c r="A112" t="n">
        <v>15.0</v>
      </c>
      <c r="B112" t="inlineStr">
        <is>
          <t>LEASE-BH-F13-2025</t>
        </is>
      </c>
      <c r="C112" t="inlineStr">
        <is>
          <t>Flat 13 - 3 West Gate</t>
        </is>
      </c>
      <c r="D112" s="2" t="n">
        <v>45872.0</v>
      </c>
      <c r="E112" s="2" t="n">
        <v>45872.0</v>
      </c>
      <c r="F112" s="2" t="n">
        <v>45902.0</v>
      </c>
      <c r="G112" s="2" t="n">
        <v>45877.0</v>
      </c>
      <c r="H112" s="3" t="n">
        <v>800.0</v>
      </c>
      <c r="I112"/>
      <c r="J112"/>
      <c r="K112"/>
      <c r="L112"/>
      <c r="M112"/>
      <c r="N112"/>
      <c r="O112" s="3" t="n">
        <v>800.0</v>
      </c>
    </row>
    <row r="113">
      <c r="A113" t="n">
        <v>15.0</v>
      </c>
      <c r="B113" t="inlineStr">
        <is>
          <t>LEASE-BH-F13-2025</t>
        </is>
      </c>
      <c r="C113" t="inlineStr">
        <is>
          <t>Flat 13 - 3 West Gate</t>
        </is>
      </c>
      <c r="D113" s="2" t="n">
        <v>45903.0</v>
      </c>
      <c r="E113" s="2" t="n">
        <v>45903.0</v>
      </c>
      <c r="F113" s="2" t="n">
        <v>45932.0</v>
      </c>
      <c r="G113" s="2" t="n">
        <v>45909.0</v>
      </c>
      <c r="H113" s="3" t="n">
        <v>800.0</v>
      </c>
      <c r="I113"/>
      <c r="J113"/>
      <c r="K113"/>
      <c r="L113"/>
      <c r="M113"/>
      <c r="N113"/>
      <c r="O113" s="3" t="n">
        <v>800.0</v>
      </c>
    </row>
    <row r="114">
      <c r="A114" t="n">
        <v>15.0</v>
      </c>
      <c r="B114" t="inlineStr">
        <is>
          <t>LEASE-BH-F13-2025</t>
        </is>
      </c>
      <c r="C114" t="inlineStr">
        <is>
          <t>Flat 13 - 3 West Gate</t>
        </is>
      </c>
      <c r="D114" s="2" t="n">
        <v>45933.0</v>
      </c>
      <c r="E114" s="2" t="n">
        <v>45933.0</v>
      </c>
      <c r="F114" s="2" t="n">
        <v>45963.0</v>
      </c>
      <c r="G114" s="2" t="n">
        <v>45936.0</v>
      </c>
      <c r="H114" s="3" t="n">
        <v>800.0</v>
      </c>
      <c r="I114"/>
      <c r="J114"/>
      <c r="K114"/>
      <c r="L114"/>
      <c r="M114"/>
      <c r="N114"/>
      <c r="O114" s="3" t="n">
        <v>800.0</v>
      </c>
    </row>
    <row r="115">
      <c r="A115" t="n">
        <v>16.0</v>
      </c>
      <c r="B115" t="inlineStr">
        <is>
          <t>LEASE-BH-F14-2025</t>
        </is>
      </c>
      <c r="C115" t="inlineStr">
        <is>
          <t>Flat 14 - 3 West Gate</t>
        </is>
      </c>
      <c r="D115" s="2" t="n">
        <v>45379.0</v>
      </c>
      <c r="E115" s="2" t="n">
        <v>45379.0</v>
      </c>
      <c r="F115" s="2" t="n">
        <v>45743.0</v>
      </c>
      <c r="G115" s="2" t="n">
        <v>45742.0</v>
      </c>
      <c r="H115" s="3" t="n">
        <v>795.0</v>
      </c>
      <c r="I115"/>
      <c r="J115"/>
      <c r="K115"/>
      <c r="L115"/>
      <c r="M115"/>
      <c r="N115"/>
      <c r="O115" s="3" t="n">
        <v>795.0</v>
      </c>
    </row>
    <row r="116">
      <c r="A116" t="n">
        <v>16.0</v>
      </c>
      <c r="B116" t="inlineStr">
        <is>
          <t>LEASE-BH-F14-2025</t>
        </is>
      </c>
      <c r="C116" t="inlineStr">
        <is>
          <t>Flat 14 - 3 West Gate</t>
        </is>
      </c>
      <c r="D116" s="2" t="n">
        <v>45744.0</v>
      </c>
      <c r="E116" s="2" t="n">
        <v>45744.0</v>
      </c>
      <c r="F116" s="2" t="n">
        <v>45774.0</v>
      </c>
      <c r="G116"/>
      <c r="H116"/>
      <c r="I116"/>
      <c r="J116"/>
      <c r="K116"/>
      <c r="L116"/>
      <c r="M116"/>
      <c r="N116"/>
      <c r="O116" s="3" t="n">
        <v>0.0</v>
      </c>
    </row>
    <row r="117">
      <c r="A117" t="n">
        <v>16.0</v>
      </c>
      <c r="B117" t="inlineStr">
        <is>
          <t>LEASE-BH-F14-2025</t>
        </is>
      </c>
      <c r="C117" t="inlineStr">
        <is>
          <t>Flat 14 - 3 West Gate</t>
        </is>
      </c>
      <c r="D117" s="2" t="n">
        <v>45775.0</v>
      </c>
      <c r="E117" s="2" t="n">
        <v>45775.0</v>
      </c>
      <c r="F117" s="2" t="n">
        <v>45804.0</v>
      </c>
      <c r="G117" s="2" t="n">
        <v>45775.0</v>
      </c>
      <c r="H117" s="3" t="n">
        <v>800.0</v>
      </c>
      <c r="I117" s="2" t="n">
        <v>45804.0</v>
      </c>
      <c r="J117" s="3" t="n">
        <v>795.0</v>
      </c>
      <c r="K117"/>
      <c r="L117"/>
      <c r="M117"/>
      <c r="N117"/>
      <c r="O117" s="3" t="n">
        <v>1595.0</v>
      </c>
    </row>
    <row r="118">
      <c r="A118" t="n">
        <v>16.0</v>
      </c>
      <c r="B118" t="inlineStr">
        <is>
          <t>LEASE-BH-F14-2025</t>
        </is>
      </c>
      <c r="C118" t="inlineStr">
        <is>
          <t>Flat 14 - 3 West Gate</t>
        </is>
      </c>
      <c r="D118" s="2" t="n">
        <v>45805.0</v>
      </c>
      <c r="E118" s="2" t="n">
        <v>45805.0</v>
      </c>
      <c r="F118" s="2" t="n">
        <v>45835.0</v>
      </c>
      <c r="G118" s="2" t="n">
        <v>45834.0</v>
      </c>
      <c r="H118" s="3" t="n">
        <v>795.0</v>
      </c>
      <c r="I118"/>
      <c r="J118"/>
      <c r="K118"/>
      <c r="L118"/>
      <c r="M118"/>
      <c r="N118"/>
      <c r="O118" s="3" t="n">
        <v>795.0</v>
      </c>
    </row>
    <row r="119">
      <c r="A119" t="n">
        <v>16.0</v>
      </c>
      <c r="B119" t="inlineStr">
        <is>
          <t>LEASE-BH-F14-2025</t>
        </is>
      </c>
      <c r="C119" t="inlineStr">
        <is>
          <t>Flat 14 - 3 West Gate</t>
        </is>
      </c>
      <c r="D119" s="2" t="n">
        <v>45836.0</v>
      </c>
      <c r="E119" s="2" t="n">
        <v>45836.0</v>
      </c>
      <c r="F119" s="2" t="n">
        <v>45865.0</v>
      </c>
      <c r="G119"/>
      <c r="H119"/>
      <c r="I119"/>
      <c r="J119"/>
      <c r="K119"/>
      <c r="L119"/>
      <c r="M119"/>
      <c r="N119"/>
      <c r="O119" s="3" t="n">
        <v>0.0</v>
      </c>
    </row>
    <row r="120">
      <c r="A120" t="n">
        <v>16.0</v>
      </c>
      <c r="B120" t="inlineStr">
        <is>
          <t>LEASE-BH-F14-2025</t>
        </is>
      </c>
      <c r="C120" t="inlineStr">
        <is>
          <t>Flat 14 - 3 West Gate</t>
        </is>
      </c>
      <c r="D120" s="2" t="n">
        <v>45866.0</v>
      </c>
      <c r="E120" s="2" t="n">
        <v>45866.0</v>
      </c>
      <c r="F120" s="2" t="n">
        <v>45896.0</v>
      </c>
      <c r="G120" s="2" t="n">
        <v>45866.0</v>
      </c>
      <c r="H120" s="3" t="n">
        <v>795.0</v>
      </c>
      <c r="I120" s="2" t="n">
        <v>45895.0</v>
      </c>
      <c r="J120" s="3" t="n">
        <v>795.0</v>
      </c>
      <c r="K120"/>
      <c r="L120"/>
      <c r="M120"/>
      <c r="N120"/>
      <c r="O120" s="3" t="n">
        <v>1590.0</v>
      </c>
    </row>
    <row r="121">
      <c r="A121" t="n">
        <v>16.0</v>
      </c>
      <c r="B121" t="inlineStr">
        <is>
          <t>LEASE-BH-F14-2025</t>
        </is>
      </c>
      <c r="C121" t="inlineStr">
        <is>
          <t>Flat 14 - 3 West Gate</t>
        </is>
      </c>
      <c r="D121" s="2" t="n">
        <v>45897.0</v>
      </c>
      <c r="E121" s="2" t="n">
        <v>45897.0</v>
      </c>
      <c r="F121" s="2" t="n">
        <v>45927.0</v>
      </c>
      <c r="G121" s="2" t="n">
        <v>45926.0</v>
      </c>
      <c r="H121" s="3" t="n">
        <v>795.0</v>
      </c>
      <c r="I121"/>
      <c r="J121"/>
      <c r="K121"/>
      <c r="L121"/>
      <c r="M121"/>
      <c r="N121"/>
      <c r="O121" s="3" t="n">
        <v>795.0</v>
      </c>
    </row>
    <row r="122">
      <c r="A122" t="n">
        <v>16.0</v>
      </c>
      <c r="B122" t="inlineStr">
        <is>
          <t>LEASE-BH-F14-2025</t>
        </is>
      </c>
      <c r="C122" t="inlineStr">
        <is>
          <t>Flat 14 - 3 West Gate</t>
        </is>
      </c>
      <c r="D122" s="2" t="n">
        <v>45928.0</v>
      </c>
      <c r="E122" s="2" t="n">
        <v>45928.0</v>
      </c>
      <c r="F122" s="2" t="n">
        <v>45957.0</v>
      </c>
      <c r="G122" s="2" t="n">
        <v>45957.0</v>
      </c>
      <c r="H122" s="3" t="n">
        <v>795.0</v>
      </c>
      <c r="I122"/>
      <c r="J122"/>
      <c r="K122"/>
      <c r="L122"/>
      <c r="M122"/>
      <c r="N122"/>
      <c r="O122" s="3" t="n">
        <v>795.0</v>
      </c>
    </row>
    <row r="123">
      <c r="A123" t="n">
        <v>16.0</v>
      </c>
      <c r="B123" t="inlineStr">
        <is>
          <t>LEASE-BH-F14-2025</t>
        </is>
      </c>
      <c r="C123" t="inlineStr">
        <is>
          <t>Flat 14 - 3 West Gate</t>
        </is>
      </c>
      <c r="D123" s="2" t="n">
        <v>45958.0</v>
      </c>
      <c r="E123" s="2" t="n">
        <v>45958.0</v>
      </c>
      <c r="F123" s="2" t="n">
        <v>45988.0</v>
      </c>
      <c r="G123"/>
      <c r="H123"/>
      <c r="I123"/>
      <c r="J123"/>
      <c r="K123"/>
      <c r="L123"/>
      <c r="M123"/>
      <c r="N123"/>
      <c r="O123" s="3" t="n">
        <v>0.0</v>
      </c>
    </row>
    <row r="124">
      <c r="A124" t="n">
        <v>17.0</v>
      </c>
      <c r="B124" t="inlineStr">
        <is>
          <t>LEASE-BH-F15-2025</t>
        </is>
      </c>
      <c r="C124" t="inlineStr">
        <is>
          <t>Flat 15 - 3 West Gate</t>
        </is>
      </c>
      <c r="D124" s="2" t="n">
        <v>45703.0</v>
      </c>
      <c r="E124" s="2" t="n">
        <v>45703.0</v>
      </c>
      <c r="F124" s="2" t="n">
        <v>45730.0</v>
      </c>
      <c r="G124" s="2" t="n">
        <v>45707.0</v>
      </c>
      <c r="H124" s="3" t="n">
        <v>740.0</v>
      </c>
      <c r="I124"/>
      <c r="J124"/>
      <c r="K124"/>
      <c r="L124"/>
      <c r="M124"/>
      <c r="N124"/>
      <c r="O124" s="3" t="n">
        <v>740.0</v>
      </c>
    </row>
    <row r="125">
      <c r="A125" t="n">
        <v>17.0</v>
      </c>
      <c r="B125" t="inlineStr">
        <is>
          <t>LEASE-BH-F15-2025</t>
        </is>
      </c>
      <c r="C125" t="inlineStr">
        <is>
          <t>Flat 15 - 3 West Gate</t>
        </is>
      </c>
      <c r="D125" s="2" t="n">
        <v>45731.0</v>
      </c>
      <c r="E125" s="2" t="n">
        <v>45731.0</v>
      </c>
      <c r="F125" s="2" t="n">
        <v>45761.0</v>
      </c>
      <c r="G125" s="2" t="n">
        <v>45735.0</v>
      </c>
      <c r="H125" s="3" t="n">
        <v>740.0</v>
      </c>
      <c r="I125"/>
      <c r="J125"/>
      <c r="K125"/>
      <c r="L125"/>
      <c r="M125"/>
      <c r="N125"/>
      <c r="O125" s="3" t="n">
        <v>740.0</v>
      </c>
    </row>
    <row r="126">
      <c r="A126" t="n">
        <v>17.0</v>
      </c>
      <c r="B126" t="inlineStr">
        <is>
          <t>LEASE-BH-F15-2025</t>
        </is>
      </c>
      <c r="C126" t="inlineStr">
        <is>
          <t>Flat 15 - 3 West Gate</t>
        </is>
      </c>
      <c r="D126" s="2" t="n">
        <v>45762.0</v>
      </c>
      <c r="E126" s="2" t="n">
        <v>45762.0</v>
      </c>
      <c r="F126" s="2" t="n">
        <v>45791.0</v>
      </c>
      <c r="G126"/>
      <c r="H126"/>
      <c r="I126"/>
      <c r="J126"/>
      <c r="K126"/>
      <c r="L126"/>
      <c r="M126"/>
      <c r="N126"/>
      <c r="O126" s="3" t="n">
        <v>0.0</v>
      </c>
    </row>
    <row r="127">
      <c r="A127" t="n">
        <v>17.0</v>
      </c>
      <c r="B127" t="inlineStr">
        <is>
          <t>LEASE-BH-F15-2025</t>
        </is>
      </c>
      <c r="C127" t="inlineStr">
        <is>
          <t>Flat 15 - 3 West Gate</t>
        </is>
      </c>
      <c r="D127" s="2" t="n">
        <v>45792.0</v>
      </c>
      <c r="E127" s="2" t="n">
        <v>45792.0</v>
      </c>
      <c r="F127" s="2" t="n">
        <v>45822.0</v>
      </c>
      <c r="G127" s="2" t="n">
        <v>45796.0</v>
      </c>
      <c r="H127" s="3" t="n">
        <v>1480.0</v>
      </c>
      <c r="I127"/>
      <c r="J127"/>
      <c r="K127"/>
      <c r="L127"/>
      <c r="M127"/>
      <c r="N127"/>
      <c r="O127" s="3" t="n">
        <v>1480.0</v>
      </c>
    </row>
    <row r="128">
      <c r="A128" t="n">
        <v>17.0</v>
      </c>
      <c r="B128" t="inlineStr">
        <is>
          <t>LEASE-BH-F15-2025</t>
        </is>
      </c>
      <c r="C128" t="inlineStr">
        <is>
          <t>Flat 15 - 3 West Gate</t>
        </is>
      </c>
      <c r="D128" s="2" t="n">
        <v>45823.0</v>
      </c>
      <c r="E128" s="2" t="n">
        <v>45823.0</v>
      </c>
      <c r="F128" s="2" t="n">
        <v>45852.0</v>
      </c>
      <c r="G128" s="2" t="n">
        <v>45825.0</v>
      </c>
      <c r="H128" s="3" t="n">
        <v>740.0</v>
      </c>
      <c r="I128"/>
      <c r="J128"/>
      <c r="K128"/>
      <c r="L128"/>
      <c r="M128"/>
      <c r="N128"/>
      <c r="O128" s="3" t="n">
        <v>740.0</v>
      </c>
    </row>
    <row r="129">
      <c r="A129" t="n">
        <v>17.0</v>
      </c>
      <c r="B129" t="inlineStr">
        <is>
          <t>LEASE-BH-F15-2025</t>
        </is>
      </c>
      <c r="C129" t="inlineStr">
        <is>
          <t>Flat 15 - 3 West Gate</t>
        </is>
      </c>
      <c r="D129" s="2" t="n">
        <v>45853.0</v>
      </c>
      <c r="E129" s="2" t="n">
        <v>45853.0</v>
      </c>
      <c r="F129" s="2" t="n">
        <v>45883.0</v>
      </c>
      <c r="G129" s="2" t="n">
        <v>45860.0</v>
      </c>
      <c r="H129" s="3" t="n">
        <v>740.0</v>
      </c>
      <c r="I129"/>
      <c r="J129"/>
      <c r="K129"/>
      <c r="L129"/>
      <c r="M129"/>
      <c r="N129"/>
      <c r="O129" s="3" t="n">
        <v>740.0</v>
      </c>
    </row>
    <row r="130">
      <c r="A130" t="n">
        <v>17.0</v>
      </c>
      <c r="B130" t="inlineStr">
        <is>
          <t>LEASE-BH-F15-2025</t>
        </is>
      </c>
      <c r="C130" t="inlineStr">
        <is>
          <t>Flat 15 - 3 West Gate</t>
        </is>
      </c>
      <c r="D130" s="2" t="n">
        <v>45884.0</v>
      </c>
      <c r="E130" s="2" t="n">
        <v>45884.0</v>
      </c>
      <c r="F130" s="2" t="n">
        <v>45914.0</v>
      </c>
      <c r="G130" s="2" t="n">
        <v>45891.0</v>
      </c>
      <c r="H130" s="3" t="n">
        <v>740.0</v>
      </c>
      <c r="I130"/>
      <c r="J130"/>
      <c r="K130"/>
      <c r="L130"/>
      <c r="M130"/>
      <c r="N130"/>
      <c r="O130" s="3" t="n">
        <v>740.0</v>
      </c>
    </row>
    <row r="131">
      <c r="A131" t="n">
        <v>17.0</v>
      </c>
      <c r="B131" t="inlineStr">
        <is>
          <t>LEASE-BH-F15-2025</t>
        </is>
      </c>
      <c r="C131" t="inlineStr">
        <is>
          <t>Flat 15 - 3 West Gate</t>
        </is>
      </c>
      <c r="D131" s="2" t="n">
        <v>45915.0</v>
      </c>
      <c r="E131" s="2" t="n">
        <v>45915.0</v>
      </c>
      <c r="F131" s="2" t="n">
        <v>45944.0</v>
      </c>
      <c r="G131" s="2" t="n">
        <v>45919.0</v>
      </c>
      <c r="H131" s="3" t="n">
        <v>740.0</v>
      </c>
      <c r="I131"/>
      <c r="J131"/>
      <c r="K131"/>
      <c r="L131"/>
      <c r="M131"/>
      <c r="N131"/>
      <c r="O131" s="3" t="n">
        <v>740.0</v>
      </c>
    </row>
    <row r="132">
      <c r="A132" t="n">
        <v>17.0</v>
      </c>
      <c r="B132" t="inlineStr">
        <is>
          <t>LEASE-BH-F15-2025</t>
        </is>
      </c>
      <c r="C132" t="inlineStr">
        <is>
          <t>Flat 15 - 3 West Gate</t>
        </is>
      </c>
      <c r="D132" s="2" t="n">
        <v>45945.0</v>
      </c>
      <c r="E132" s="2" t="n">
        <v>45945.0</v>
      </c>
      <c r="F132" s="2" t="n">
        <v>45975.0</v>
      </c>
      <c r="G132" s="2" t="n">
        <v>45953.0</v>
      </c>
      <c r="H132" s="3" t="n">
        <v>740.0</v>
      </c>
      <c r="I132"/>
      <c r="J132"/>
      <c r="K132"/>
      <c r="L132"/>
      <c r="M132"/>
      <c r="N132"/>
      <c r="O132" s="3" t="n">
        <v>740.0</v>
      </c>
    </row>
    <row r="133">
      <c r="A133" t="n">
        <v>17.0</v>
      </c>
      <c r="B133" t="inlineStr">
        <is>
          <t>LEASE-BH-F15-2025</t>
        </is>
      </c>
      <c r="C133" t="inlineStr">
        <is>
          <t>Flat 15 - 3 West Gate</t>
        </is>
      </c>
      <c r="D133" s="2" t="n">
        <v>45976.0</v>
      </c>
      <c r="E133" s="2" t="n">
        <v>45976.0</v>
      </c>
      <c r="F133" s="2" t="n">
        <v>46005.0</v>
      </c>
      <c r="G133" s="2" t="n">
        <v>45982.0</v>
      </c>
      <c r="H133" s="3" t="n">
        <v>740.0</v>
      </c>
      <c r="I133"/>
      <c r="J133"/>
      <c r="K133"/>
      <c r="L133"/>
      <c r="M133"/>
      <c r="N133"/>
      <c r="O133" s="3" t="n">
        <v>740.0</v>
      </c>
    </row>
    <row r="134">
      <c r="A134" t="n">
        <v>18.0</v>
      </c>
      <c r="B134" t="inlineStr">
        <is>
          <t>LEASE-BH-F16-2025</t>
        </is>
      </c>
      <c r="C134" t="inlineStr">
        <is>
          <t>Flat 16 - 3 West Gate</t>
        </is>
      </c>
      <c r="D134" s="2" t="n">
        <v>45726.0</v>
      </c>
      <c r="E134" s="2" t="n">
        <v>45726.0</v>
      </c>
      <c r="F134" s="2" t="n">
        <v>45756.0</v>
      </c>
      <c r="G134" s="2" t="n">
        <v>45728.0</v>
      </c>
      <c r="H134" s="3" t="n">
        <v>740.0</v>
      </c>
      <c r="I134"/>
      <c r="J134"/>
      <c r="K134"/>
      <c r="L134"/>
      <c r="M134"/>
      <c r="N134"/>
      <c r="O134" s="3" t="n">
        <v>740.0</v>
      </c>
    </row>
    <row r="135">
      <c r="A135" t="n">
        <v>18.0</v>
      </c>
      <c r="B135" t="inlineStr">
        <is>
          <t>LEASE-BH-F16-2025</t>
        </is>
      </c>
      <c r="C135" t="inlineStr">
        <is>
          <t>Flat 16 - 3 West Gate</t>
        </is>
      </c>
      <c r="D135" s="2" t="n">
        <v>45757.0</v>
      </c>
      <c r="E135" s="2" t="n">
        <v>45757.0</v>
      </c>
      <c r="F135" s="2" t="n">
        <v>45786.0</v>
      </c>
      <c r="G135" s="2" t="n">
        <v>45759.0</v>
      </c>
      <c r="H135" s="3" t="n">
        <v>740.0</v>
      </c>
      <c r="I135"/>
      <c r="J135"/>
      <c r="K135"/>
      <c r="L135"/>
      <c r="M135"/>
      <c r="N135"/>
      <c r="O135" s="3" t="n">
        <v>740.0</v>
      </c>
    </row>
    <row r="136">
      <c r="A136" t="n">
        <v>18.0</v>
      </c>
      <c r="B136" t="inlineStr">
        <is>
          <t>LEASE-BH-F16-2025</t>
        </is>
      </c>
      <c r="C136" t="inlineStr">
        <is>
          <t>Flat 16 - 3 West Gate</t>
        </is>
      </c>
      <c r="D136" s="2" t="n">
        <v>45787.0</v>
      </c>
      <c r="E136" s="2" t="n">
        <v>45787.0</v>
      </c>
      <c r="F136" s="2" t="n">
        <v>45817.0</v>
      </c>
      <c r="G136" s="2" t="n">
        <v>45789.0</v>
      </c>
      <c r="H136" s="3" t="n">
        <v>740.0</v>
      </c>
      <c r="I136"/>
      <c r="J136"/>
      <c r="K136"/>
      <c r="L136"/>
      <c r="M136"/>
      <c r="N136"/>
      <c r="O136" s="3" t="n">
        <v>740.0</v>
      </c>
    </row>
    <row r="137">
      <c r="A137" t="n">
        <v>18.0</v>
      </c>
      <c r="B137" t="inlineStr">
        <is>
          <t>LEASE-BH-F16-2025</t>
        </is>
      </c>
      <c r="C137" t="inlineStr">
        <is>
          <t>Flat 16 - 3 West Gate</t>
        </is>
      </c>
      <c r="D137" s="2" t="n">
        <v>45818.0</v>
      </c>
      <c r="E137" s="2" t="n">
        <v>45818.0</v>
      </c>
      <c r="F137" s="2" t="n">
        <v>45847.0</v>
      </c>
      <c r="G137" s="2" t="n">
        <v>45820.0</v>
      </c>
      <c r="H137" s="3" t="n">
        <v>740.0</v>
      </c>
      <c r="I137"/>
      <c r="J137"/>
      <c r="K137"/>
      <c r="L137"/>
      <c r="M137"/>
      <c r="N137"/>
      <c r="O137" s="3" t="n">
        <v>740.0</v>
      </c>
    </row>
    <row r="138">
      <c r="A138" t="n">
        <v>18.0</v>
      </c>
      <c r="B138" t="inlineStr">
        <is>
          <t>LEASE-BH-F16-2025</t>
        </is>
      </c>
      <c r="C138" t="inlineStr">
        <is>
          <t>Flat 16 - 3 West Gate</t>
        </is>
      </c>
      <c r="D138" s="2" t="n">
        <v>45848.0</v>
      </c>
      <c r="E138" s="2" t="n">
        <v>45848.0</v>
      </c>
      <c r="F138" s="2" t="n">
        <v>45878.0</v>
      </c>
      <c r="G138" s="2" t="n">
        <v>45860.0</v>
      </c>
      <c r="H138" s="3" t="n">
        <v>740.0</v>
      </c>
      <c r="I138"/>
      <c r="J138"/>
      <c r="K138"/>
      <c r="L138"/>
      <c r="M138"/>
      <c r="N138"/>
      <c r="O138" s="3" t="n">
        <v>740.0</v>
      </c>
    </row>
    <row r="139">
      <c r="A139" t="n">
        <v>18.0</v>
      </c>
      <c r="B139" t="inlineStr">
        <is>
          <t>LEASE-BH-F16-2025</t>
        </is>
      </c>
      <c r="C139" t="inlineStr">
        <is>
          <t>Flat 16 - 3 West Gate</t>
        </is>
      </c>
      <c r="D139" s="2" t="n">
        <v>45879.0</v>
      </c>
      <c r="E139" s="2" t="n">
        <v>45879.0</v>
      </c>
      <c r="F139" s="2" t="n">
        <v>45902.0</v>
      </c>
      <c r="G139" s="2" t="n">
        <v>45891.0</v>
      </c>
      <c r="H139" s="3" t="n">
        <v>583.89</v>
      </c>
      <c r="I139"/>
      <c r="J139"/>
      <c r="K139"/>
      <c r="L139"/>
      <c r="M139"/>
      <c r="N139"/>
      <c r="O139" s="3" t="n">
        <v>583.89</v>
      </c>
    </row>
    <row r="140">
      <c r="A140" t="n">
        <v>19.0</v>
      </c>
      <c r="B140" t="inlineStr">
        <is>
          <t>LEASE-BH-F17-2025</t>
        </is>
      </c>
      <c r="C140" t="inlineStr">
        <is>
          <t>Flat 17 - 3 West Gate</t>
        </is>
      </c>
      <c r="D140" s="2" t="n">
        <v>45705.0</v>
      </c>
      <c r="E140" s="2" t="n">
        <v>45705.0</v>
      </c>
      <c r="F140" s="2" t="n">
        <v>45732.0</v>
      </c>
      <c r="G140" s="2" t="n">
        <v>45708.0</v>
      </c>
      <c r="H140" s="3" t="n">
        <v>700.0</v>
      </c>
      <c r="I140"/>
      <c r="J140"/>
      <c r="K140"/>
      <c r="L140"/>
      <c r="M140"/>
      <c r="N140"/>
      <c r="O140" s="3" t="n">
        <v>700.0</v>
      </c>
    </row>
    <row r="141">
      <c r="A141" t="n">
        <v>19.0</v>
      </c>
      <c r="B141" t="inlineStr">
        <is>
          <t>LEASE-BH-F17-2025</t>
        </is>
      </c>
      <c r="C141" t="inlineStr">
        <is>
          <t>Flat 17 - 3 West Gate</t>
        </is>
      </c>
      <c r="D141" s="2" t="n">
        <v>45733.0</v>
      </c>
      <c r="E141" s="2" t="n">
        <v>45733.0</v>
      </c>
      <c r="F141" s="2" t="n">
        <v>45763.0</v>
      </c>
      <c r="G141" s="2" t="n">
        <v>45736.0</v>
      </c>
      <c r="H141" s="3" t="n">
        <v>700.0</v>
      </c>
      <c r="I141"/>
      <c r="J141"/>
      <c r="K141"/>
      <c r="L141"/>
      <c r="M141"/>
      <c r="N141"/>
      <c r="O141" s="3" t="n">
        <v>700.0</v>
      </c>
    </row>
    <row r="142">
      <c r="A142" t="n">
        <v>19.0</v>
      </c>
      <c r="B142" t="inlineStr">
        <is>
          <t>LEASE-BH-F17-2025</t>
        </is>
      </c>
      <c r="C142" t="inlineStr">
        <is>
          <t>Flat 17 - 3 West Gate</t>
        </is>
      </c>
      <c r="D142" s="2" t="n">
        <v>45764.0</v>
      </c>
      <c r="E142" s="2" t="n">
        <v>45764.0</v>
      </c>
      <c r="F142" s="2" t="n">
        <v>45793.0</v>
      </c>
      <c r="G142" s="2" t="n">
        <v>45767.0</v>
      </c>
      <c r="H142" s="3" t="n">
        <v>700.0</v>
      </c>
      <c r="I142"/>
      <c r="J142"/>
      <c r="K142"/>
      <c r="L142"/>
      <c r="M142"/>
      <c r="N142"/>
      <c r="O142" s="3" t="n">
        <v>700.0</v>
      </c>
    </row>
    <row r="143">
      <c r="A143" t="n">
        <v>19.0</v>
      </c>
      <c r="B143" t="inlineStr">
        <is>
          <t>LEASE-BH-F17-2025</t>
        </is>
      </c>
      <c r="C143" t="inlineStr">
        <is>
          <t>Flat 17 - 3 West Gate</t>
        </is>
      </c>
      <c r="D143" s="2" t="n">
        <v>45794.0</v>
      </c>
      <c r="E143" s="2" t="n">
        <v>45794.0</v>
      </c>
      <c r="F143" s="2" t="n">
        <v>45824.0</v>
      </c>
      <c r="G143" s="2" t="n">
        <v>45797.0</v>
      </c>
      <c r="H143" s="3" t="n">
        <v>700.0</v>
      </c>
      <c r="I143"/>
      <c r="J143"/>
      <c r="K143"/>
      <c r="L143"/>
      <c r="M143"/>
      <c r="N143"/>
      <c r="O143" s="3" t="n">
        <v>700.0</v>
      </c>
    </row>
    <row r="144">
      <c r="A144" t="n">
        <v>19.0</v>
      </c>
      <c r="B144" t="inlineStr">
        <is>
          <t>LEASE-BH-F17-2025</t>
        </is>
      </c>
      <c r="C144" t="inlineStr">
        <is>
          <t>Flat 17 - 3 West Gate</t>
        </is>
      </c>
      <c r="D144" s="2" t="n">
        <v>45825.0</v>
      </c>
      <c r="E144" s="2" t="n">
        <v>45825.0</v>
      </c>
      <c r="F144" s="2" t="n">
        <v>45854.0</v>
      </c>
      <c r="G144" s="2" t="n">
        <v>45831.0</v>
      </c>
      <c r="H144" s="3" t="n">
        <v>700.0</v>
      </c>
      <c r="I144"/>
      <c r="J144"/>
      <c r="K144"/>
      <c r="L144"/>
      <c r="M144"/>
      <c r="N144"/>
      <c r="O144" s="3" t="n">
        <v>700.0</v>
      </c>
    </row>
    <row r="145">
      <c r="A145" t="n">
        <v>19.0</v>
      </c>
      <c r="B145" t="inlineStr">
        <is>
          <t>LEASE-BH-F17-2025</t>
        </is>
      </c>
      <c r="C145" t="inlineStr">
        <is>
          <t>Flat 17 - 3 West Gate</t>
        </is>
      </c>
      <c r="D145" s="2" t="n">
        <v>45855.0</v>
      </c>
      <c r="E145" s="2" t="n">
        <v>45855.0</v>
      </c>
      <c r="F145" s="2" t="n">
        <v>45885.0</v>
      </c>
      <c r="G145" s="2" t="n">
        <v>45861.0</v>
      </c>
      <c r="H145" s="3" t="n">
        <v>700.0</v>
      </c>
      <c r="I145"/>
      <c r="J145"/>
      <c r="K145"/>
      <c r="L145"/>
      <c r="M145"/>
      <c r="N145"/>
      <c r="O145" s="3" t="n">
        <v>700.0</v>
      </c>
    </row>
    <row r="146">
      <c r="A146" t="n">
        <v>19.0</v>
      </c>
      <c r="B146" t="inlineStr">
        <is>
          <t>LEASE-BH-F17-2025</t>
        </is>
      </c>
      <c r="C146" t="inlineStr">
        <is>
          <t>Flat 17 - 3 West Gate</t>
        </is>
      </c>
      <c r="D146" s="2" t="n">
        <v>45886.0</v>
      </c>
      <c r="E146" s="2" t="n">
        <v>45886.0</v>
      </c>
      <c r="F146" s="2" t="n">
        <v>45916.0</v>
      </c>
      <c r="G146" s="2" t="n">
        <v>45891.0</v>
      </c>
      <c r="H146" s="3" t="n">
        <v>700.0</v>
      </c>
      <c r="I146"/>
      <c r="J146"/>
      <c r="K146"/>
      <c r="L146"/>
      <c r="M146"/>
      <c r="N146"/>
      <c r="O146" s="3" t="n">
        <v>700.0</v>
      </c>
    </row>
    <row r="147">
      <c r="A147" t="n">
        <v>19.0</v>
      </c>
      <c r="B147" t="inlineStr">
        <is>
          <t>LEASE-BH-F17-2025</t>
        </is>
      </c>
      <c r="C147" t="inlineStr">
        <is>
          <t>Flat 17 - 3 West Gate</t>
        </is>
      </c>
      <c r="D147" s="2" t="n">
        <v>45917.0</v>
      </c>
      <c r="E147" s="2" t="n">
        <v>45917.0</v>
      </c>
      <c r="F147" s="2" t="n">
        <v>45946.0</v>
      </c>
      <c r="G147" s="2" t="n">
        <v>45922.0</v>
      </c>
      <c r="H147" s="3" t="n">
        <v>700.0</v>
      </c>
      <c r="I147"/>
      <c r="J147"/>
      <c r="K147"/>
      <c r="L147"/>
      <c r="M147"/>
      <c r="N147"/>
      <c r="O147" s="3" t="n">
        <v>700.0</v>
      </c>
    </row>
    <row r="148">
      <c r="A148" t="n">
        <v>19.0</v>
      </c>
      <c r="B148" t="inlineStr">
        <is>
          <t>LEASE-BH-F17-2025</t>
        </is>
      </c>
      <c r="C148" t="inlineStr">
        <is>
          <t>Flat 17 - 3 West Gate</t>
        </is>
      </c>
      <c r="D148" s="2" t="n">
        <v>45947.0</v>
      </c>
      <c r="E148" s="2" t="n">
        <v>45947.0</v>
      </c>
      <c r="F148" s="2" t="n">
        <v>45977.0</v>
      </c>
      <c r="G148" s="2" t="n">
        <v>45953.0</v>
      </c>
      <c r="H148" s="3" t="n">
        <v>700.0</v>
      </c>
      <c r="I148"/>
      <c r="J148"/>
      <c r="K148"/>
      <c r="L148"/>
      <c r="M148"/>
      <c r="N148"/>
      <c r="O148" s="3" t="n">
        <v>700.0</v>
      </c>
    </row>
    <row r="149">
      <c r="A149" t="n">
        <v>19.0</v>
      </c>
      <c r="B149" t="inlineStr">
        <is>
          <t>LEASE-BH-F17-2025</t>
        </is>
      </c>
      <c r="C149" t="inlineStr">
        <is>
          <t>Flat 17 - 3 West Gate</t>
        </is>
      </c>
      <c r="D149" s="2" t="n">
        <v>45978.0</v>
      </c>
      <c r="E149" s="2" t="n">
        <v>45978.0</v>
      </c>
      <c r="F149" s="2" t="n">
        <v>46007.0</v>
      </c>
      <c r="G149" s="2" t="n">
        <v>45982.0</v>
      </c>
      <c r="H149" s="3" t="n">
        <v>700.0</v>
      </c>
      <c r="I149"/>
      <c r="J149"/>
      <c r="K149"/>
      <c r="L149"/>
      <c r="M149"/>
      <c r="N149"/>
      <c r="O149" s="3" t="n">
        <v>700.0</v>
      </c>
    </row>
    <row r="150">
      <c r="A150" t="n">
        <v>20.0</v>
      </c>
      <c r="B150" t="inlineStr">
        <is>
          <t>LEASE-BH-F18-2025</t>
        </is>
      </c>
      <c r="C150" t="inlineStr">
        <is>
          <t>Flat 18 - 3 West Gate</t>
        </is>
      </c>
      <c r="D150" s="2" t="n">
        <v>45687.0</v>
      </c>
      <c r="E150" s="2" t="n">
        <v>45687.0</v>
      </c>
      <c r="F150" s="2" t="n">
        <v>45715.0</v>
      </c>
      <c r="G150" s="2" t="n">
        <v>45703.0</v>
      </c>
      <c r="H150" s="3" t="n">
        <v>740.0</v>
      </c>
      <c r="I150"/>
      <c r="J150"/>
      <c r="K150"/>
      <c r="L150"/>
      <c r="M150"/>
      <c r="N150"/>
      <c r="O150" s="3" t="n">
        <v>740.0</v>
      </c>
    </row>
    <row r="151">
      <c r="A151" t="n">
        <v>20.0</v>
      </c>
      <c r="B151" t="inlineStr">
        <is>
          <t>LEASE-BH-F18-2025</t>
        </is>
      </c>
      <c r="C151" t="inlineStr">
        <is>
          <t>Flat 18 - 3 West Gate</t>
        </is>
      </c>
      <c r="D151" s="2" t="n">
        <v>45716.0</v>
      </c>
      <c r="E151" s="2" t="n">
        <v>45716.0</v>
      </c>
      <c r="F151" s="2" t="n">
        <v>45745.0</v>
      </c>
      <c r="G151" s="2" t="n">
        <v>45731.0</v>
      </c>
      <c r="H151" s="3" t="n">
        <v>740.0</v>
      </c>
      <c r="I151"/>
      <c r="J151"/>
      <c r="K151"/>
      <c r="L151"/>
      <c r="M151"/>
      <c r="N151"/>
      <c r="O151" s="3" t="n">
        <v>740.0</v>
      </c>
    </row>
    <row r="152">
      <c r="A152" t="n">
        <v>20.0</v>
      </c>
      <c r="B152" t="inlineStr">
        <is>
          <t>LEASE-BH-F18-2025</t>
        </is>
      </c>
      <c r="C152" t="inlineStr">
        <is>
          <t>Flat 18 - 3 West Gate</t>
        </is>
      </c>
      <c r="D152" s="2" t="n">
        <v>45746.0</v>
      </c>
      <c r="E152" s="2" t="n">
        <v>45746.0</v>
      </c>
      <c r="F152" s="2" t="n">
        <v>45776.0</v>
      </c>
      <c r="G152" s="2" t="n">
        <v>45761.0</v>
      </c>
      <c r="H152" s="3" t="n">
        <v>740.0</v>
      </c>
      <c r="I152"/>
      <c r="J152"/>
      <c r="K152"/>
      <c r="L152"/>
      <c r="M152"/>
      <c r="N152"/>
      <c r="O152" s="3" t="n">
        <v>740.0</v>
      </c>
    </row>
    <row r="153">
      <c r="A153" t="n">
        <v>20.0</v>
      </c>
      <c r="B153" t="inlineStr">
        <is>
          <t>LEASE-BH-F18-2025</t>
        </is>
      </c>
      <c r="C153" t="inlineStr">
        <is>
          <t>Flat 18 - 3 West Gate</t>
        </is>
      </c>
      <c r="D153" s="2" t="n">
        <v>45777.0</v>
      </c>
      <c r="E153" s="2" t="n">
        <v>45777.0</v>
      </c>
      <c r="F153" s="2" t="n">
        <v>45783.0</v>
      </c>
      <c r="G153"/>
      <c r="H153"/>
      <c r="I153"/>
      <c r="J153"/>
      <c r="K153"/>
      <c r="L153"/>
      <c r="M153"/>
      <c r="N153"/>
      <c r="O153" s="3" t="n">
        <v>0.0</v>
      </c>
    </row>
    <row r="154">
      <c r="A154" t="n">
        <v>20.0</v>
      </c>
      <c r="B154" t="inlineStr">
        <is>
          <t>LEASE-BH-F18-2025</t>
        </is>
      </c>
      <c r="C154" t="inlineStr">
        <is>
          <t>Flat 18 - 3 West Gate</t>
        </is>
      </c>
      <c r="D154" s="2" t="n">
        <v>45784.0</v>
      </c>
      <c r="E154" s="2" t="n">
        <v>45784.0</v>
      </c>
      <c r="F154" s="2" t="n">
        <v>45982.0</v>
      </c>
      <c r="G154" s="2" t="n">
        <v>45792.0</v>
      </c>
      <c r="H154" s="3" t="n">
        <v>185.0</v>
      </c>
      <c r="I154"/>
      <c r="J154"/>
      <c r="K154"/>
      <c r="L154"/>
      <c r="M154"/>
      <c r="N154"/>
      <c r="O154" s="3" t="n">
        <v>185.0</v>
      </c>
    </row>
    <row r="155">
      <c r="A155" t="n">
        <v>21.0</v>
      </c>
      <c r="B155" t="inlineStr">
        <is>
          <t>LEASE-BH-F18-2025B</t>
        </is>
      </c>
      <c r="C155" t="inlineStr">
        <is>
          <t>Flat 18 - 3 West Gate</t>
        </is>
      </c>
      <c r="D155" s="2" t="n">
        <v>45818.0</v>
      </c>
      <c r="E155" s="2" t="n">
        <v>45818.0</v>
      </c>
      <c r="F155" s="2" t="n">
        <v>45847.0</v>
      </c>
      <c r="G155" s="2" t="n">
        <v>45821.0</v>
      </c>
      <c r="H155" s="3" t="n">
        <v>795.0</v>
      </c>
      <c r="I155"/>
      <c r="J155"/>
      <c r="K155"/>
      <c r="L155"/>
      <c r="M155"/>
      <c r="N155"/>
      <c r="O155" s="3" t="n">
        <v>795.0</v>
      </c>
    </row>
    <row r="156">
      <c r="A156" t="n">
        <v>21.0</v>
      </c>
      <c r="B156" t="inlineStr">
        <is>
          <t>LEASE-BH-F18-2025B</t>
        </is>
      </c>
      <c r="C156" t="inlineStr">
        <is>
          <t>Flat 18 - 3 West Gate</t>
        </is>
      </c>
      <c r="D156" s="2" t="n">
        <v>45848.0</v>
      </c>
      <c r="E156" s="2" t="n">
        <v>45848.0</v>
      </c>
      <c r="F156" s="2" t="n">
        <v>45878.0</v>
      </c>
      <c r="G156" s="2" t="n">
        <v>45860.0</v>
      </c>
      <c r="H156" s="3" t="n">
        <v>855.0</v>
      </c>
      <c r="I156"/>
      <c r="J156"/>
      <c r="K156"/>
      <c r="L156"/>
      <c r="M156"/>
      <c r="N156"/>
      <c r="O156" s="3" t="n">
        <v>855.0</v>
      </c>
    </row>
    <row r="157">
      <c r="A157" t="n">
        <v>21.0</v>
      </c>
      <c r="B157" t="inlineStr">
        <is>
          <t>LEASE-BH-F18-2025B</t>
        </is>
      </c>
      <c r="C157" t="inlineStr">
        <is>
          <t>Flat 18 - 3 West Gate</t>
        </is>
      </c>
      <c r="D157" s="2" t="n">
        <v>45879.0</v>
      </c>
      <c r="E157" s="2" t="n">
        <v>45879.0</v>
      </c>
      <c r="F157" s="2" t="n">
        <v>45909.0</v>
      </c>
      <c r="G157" s="2" t="n">
        <v>45891.0</v>
      </c>
      <c r="H157" s="3" t="n">
        <v>855.0</v>
      </c>
      <c r="I157"/>
      <c r="J157"/>
      <c r="K157"/>
      <c r="L157"/>
      <c r="M157"/>
      <c r="N157"/>
      <c r="O157" s="3" t="n">
        <v>855.0</v>
      </c>
    </row>
    <row r="158">
      <c r="A158" t="n">
        <v>21.0</v>
      </c>
      <c r="B158" t="inlineStr">
        <is>
          <t>LEASE-BH-F18-2025B</t>
        </is>
      </c>
      <c r="C158" t="inlineStr">
        <is>
          <t>Flat 18 - 3 West Gate</t>
        </is>
      </c>
      <c r="D158" s="2" t="n">
        <v>45910.0</v>
      </c>
      <c r="E158" s="2" t="n">
        <v>45910.0</v>
      </c>
      <c r="F158" s="2" t="n">
        <v>45939.0</v>
      </c>
      <c r="G158" s="2" t="n">
        <v>45911.0</v>
      </c>
      <c r="H158" s="3" t="n">
        <v>855.0</v>
      </c>
      <c r="I158"/>
      <c r="J158"/>
      <c r="K158"/>
      <c r="L158"/>
      <c r="M158"/>
      <c r="N158"/>
      <c r="O158" s="3" t="n">
        <v>855.0</v>
      </c>
    </row>
    <row r="159">
      <c r="A159" t="n">
        <v>21.0</v>
      </c>
      <c r="B159" t="inlineStr">
        <is>
          <t>LEASE-BH-F18-2025B</t>
        </is>
      </c>
      <c r="C159" t="inlineStr">
        <is>
          <t>Flat 18 - 3 West Gate</t>
        </is>
      </c>
      <c r="D159" s="2" t="n">
        <v>45940.0</v>
      </c>
      <c r="E159" s="2" t="n">
        <v>45940.0</v>
      </c>
      <c r="F159" s="2" t="n">
        <v>45970.0</v>
      </c>
      <c r="G159" s="2" t="n">
        <v>45953.0</v>
      </c>
      <c r="H159" s="3" t="n">
        <v>795.0</v>
      </c>
      <c r="I159" s="2" t="n">
        <v>45953.0</v>
      </c>
      <c r="J159" s="3" t="n">
        <v>60.0</v>
      </c>
      <c r="K159"/>
      <c r="L159"/>
      <c r="M159"/>
      <c r="N159"/>
      <c r="O159" s="3" t="n">
        <v>855.0</v>
      </c>
    </row>
    <row r="160">
      <c r="A160" t="n">
        <v>21.0</v>
      </c>
      <c r="B160" t="inlineStr">
        <is>
          <t>LEASE-BH-F18-2025B</t>
        </is>
      </c>
      <c r="C160" t="inlineStr">
        <is>
          <t>Flat 18 - 3 West Gate</t>
        </is>
      </c>
      <c r="D160" s="2" t="n">
        <v>45971.0</v>
      </c>
      <c r="E160" s="2" t="n">
        <v>45971.0</v>
      </c>
      <c r="F160" s="2" t="n">
        <v>46000.0</v>
      </c>
      <c r="G160" s="2" t="n">
        <v>45982.0</v>
      </c>
      <c r="H160" s="3" t="n">
        <v>855.0</v>
      </c>
      <c r="I160"/>
      <c r="J160"/>
      <c r="K160"/>
      <c r="L160"/>
      <c r="M160"/>
      <c r="N160"/>
      <c r="O160" s="3" t="n">
        <v>855.0</v>
      </c>
    </row>
    <row r="161">
      <c r="A161" t="n">
        <v>22.0</v>
      </c>
      <c r="B161" t="inlineStr">
        <is>
          <t>LEASE-BH-F19-2025</t>
        </is>
      </c>
      <c r="C161" t="inlineStr">
        <is>
          <t>Flat 19 - 3 West Gate</t>
        </is>
      </c>
      <c r="D161" s="2" t="n">
        <v>45365.0</v>
      </c>
      <c r="E161" s="2" t="n">
        <v>45365.0</v>
      </c>
      <c r="F161" s="2" t="n">
        <v>45729.0</v>
      </c>
      <c r="G161" s="2" t="n">
        <v>45719.0</v>
      </c>
      <c r="H161" s="3" t="n">
        <v>740.0</v>
      </c>
      <c r="I161"/>
      <c r="J161"/>
      <c r="K161"/>
      <c r="L161"/>
      <c r="M161"/>
      <c r="N161"/>
      <c r="O161" s="3" t="n">
        <v>740.0</v>
      </c>
    </row>
    <row r="162">
      <c r="A162" t="n">
        <v>22.0</v>
      </c>
      <c r="B162" t="inlineStr">
        <is>
          <t>LEASE-BH-F19-2025</t>
        </is>
      </c>
      <c r="C162" t="inlineStr">
        <is>
          <t>Flat 19 - 3 West Gate</t>
        </is>
      </c>
      <c r="D162" s="2" t="n">
        <v>45730.0</v>
      </c>
      <c r="E162" s="2" t="n">
        <v>45730.0</v>
      </c>
      <c r="F162" s="2" t="n">
        <v>45760.0</v>
      </c>
      <c r="G162" s="2" t="n">
        <v>45750.0</v>
      </c>
      <c r="H162" s="3" t="n">
        <v>740.0</v>
      </c>
      <c r="I162"/>
      <c r="J162"/>
      <c r="K162"/>
      <c r="L162"/>
      <c r="M162"/>
      <c r="N162"/>
      <c r="O162" s="3" t="n">
        <v>740.0</v>
      </c>
    </row>
    <row r="163">
      <c r="A163" t="n">
        <v>22.0</v>
      </c>
      <c r="B163" t="inlineStr">
        <is>
          <t>LEASE-BH-F19-2025</t>
        </is>
      </c>
      <c r="C163" t="inlineStr">
        <is>
          <t>Flat 19 - 3 West Gate</t>
        </is>
      </c>
      <c r="D163" s="2" t="n">
        <v>45761.0</v>
      </c>
      <c r="E163" s="2" t="n">
        <v>45761.0</v>
      </c>
      <c r="F163" s="2" t="n">
        <v>45790.0</v>
      </c>
      <c r="G163" s="2" t="n">
        <v>45783.0</v>
      </c>
      <c r="H163" s="3" t="n">
        <v>740.0</v>
      </c>
      <c r="I163"/>
      <c r="J163"/>
      <c r="K163"/>
      <c r="L163"/>
      <c r="M163"/>
      <c r="N163"/>
      <c r="O163" s="3" t="n">
        <v>740.0</v>
      </c>
    </row>
    <row r="164">
      <c r="A164" t="n">
        <v>22.0</v>
      </c>
      <c r="B164" t="inlineStr">
        <is>
          <t>LEASE-BH-F19-2025</t>
        </is>
      </c>
      <c r="C164" t="inlineStr">
        <is>
          <t>Flat 19 - 3 West Gate</t>
        </is>
      </c>
      <c r="D164" s="2" t="n">
        <v>45791.0</v>
      </c>
      <c r="E164" s="2" t="n">
        <v>45791.0</v>
      </c>
      <c r="F164" s="2" t="n">
        <v>45821.0</v>
      </c>
      <c r="G164" s="2" t="n">
        <v>45811.0</v>
      </c>
      <c r="H164" s="3" t="n">
        <v>740.0</v>
      </c>
      <c r="I164"/>
      <c r="J164"/>
      <c r="K164"/>
      <c r="L164"/>
      <c r="M164"/>
      <c r="N164"/>
      <c r="O164" s="3" t="n">
        <v>740.0</v>
      </c>
    </row>
    <row r="165">
      <c r="A165" t="n">
        <v>22.0</v>
      </c>
      <c r="B165" t="inlineStr">
        <is>
          <t>LEASE-BH-F19-2025</t>
        </is>
      </c>
      <c r="C165" t="inlineStr">
        <is>
          <t>Flat 19 - 3 West Gate</t>
        </is>
      </c>
      <c r="D165" s="2" t="n">
        <v>45822.0</v>
      </c>
      <c r="E165" s="2" t="n">
        <v>45822.0</v>
      </c>
      <c r="F165" s="2" t="n">
        <v>45851.0</v>
      </c>
      <c r="G165"/>
      <c r="H165"/>
      <c r="I165"/>
      <c r="J165"/>
      <c r="K165"/>
      <c r="L165"/>
      <c r="M165"/>
      <c r="N165"/>
      <c r="O165" s="3" t="n">
        <v>0.0</v>
      </c>
    </row>
    <row r="166">
      <c r="A166" t="n">
        <v>22.0</v>
      </c>
      <c r="B166" t="inlineStr">
        <is>
          <t>LEASE-BH-F19-2025</t>
        </is>
      </c>
      <c r="C166" t="inlineStr">
        <is>
          <t>Flat 19 - 3 West Gate</t>
        </is>
      </c>
      <c r="D166" s="2" t="n">
        <v>45852.0</v>
      </c>
      <c r="E166" s="2" t="n">
        <v>45852.0</v>
      </c>
      <c r="F166" s="2" t="n">
        <v>45869.0</v>
      </c>
      <c r="G166" s="2" t="n">
        <v>45860.0</v>
      </c>
      <c r="H166" s="3" t="n">
        <v>438.0</v>
      </c>
      <c r="I166"/>
      <c r="J166"/>
      <c r="K166"/>
      <c r="L166"/>
      <c r="M166"/>
      <c r="N166"/>
      <c r="O166" s="3" t="n">
        <v>438.0</v>
      </c>
    </row>
    <row r="167">
      <c r="A167" t="n">
        <v>23.0</v>
      </c>
      <c r="B167" t="inlineStr">
        <is>
          <t>LEASE-BH-F19-2025B</t>
        </is>
      </c>
      <c r="C167" t="inlineStr">
        <is>
          <t>Flat 19 - 3 West Gate</t>
        </is>
      </c>
      <c r="D167" s="2" t="n">
        <v>45901.0</v>
      </c>
      <c r="E167" s="2" t="n">
        <v>45901.0</v>
      </c>
      <c r="F167" s="2" t="n">
        <v>45930.0</v>
      </c>
      <c r="G167"/>
      <c r="H167"/>
      <c r="I167"/>
      <c r="J167"/>
      <c r="K167"/>
      <c r="L167"/>
      <c r="M167"/>
      <c r="N167"/>
      <c r="O167" s="3" t="n">
        <v>0.0</v>
      </c>
    </row>
    <row r="168">
      <c r="A168" t="n">
        <v>23.0</v>
      </c>
      <c r="B168" t="inlineStr">
        <is>
          <t>LEASE-BH-F19-2025B</t>
        </is>
      </c>
      <c r="C168" t="inlineStr">
        <is>
          <t>Flat 19 - 3 West Gate</t>
        </is>
      </c>
      <c r="D168" s="2" t="n">
        <v>45931.0</v>
      </c>
      <c r="E168" s="2" t="n">
        <v>45931.0</v>
      </c>
      <c r="F168" s="2" t="n">
        <v>45961.0</v>
      </c>
      <c r="G168" s="2" t="n">
        <v>45936.0</v>
      </c>
      <c r="H168" s="3" t="n">
        <v>795.0</v>
      </c>
      <c r="I168" s="2" t="n">
        <v>45936.0</v>
      </c>
      <c r="J168" s="3" t="n">
        <v>795.0</v>
      </c>
      <c r="K168" s="2" t="n">
        <v>45936.0</v>
      </c>
      <c r="L168" s="3" t="n">
        <v>795.0</v>
      </c>
      <c r="M168"/>
      <c r="N168"/>
      <c r="O168" s="3" t="n">
        <v>2385.0</v>
      </c>
    </row>
    <row r="169">
      <c r="A169" t="n">
        <v>23.0</v>
      </c>
      <c r="B169" t="inlineStr">
        <is>
          <t>LEASE-BH-F19-2025B</t>
        </is>
      </c>
      <c r="C169" t="inlineStr">
        <is>
          <t>Flat 19 - 3 West Gate</t>
        </is>
      </c>
      <c r="D169" s="2" t="n">
        <v>45962.0</v>
      </c>
      <c r="E169" s="2" t="n">
        <v>45962.0</v>
      </c>
      <c r="F169" s="2" t="n">
        <v>45991.0</v>
      </c>
      <c r="G169" s="2" t="n">
        <v>45982.0</v>
      </c>
      <c r="H169" s="3" t="n">
        <v>785.0</v>
      </c>
      <c r="I169"/>
      <c r="J169"/>
      <c r="K169"/>
      <c r="L169"/>
      <c r="M169"/>
      <c r="N169"/>
      <c r="O169" s="3" t="n">
        <v>785.0</v>
      </c>
    </row>
    <row r="170">
      <c r="A170" t="n">
        <v>24.0</v>
      </c>
      <c r="B170" t="inlineStr">
        <is>
          <t>LEASE-BH-F20-2025</t>
        </is>
      </c>
      <c r="C170" t="inlineStr">
        <is>
          <t>Flat 20 - 3 West Gate</t>
        </is>
      </c>
      <c r="D170" s="2" t="n">
        <v>45367.0</v>
      </c>
      <c r="E170" s="2" t="n">
        <v>45367.0</v>
      </c>
      <c r="F170" s="2" t="n">
        <v>45731.0</v>
      </c>
      <c r="G170" s="2" t="n">
        <v>45721.0</v>
      </c>
      <c r="H170" s="3" t="n">
        <v>700.0</v>
      </c>
      <c r="I170"/>
      <c r="J170"/>
      <c r="K170"/>
      <c r="L170"/>
      <c r="M170"/>
      <c r="N170"/>
      <c r="O170" s="3" t="n">
        <v>700.0</v>
      </c>
    </row>
    <row r="171">
      <c r="A171" t="n">
        <v>24.0</v>
      </c>
      <c r="B171" t="inlineStr">
        <is>
          <t>LEASE-BH-F20-2025</t>
        </is>
      </c>
      <c r="C171" t="inlineStr">
        <is>
          <t>Flat 20 - 3 West Gate</t>
        </is>
      </c>
      <c r="D171" s="2" t="n">
        <v>45732.0</v>
      </c>
      <c r="E171" s="2" t="n">
        <v>45732.0</v>
      </c>
      <c r="F171" s="2" t="n">
        <v>45762.0</v>
      </c>
      <c r="G171" s="2" t="n">
        <v>45748.0</v>
      </c>
      <c r="H171" s="3" t="n">
        <v>700.0</v>
      </c>
      <c r="I171"/>
      <c r="J171"/>
      <c r="K171"/>
      <c r="L171"/>
      <c r="M171"/>
      <c r="N171"/>
      <c r="O171" s="3" t="n">
        <v>700.0</v>
      </c>
    </row>
    <row r="172">
      <c r="A172" t="n">
        <v>24.0</v>
      </c>
      <c r="B172" t="inlineStr">
        <is>
          <t>LEASE-BH-F20-2025</t>
        </is>
      </c>
      <c r="C172" t="inlineStr">
        <is>
          <t>Flat 20 - 3 West Gate</t>
        </is>
      </c>
      <c r="D172" s="2" t="n">
        <v>45763.0</v>
      </c>
      <c r="E172" s="2" t="n">
        <v>45763.0</v>
      </c>
      <c r="F172" s="2" t="n">
        <v>45792.0</v>
      </c>
      <c r="G172" s="2" t="n">
        <v>45778.0</v>
      </c>
      <c r="H172" s="3" t="n">
        <v>700.0</v>
      </c>
      <c r="I172"/>
      <c r="J172"/>
      <c r="K172"/>
      <c r="L172"/>
      <c r="M172"/>
      <c r="N172"/>
      <c r="O172" s="3" t="n">
        <v>700.0</v>
      </c>
    </row>
    <row r="173">
      <c r="A173" t="n">
        <v>24.0</v>
      </c>
      <c r="B173" t="inlineStr">
        <is>
          <t>LEASE-BH-F20-2025</t>
        </is>
      </c>
      <c r="C173" t="inlineStr">
        <is>
          <t>Flat 20 - 3 West Gate</t>
        </is>
      </c>
      <c r="D173" s="2" t="n">
        <v>45793.0</v>
      </c>
      <c r="E173" s="2" t="n">
        <v>45793.0</v>
      </c>
      <c r="F173" s="2" t="n">
        <v>45823.0</v>
      </c>
      <c r="G173" s="2" t="n">
        <v>45810.0</v>
      </c>
      <c r="H173" s="3" t="n">
        <v>700.0</v>
      </c>
      <c r="I173"/>
      <c r="J173"/>
      <c r="K173"/>
      <c r="L173"/>
      <c r="M173"/>
      <c r="N173"/>
      <c r="O173" s="3" t="n">
        <v>700.0</v>
      </c>
    </row>
    <row r="174">
      <c r="A174" t="n">
        <v>24.0</v>
      </c>
      <c r="B174" t="inlineStr">
        <is>
          <t>LEASE-BH-F20-2025</t>
        </is>
      </c>
      <c r="C174" t="inlineStr">
        <is>
          <t>Flat 20 - 3 West Gate</t>
        </is>
      </c>
      <c r="D174" s="2" t="n">
        <v>45824.0</v>
      </c>
      <c r="E174" s="2" t="n">
        <v>45824.0</v>
      </c>
      <c r="F174" s="2" t="n">
        <v>45853.0</v>
      </c>
      <c r="G174" s="2" t="n">
        <v>45839.0</v>
      </c>
      <c r="H174" s="3" t="n">
        <v>700.0</v>
      </c>
      <c r="I174"/>
      <c r="J174"/>
      <c r="K174"/>
      <c r="L174"/>
      <c r="M174"/>
      <c r="N174"/>
      <c r="O174" s="3" t="n">
        <v>700.0</v>
      </c>
    </row>
    <row r="175">
      <c r="A175" t="n">
        <v>24.0</v>
      </c>
      <c r="B175" t="inlineStr">
        <is>
          <t>LEASE-BH-F20-2025</t>
        </is>
      </c>
      <c r="C175" t="inlineStr">
        <is>
          <t>Flat 20 - 3 West Gate</t>
        </is>
      </c>
      <c r="D175" s="2" t="n">
        <v>45854.0</v>
      </c>
      <c r="E175" s="2" t="n">
        <v>45854.0</v>
      </c>
      <c r="F175" s="2" t="n">
        <v>45884.0</v>
      </c>
      <c r="G175" s="2" t="n">
        <v>45877.0</v>
      </c>
      <c r="H175" s="3" t="n">
        <v>700.0</v>
      </c>
      <c r="I175"/>
      <c r="J175"/>
      <c r="K175"/>
      <c r="L175"/>
      <c r="M175"/>
      <c r="N175"/>
      <c r="O175" s="3" t="n">
        <v>700.0</v>
      </c>
    </row>
    <row r="176">
      <c r="A176" t="n">
        <v>24.0</v>
      </c>
      <c r="B176" t="inlineStr">
        <is>
          <t>LEASE-BH-F20-2025</t>
        </is>
      </c>
      <c r="C176" t="inlineStr">
        <is>
          <t>Flat 20 - 3 West Gate</t>
        </is>
      </c>
      <c r="D176" s="2" t="n">
        <v>45885.0</v>
      </c>
      <c r="E176" s="2" t="n">
        <v>45885.0</v>
      </c>
      <c r="F176" s="2" t="n">
        <v>45915.0</v>
      </c>
      <c r="G176" s="2" t="n">
        <v>45902.0</v>
      </c>
      <c r="H176" s="3" t="n">
        <v>700.0</v>
      </c>
      <c r="I176"/>
      <c r="J176"/>
      <c r="K176"/>
      <c r="L176"/>
      <c r="M176"/>
      <c r="N176"/>
      <c r="O176" s="3" t="n">
        <v>700.0</v>
      </c>
    </row>
    <row r="177">
      <c r="A177" t="n">
        <v>24.0</v>
      </c>
      <c r="B177" t="inlineStr">
        <is>
          <t>LEASE-BH-F20-2025</t>
        </is>
      </c>
      <c r="C177" t="inlineStr">
        <is>
          <t>Flat 20 - 3 West Gate</t>
        </is>
      </c>
      <c r="D177" s="2" t="n">
        <v>45916.0</v>
      </c>
      <c r="E177" s="2" t="n">
        <v>45916.0</v>
      </c>
      <c r="F177" s="2" t="n">
        <v>45945.0</v>
      </c>
      <c r="G177" s="2" t="n">
        <v>45936.0</v>
      </c>
      <c r="H177" s="3" t="n">
        <v>700.0</v>
      </c>
      <c r="I177"/>
      <c r="J177"/>
      <c r="K177"/>
      <c r="L177"/>
      <c r="M177"/>
      <c r="N177"/>
      <c r="O177" s="3" t="n">
        <v>700.0</v>
      </c>
    </row>
    <row r="178">
      <c r="A178" t="n">
        <v>24.0</v>
      </c>
      <c r="B178" t="inlineStr">
        <is>
          <t>LEASE-BH-F20-2025</t>
        </is>
      </c>
      <c r="C178" t="inlineStr">
        <is>
          <t>Flat 20 - 3 West Gate</t>
        </is>
      </c>
      <c r="D178" s="2" t="n">
        <v>45946.0</v>
      </c>
      <c r="E178" s="2" t="n">
        <v>45946.0</v>
      </c>
      <c r="F178" s="2" t="n">
        <v>45976.0</v>
      </c>
      <c r="G178"/>
      <c r="H178"/>
      <c r="I178"/>
      <c r="J178"/>
      <c r="K178"/>
      <c r="L178"/>
      <c r="M178"/>
      <c r="N178"/>
      <c r="O178" s="3" t="n">
        <v>0.0</v>
      </c>
    </row>
    <row r="179">
      <c r="A179" t="n">
        <v>24.0</v>
      </c>
      <c r="B179" t="inlineStr">
        <is>
          <t>LEASE-BH-F20-2025</t>
        </is>
      </c>
      <c r="C179" t="inlineStr">
        <is>
          <t>Flat 20 - 3 West Gate</t>
        </is>
      </c>
      <c r="D179" s="2" t="n">
        <v>45977.0</v>
      </c>
      <c r="E179" s="2" t="n">
        <v>45977.0</v>
      </c>
      <c r="F179" s="2" t="n">
        <v>46006.0</v>
      </c>
      <c r="G179" s="2" t="n">
        <v>45982.0</v>
      </c>
      <c r="H179" s="3" t="n">
        <v>700.0</v>
      </c>
      <c r="I179"/>
      <c r="J179"/>
      <c r="K179"/>
      <c r="L179"/>
      <c r="M179"/>
      <c r="N179"/>
      <c r="O179" s="3" t="n">
        <v>700.0</v>
      </c>
    </row>
    <row r="180">
      <c r="A180" t="n">
        <v>25.0</v>
      </c>
      <c r="B180" t="inlineStr">
        <is>
          <t>LEASE-BH-F21-2025</t>
        </is>
      </c>
      <c r="C180" t="inlineStr">
        <is>
          <t>Flat 21 - 3 West Gate</t>
        </is>
      </c>
      <c r="D180" s="2" t="n">
        <v>45687.0</v>
      </c>
      <c r="E180" s="2" t="n">
        <v>45687.0</v>
      </c>
      <c r="F180" s="2" t="n">
        <v>45715.0</v>
      </c>
      <c r="G180" s="2" t="n">
        <v>45703.0</v>
      </c>
      <c r="H180" s="3" t="n">
        <v>795.0</v>
      </c>
      <c r="I180"/>
      <c r="J180"/>
      <c r="K180"/>
      <c r="L180"/>
      <c r="M180"/>
      <c r="N180"/>
      <c r="O180" s="3" t="n">
        <v>795.0</v>
      </c>
    </row>
    <row r="181">
      <c r="A181" t="n">
        <v>25.0</v>
      </c>
      <c r="B181" t="inlineStr">
        <is>
          <t>LEASE-BH-F21-2025</t>
        </is>
      </c>
      <c r="C181" t="inlineStr">
        <is>
          <t>Flat 21 - 3 West Gate</t>
        </is>
      </c>
      <c r="D181" s="2" t="n">
        <v>45716.0</v>
      </c>
      <c r="E181" s="2" t="n">
        <v>45716.0</v>
      </c>
      <c r="F181" s="2" t="n">
        <v>45745.0</v>
      </c>
      <c r="G181" s="2" t="n">
        <v>45731.0</v>
      </c>
      <c r="H181" s="3" t="n">
        <v>795.0</v>
      </c>
      <c r="I181"/>
      <c r="J181"/>
      <c r="K181"/>
      <c r="L181"/>
      <c r="M181"/>
      <c r="N181"/>
      <c r="O181" s="3" t="n">
        <v>795.0</v>
      </c>
    </row>
    <row r="182">
      <c r="A182" t="n">
        <v>25.0</v>
      </c>
      <c r="B182" t="inlineStr">
        <is>
          <t>LEASE-BH-F21-2025</t>
        </is>
      </c>
      <c r="C182" t="inlineStr">
        <is>
          <t>Flat 21 - 3 West Gate</t>
        </is>
      </c>
      <c r="D182" s="2" t="n">
        <v>45746.0</v>
      </c>
      <c r="E182" s="2" t="n">
        <v>45746.0</v>
      </c>
      <c r="F182" s="2" t="n">
        <v>45776.0</v>
      </c>
      <c r="G182" s="2" t="n">
        <v>45762.0</v>
      </c>
      <c r="H182" s="3" t="n">
        <v>795.0</v>
      </c>
      <c r="I182"/>
      <c r="J182"/>
      <c r="K182"/>
      <c r="L182"/>
      <c r="M182"/>
      <c r="N182"/>
      <c r="O182" s="3" t="n">
        <v>795.0</v>
      </c>
    </row>
    <row r="183">
      <c r="A183" t="n">
        <v>25.0</v>
      </c>
      <c r="B183" t="inlineStr">
        <is>
          <t>LEASE-BH-F21-2025</t>
        </is>
      </c>
      <c r="C183" t="inlineStr">
        <is>
          <t>Flat 21 - 3 West Gate</t>
        </is>
      </c>
      <c r="D183" s="2" t="n">
        <v>45777.0</v>
      </c>
      <c r="E183" s="2" t="n">
        <v>45777.0</v>
      </c>
      <c r="F183" s="2" t="n">
        <v>45806.0</v>
      </c>
      <c r="G183" s="2" t="n">
        <v>45793.0</v>
      </c>
      <c r="H183" s="3" t="n">
        <v>795.0</v>
      </c>
      <c r="I183"/>
      <c r="J183"/>
      <c r="K183"/>
      <c r="L183"/>
      <c r="M183"/>
      <c r="N183"/>
      <c r="O183" s="3" t="n">
        <v>795.0</v>
      </c>
    </row>
    <row r="184">
      <c r="A184" t="n">
        <v>25.0</v>
      </c>
      <c r="B184" t="inlineStr">
        <is>
          <t>LEASE-BH-F21-2025</t>
        </is>
      </c>
      <c r="C184" t="inlineStr">
        <is>
          <t>Flat 21 - 3 West Gate</t>
        </is>
      </c>
      <c r="D184" s="2" t="n">
        <v>45807.0</v>
      </c>
      <c r="E184" s="2" t="n">
        <v>45807.0</v>
      </c>
      <c r="F184" s="2" t="n">
        <v>45837.0</v>
      </c>
      <c r="G184" s="2" t="n">
        <v>45823.0</v>
      </c>
      <c r="H184" s="3" t="n">
        <v>795.0</v>
      </c>
      <c r="I184"/>
      <c r="J184"/>
      <c r="K184"/>
      <c r="L184"/>
      <c r="M184"/>
      <c r="N184"/>
      <c r="O184" s="3" t="n">
        <v>795.0</v>
      </c>
    </row>
    <row r="185">
      <c r="A185" t="n">
        <v>25.0</v>
      </c>
      <c r="B185" t="inlineStr">
        <is>
          <t>LEASE-BH-F21-2025</t>
        </is>
      </c>
      <c r="C185" t="inlineStr">
        <is>
          <t>Flat 21 - 3 West Gate</t>
        </is>
      </c>
      <c r="D185" s="2" t="n">
        <v>45838.0</v>
      </c>
      <c r="E185" s="2" t="n">
        <v>45838.0</v>
      </c>
      <c r="F185" s="2" t="n">
        <v>45867.0</v>
      </c>
      <c r="G185" s="2" t="n">
        <v>45860.0</v>
      </c>
      <c r="H185" s="3" t="n">
        <v>795.0</v>
      </c>
      <c r="I185"/>
      <c r="J185"/>
      <c r="K185"/>
      <c r="L185"/>
      <c r="M185"/>
      <c r="N185"/>
      <c r="O185" s="3" t="n">
        <v>795.0</v>
      </c>
    </row>
    <row r="186">
      <c r="A186" t="n">
        <v>25.0</v>
      </c>
      <c r="B186" t="inlineStr">
        <is>
          <t>LEASE-BH-F21-2025</t>
        </is>
      </c>
      <c r="C186" t="inlineStr">
        <is>
          <t>Flat 21 - 3 West Gate</t>
        </is>
      </c>
      <c r="D186" s="2" t="n">
        <v>45868.0</v>
      </c>
      <c r="E186" s="2" t="n">
        <v>45868.0</v>
      </c>
      <c r="F186" s="2" t="n">
        <v>45898.0</v>
      </c>
      <c r="G186" s="2" t="n">
        <v>45891.0</v>
      </c>
      <c r="H186" s="3" t="n">
        <v>795.0</v>
      </c>
      <c r="I186"/>
      <c r="J186"/>
      <c r="K186"/>
      <c r="L186"/>
      <c r="M186"/>
      <c r="N186"/>
      <c r="O186" s="3" t="n">
        <v>795.0</v>
      </c>
    </row>
    <row r="187">
      <c r="A187" t="n">
        <v>25.0</v>
      </c>
      <c r="B187" t="inlineStr">
        <is>
          <t>LEASE-BH-F21-2025</t>
        </is>
      </c>
      <c r="C187" t="inlineStr">
        <is>
          <t>Flat 21 - 3 West Gate</t>
        </is>
      </c>
      <c r="D187" s="2" t="n">
        <v>45899.0</v>
      </c>
      <c r="E187" s="2" t="n">
        <v>45899.0</v>
      </c>
      <c r="F187" s="2" t="n">
        <v>45929.0</v>
      </c>
      <c r="G187" s="2" t="n">
        <v>45915.0</v>
      </c>
      <c r="H187" s="3" t="n">
        <v>795.0</v>
      </c>
      <c r="I187"/>
      <c r="J187"/>
      <c r="K187"/>
      <c r="L187"/>
      <c r="M187"/>
      <c r="N187"/>
      <c r="O187" s="3" t="n">
        <v>795.0</v>
      </c>
    </row>
    <row r="188">
      <c r="A188" t="n">
        <v>25.0</v>
      </c>
      <c r="B188" t="inlineStr">
        <is>
          <t>LEASE-BH-F21-2025</t>
        </is>
      </c>
      <c r="C188" t="inlineStr">
        <is>
          <t>Flat 21 - 3 West Gate</t>
        </is>
      </c>
      <c r="D188" s="2" t="n">
        <v>45930.0</v>
      </c>
      <c r="E188" s="2" t="n">
        <v>45930.0</v>
      </c>
      <c r="F188" s="2" t="n">
        <v>45959.0</v>
      </c>
      <c r="G188" s="2" t="n">
        <v>45953.0</v>
      </c>
      <c r="H188" s="3" t="n">
        <v>795.0</v>
      </c>
      <c r="I188"/>
      <c r="J188"/>
      <c r="K188"/>
      <c r="L188"/>
      <c r="M188"/>
      <c r="N188"/>
      <c r="O188" s="3" t="n">
        <v>795.0</v>
      </c>
    </row>
    <row r="189">
      <c r="A189" t="n">
        <v>25.0</v>
      </c>
      <c r="B189" t="inlineStr">
        <is>
          <t>LEASE-BH-F21-2025</t>
        </is>
      </c>
      <c r="C189" t="inlineStr">
        <is>
          <t>Flat 21 - 3 West Gate</t>
        </is>
      </c>
      <c r="D189" s="2" t="n">
        <v>45960.0</v>
      </c>
      <c r="E189" s="2" t="n">
        <v>45960.0</v>
      </c>
      <c r="F189" s="2" t="n">
        <v>45990.0</v>
      </c>
      <c r="G189" s="2" t="n">
        <v>45982.0</v>
      </c>
      <c r="H189" s="3" t="n">
        <v>795.0</v>
      </c>
      <c r="I189"/>
      <c r="J189"/>
      <c r="K189"/>
      <c r="L189"/>
      <c r="M189"/>
      <c r="N189"/>
      <c r="O189" s="3" t="n">
        <v>795.0</v>
      </c>
    </row>
    <row r="190">
      <c r="A190" t="n">
        <v>26.0</v>
      </c>
      <c r="B190" t="inlineStr">
        <is>
          <t>LEASE-BH-F22-2025</t>
        </is>
      </c>
      <c r="C190" t="inlineStr">
        <is>
          <t>Flat 22 - 3 West Gate</t>
        </is>
      </c>
      <c r="D190" s="2" t="n">
        <v>45352.0</v>
      </c>
      <c r="E190" s="2" t="n">
        <v>45352.0</v>
      </c>
      <c r="F190" s="2" t="n">
        <v>45716.0</v>
      </c>
      <c r="G190" s="2" t="n">
        <v>45716.0</v>
      </c>
      <c r="H190" s="3" t="n">
        <v>740.0</v>
      </c>
      <c r="I190"/>
      <c r="J190"/>
      <c r="K190"/>
      <c r="L190"/>
      <c r="M190"/>
      <c r="N190"/>
      <c r="O190" s="3" t="n">
        <v>740.0</v>
      </c>
    </row>
    <row r="191">
      <c r="A191" t="n">
        <v>26.0</v>
      </c>
      <c r="B191" t="inlineStr">
        <is>
          <t>LEASE-BH-F22-2025</t>
        </is>
      </c>
      <c r="C191" t="inlineStr">
        <is>
          <t>Flat 22 - 3 West Gate</t>
        </is>
      </c>
      <c r="D191" s="2" t="n">
        <v>45717.0</v>
      </c>
      <c r="E191" s="2" t="n">
        <v>45717.0</v>
      </c>
      <c r="F191" s="2" t="n">
        <v>45747.0</v>
      </c>
      <c r="G191" s="2" t="n">
        <v>45744.0</v>
      </c>
      <c r="H191" s="3" t="n">
        <v>740.0</v>
      </c>
      <c r="I191"/>
      <c r="J191"/>
      <c r="K191"/>
      <c r="L191"/>
      <c r="M191"/>
      <c r="N191"/>
      <c r="O191" s="3" t="n">
        <v>740.0</v>
      </c>
    </row>
    <row r="192">
      <c r="A192" t="n">
        <v>26.0</v>
      </c>
      <c r="B192" t="inlineStr">
        <is>
          <t>LEASE-BH-F22-2025</t>
        </is>
      </c>
      <c r="C192" t="inlineStr">
        <is>
          <t>Flat 22 - 3 West Gate</t>
        </is>
      </c>
      <c r="D192" s="2" t="n">
        <v>45748.0</v>
      </c>
      <c r="E192" s="2" t="n">
        <v>45748.0</v>
      </c>
      <c r="F192" s="2" t="n">
        <v>45777.0</v>
      </c>
      <c r="G192" s="2" t="n">
        <v>45775.0</v>
      </c>
      <c r="H192" s="3" t="n">
        <v>740.0</v>
      </c>
      <c r="I192"/>
      <c r="J192"/>
      <c r="K192"/>
      <c r="L192"/>
      <c r="M192"/>
      <c r="N192"/>
      <c r="O192" s="3" t="n">
        <v>740.0</v>
      </c>
    </row>
    <row r="193">
      <c r="A193" t="n">
        <v>26.0</v>
      </c>
      <c r="B193" t="inlineStr">
        <is>
          <t>LEASE-BH-F22-2025</t>
        </is>
      </c>
      <c r="C193" t="inlineStr">
        <is>
          <t>Flat 22 - 3 West Gate</t>
        </is>
      </c>
      <c r="D193" s="2" t="n">
        <v>45778.0</v>
      </c>
      <c r="E193" s="2" t="n">
        <v>45778.0</v>
      </c>
      <c r="F193" s="2" t="n">
        <v>45808.0</v>
      </c>
      <c r="G193" s="2" t="n">
        <v>45805.0</v>
      </c>
      <c r="H193" s="3" t="n">
        <v>740.0</v>
      </c>
      <c r="I193"/>
      <c r="J193"/>
      <c r="K193"/>
      <c r="L193"/>
      <c r="M193"/>
      <c r="N193"/>
      <c r="O193" s="3" t="n">
        <v>740.0</v>
      </c>
    </row>
    <row r="194">
      <c r="A194" t="n">
        <v>26.0</v>
      </c>
      <c r="B194" t="inlineStr">
        <is>
          <t>LEASE-BH-F22-2025</t>
        </is>
      </c>
      <c r="C194" t="inlineStr">
        <is>
          <t>Flat 22 - 3 West Gate</t>
        </is>
      </c>
      <c r="D194" s="2" t="n">
        <v>45809.0</v>
      </c>
      <c r="E194" s="2" t="n">
        <v>45809.0</v>
      </c>
      <c r="F194" s="2" t="n">
        <v>45838.0</v>
      </c>
      <c r="G194"/>
      <c r="H194"/>
      <c r="I194"/>
      <c r="J194"/>
      <c r="K194"/>
      <c r="L194"/>
      <c r="M194"/>
      <c r="N194"/>
      <c r="O194" s="3" t="n">
        <v>0.0</v>
      </c>
    </row>
    <row r="195">
      <c r="A195" t="n">
        <v>26.0</v>
      </c>
      <c r="B195" t="inlineStr">
        <is>
          <t>LEASE-BH-F22-2025</t>
        </is>
      </c>
      <c r="C195" t="inlineStr">
        <is>
          <t>Flat 22 - 3 West Gate</t>
        </is>
      </c>
      <c r="D195" s="2" t="n">
        <v>45839.0</v>
      </c>
      <c r="E195" s="2" t="n">
        <v>45839.0</v>
      </c>
      <c r="F195" s="2" t="n">
        <v>45869.0</v>
      </c>
      <c r="G195" s="2" t="n">
        <v>45860.0</v>
      </c>
      <c r="H195" s="3" t="n">
        <v>740.0</v>
      </c>
      <c r="I195"/>
      <c r="J195"/>
      <c r="K195"/>
      <c r="L195"/>
      <c r="M195"/>
      <c r="N195"/>
      <c r="O195" s="3" t="n">
        <v>740.0</v>
      </c>
    </row>
    <row r="196">
      <c r="A196" t="n">
        <v>26.0</v>
      </c>
      <c r="B196" t="inlineStr">
        <is>
          <t>LEASE-BH-F22-2025</t>
        </is>
      </c>
      <c r="C196" t="inlineStr">
        <is>
          <t>Flat 22 - 3 West Gate</t>
        </is>
      </c>
      <c r="D196" s="2" t="n">
        <v>45870.0</v>
      </c>
      <c r="E196" s="2" t="n">
        <v>45870.0</v>
      </c>
      <c r="F196" s="2" t="n">
        <v>45900.0</v>
      </c>
      <c r="G196" s="2" t="n">
        <v>45877.0</v>
      </c>
      <c r="H196" s="3" t="n">
        <v>740.0</v>
      </c>
      <c r="I196"/>
      <c r="J196"/>
      <c r="K196"/>
      <c r="L196"/>
      <c r="M196"/>
      <c r="N196"/>
      <c r="O196" s="3" t="n">
        <v>740.0</v>
      </c>
    </row>
    <row r="197">
      <c r="A197" t="n">
        <v>26.0</v>
      </c>
      <c r="B197" t="inlineStr">
        <is>
          <t>LEASE-BH-F22-2025</t>
        </is>
      </c>
      <c r="C197" t="inlineStr">
        <is>
          <t>Flat 22 - 3 West Gate</t>
        </is>
      </c>
      <c r="D197" s="2" t="n">
        <v>45901.0</v>
      </c>
      <c r="E197" s="2" t="n">
        <v>45901.0</v>
      </c>
      <c r="F197" s="2" t="n">
        <v>45930.0</v>
      </c>
      <c r="G197" s="2" t="n">
        <v>45902.0</v>
      </c>
      <c r="H197" s="3" t="n">
        <v>740.0</v>
      </c>
      <c r="I197"/>
      <c r="J197"/>
      <c r="K197"/>
      <c r="L197"/>
      <c r="M197"/>
      <c r="N197"/>
      <c r="O197" s="3" t="n">
        <v>740.0</v>
      </c>
    </row>
    <row r="198">
      <c r="A198" t="n">
        <v>26.0</v>
      </c>
      <c r="B198" t="inlineStr">
        <is>
          <t>LEASE-BH-F22-2025</t>
        </is>
      </c>
      <c r="C198" t="inlineStr">
        <is>
          <t>Flat 22 - 3 West Gate</t>
        </is>
      </c>
      <c r="D198" s="2" t="n">
        <v>45931.0</v>
      </c>
      <c r="E198" s="2" t="n">
        <v>45931.0</v>
      </c>
      <c r="F198" s="2" t="n">
        <v>45961.0</v>
      </c>
      <c r="G198" s="2" t="n">
        <v>45936.0</v>
      </c>
      <c r="H198" s="3" t="n">
        <v>740.0</v>
      </c>
      <c r="I198"/>
      <c r="J198"/>
      <c r="K198"/>
      <c r="L198"/>
      <c r="M198"/>
      <c r="N198"/>
      <c r="O198" s="3" t="n">
        <v>740.0</v>
      </c>
    </row>
    <row r="199">
      <c r="A199" t="n">
        <v>26.0</v>
      </c>
      <c r="B199" t="inlineStr">
        <is>
          <t>LEASE-BH-F22-2025</t>
        </is>
      </c>
      <c r="C199" t="inlineStr">
        <is>
          <t>Flat 22 - 3 West Gate</t>
        </is>
      </c>
      <c r="D199" s="2" t="n">
        <v>45962.0</v>
      </c>
      <c r="E199" s="2" t="n">
        <v>45962.0</v>
      </c>
      <c r="F199" s="2" t="n">
        <v>45991.0</v>
      </c>
      <c r="G199" s="2" t="n">
        <v>45982.0</v>
      </c>
      <c r="H199" s="3" t="n">
        <v>740.0</v>
      </c>
      <c r="I199"/>
      <c r="J199"/>
      <c r="K199"/>
      <c r="L199"/>
      <c r="M199"/>
      <c r="N199"/>
      <c r="O199" s="3" t="n">
        <v>740.0</v>
      </c>
    </row>
    <row r="200">
      <c r="A200" t="n">
        <v>27.0</v>
      </c>
      <c r="B200" t="inlineStr">
        <is>
          <t>LEASE-BH-F23-2025</t>
        </is>
      </c>
      <c r="C200" t="inlineStr">
        <is>
          <t>Flat 23 - 3 West Gate</t>
        </is>
      </c>
      <c r="D200" s="2" t="n">
        <v>45830.0</v>
      </c>
      <c r="E200" s="2" t="n">
        <v>45830.0</v>
      </c>
      <c r="F200" s="2" t="n">
        <v>45859.0</v>
      </c>
      <c r="G200" s="2" t="n">
        <v>45831.0</v>
      </c>
      <c r="H200" s="3" t="n">
        <v>795.0</v>
      </c>
      <c r="I200"/>
      <c r="J200"/>
      <c r="K200"/>
      <c r="L200"/>
      <c r="M200"/>
      <c r="N200"/>
      <c r="O200" s="3" t="n">
        <v>795.0</v>
      </c>
    </row>
    <row r="201">
      <c r="A201" t="n">
        <v>27.0</v>
      </c>
      <c r="B201" t="inlineStr">
        <is>
          <t>LEASE-BH-F23-2025</t>
        </is>
      </c>
      <c r="C201" t="inlineStr">
        <is>
          <t>Flat 23 - 3 West Gate</t>
        </is>
      </c>
      <c r="D201" s="2" t="n">
        <v>45860.0</v>
      </c>
      <c r="E201" s="2" t="n">
        <v>45860.0</v>
      </c>
      <c r="F201" s="2" t="n">
        <v>45890.0</v>
      </c>
      <c r="G201" s="2" t="n">
        <v>45860.0</v>
      </c>
      <c r="H201" s="3" t="n">
        <v>795.0</v>
      </c>
      <c r="I201"/>
      <c r="J201"/>
      <c r="K201"/>
      <c r="L201"/>
      <c r="M201"/>
      <c r="N201"/>
      <c r="O201" s="3" t="n">
        <v>795.0</v>
      </c>
    </row>
    <row r="202">
      <c r="A202" t="n">
        <v>27.0</v>
      </c>
      <c r="B202" t="inlineStr">
        <is>
          <t>LEASE-BH-F23-2025</t>
        </is>
      </c>
      <c r="C202" t="inlineStr">
        <is>
          <t>Flat 23 - 3 West Gate</t>
        </is>
      </c>
      <c r="D202" s="2" t="n">
        <v>45891.0</v>
      </c>
      <c r="E202" s="2" t="n">
        <v>45891.0</v>
      </c>
      <c r="F202" s="2" t="n">
        <v>45921.0</v>
      </c>
      <c r="G202" s="2" t="n">
        <v>45911.0</v>
      </c>
      <c r="H202" s="3" t="n">
        <v>795.0</v>
      </c>
      <c r="I202"/>
      <c r="J202"/>
      <c r="K202"/>
      <c r="L202"/>
      <c r="M202"/>
      <c r="N202"/>
      <c r="O202" s="3" t="n">
        <v>795.0</v>
      </c>
    </row>
    <row r="203">
      <c r="A203" t="n">
        <v>27.0</v>
      </c>
      <c r="B203" t="inlineStr">
        <is>
          <t>LEASE-BH-F23-2025</t>
        </is>
      </c>
      <c r="C203" t="inlineStr">
        <is>
          <t>Flat 23 - 3 West Gate</t>
        </is>
      </c>
      <c r="D203" s="2" t="n">
        <v>45922.0</v>
      </c>
      <c r="E203" s="2" t="n">
        <v>45922.0</v>
      </c>
      <c r="F203" s="2" t="n">
        <v>45951.0</v>
      </c>
      <c r="G203" s="2" t="n">
        <v>45922.0</v>
      </c>
      <c r="H203" s="3" t="n">
        <v>795.0</v>
      </c>
      <c r="I203"/>
      <c r="J203"/>
      <c r="K203"/>
      <c r="L203"/>
      <c r="M203"/>
      <c r="N203"/>
      <c r="O203" s="3" t="n">
        <v>795.0</v>
      </c>
    </row>
    <row r="204">
      <c r="A204" t="n">
        <v>27.0</v>
      </c>
      <c r="B204" t="inlineStr">
        <is>
          <t>LEASE-BH-F23-2025</t>
        </is>
      </c>
      <c r="C204" t="inlineStr">
        <is>
          <t>Flat 23 - 3 West Gate</t>
        </is>
      </c>
      <c r="D204" s="2" t="n">
        <v>45952.0</v>
      </c>
      <c r="E204" s="2" t="n">
        <v>45952.0</v>
      </c>
      <c r="F204" s="2" t="n">
        <v>45982.0</v>
      </c>
      <c r="G204" s="2" t="n">
        <v>45953.0</v>
      </c>
      <c r="H204" s="3" t="n">
        <v>795.0</v>
      </c>
      <c r="I204" s="2" t="n">
        <v>45982.0</v>
      </c>
      <c r="J204" s="3" t="n">
        <v>795.0</v>
      </c>
      <c r="K204"/>
      <c r="L204"/>
      <c r="M204"/>
      <c r="N204"/>
      <c r="O204" s="3" t="n">
        <v>1590.0</v>
      </c>
    </row>
    <row r="205">
      <c r="A205" t="n">
        <v>28.0</v>
      </c>
      <c r="B205" t="inlineStr">
        <is>
          <t>LEASE-BH-F24-2025</t>
        </is>
      </c>
      <c r="C205" t="inlineStr">
        <is>
          <t>Flat 24 - 3 West Gate</t>
        </is>
      </c>
      <c r="D205" s="2" t="n">
        <v>45700.0</v>
      </c>
      <c r="E205" s="2" t="n">
        <v>45700.0</v>
      </c>
      <c r="F205" s="2" t="n">
        <v>45727.0</v>
      </c>
      <c r="G205" s="2" t="n">
        <v>45708.0</v>
      </c>
      <c r="H205" s="3" t="n">
        <v>810.0</v>
      </c>
      <c r="I205"/>
      <c r="J205"/>
      <c r="K205"/>
      <c r="L205"/>
      <c r="M205"/>
      <c r="N205"/>
      <c r="O205" s="3" t="n">
        <v>810.0</v>
      </c>
    </row>
    <row r="206">
      <c r="A206" t="n">
        <v>28.0</v>
      </c>
      <c r="B206" t="inlineStr">
        <is>
          <t>LEASE-BH-F24-2025</t>
        </is>
      </c>
      <c r="C206" t="inlineStr">
        <is>
          <t>Flat 24 - 3 West Gate</t>
        </is>
      </c>
      <c r="D206" s="2" t="n">
        <v>45728.0</v>
      </c>
      <c r="E206" s="2" t="n">
        <v>45728.0</v>
      </c>
      <c r="F206" s="2" t="n">
        <v>45758.0</v>
      </c>
      <c r="G206" s="2" t="n">
        <v>45731.0</v>
      </c>
      <c r="H206" s="3" t="n">
        <v>810.0</v>
      </c>
      <c r="I206"/>
      <c r="J206"/>
      <c r="K206"/>
      <c r="L206"/>
      <c r="M206"/>
      <c r="N206"/>
      <c r="O206" s="3" t="n">
        <v>810.0</v>
      </c>
    </row>
    <row r="207">
      <c r="A207" t="n">
        <v>28.0</v>
      </c>
      <c r="B207" t="inlineStr">
        <is>
          <t>LEASE-BH-F24-2025</t>
        </is>
      </c>
      <c r="C207" t="inlineStr">
        <is>
          <t>Flat 24 - 3 West Gate</t>
        </is>
      </c>
      <c r="D207" s="2" t="n">
        <v>45759.0</v>
      </c>
      <c r="E207" s="2" t="n">
        <v>45759.0</v>
      </c>
      <c r="F207" s="2" t="n">
        <v>45788.0</v>
      </c>
      <c r="G207" s="2" t="n">
        <v>45765.0</v>
      </c>
      <c r="H207" s="3" t="n">
        <v>810.0</v>
      </c>
      <c r="I207"/>
      <c r="J207"/>
      <c r="K207"/>
      <c r="L207"/>
      <c r="M207"/>
      <c r="N207"/>
      <c r="O207" s="3" t="n">
        <v>810.0</v>
      </c>
    </row>
    <row r="208">
      <c r="A208" t="n">
        <v>28.0</v>
      </c>
      <c r="B208" t="inlineStr">
        <is>
          <t>LEASE-BH-F24-2025</t>
        </is>
      </c>
      <c r="C208" t="inlineStr">
        <is>
          <t>Flat 24 - 3 West Gate</t>
        </is>
      </c>
      <c r="D208" s="2" t="n">
        <v>45789.0</v>
      </c>
      <c r="E208" s="2" t="n">
        <v>45789.0</v>
      </c>
      <c r="F208" s="2" t="n">
        <v>45819.0</v>
      </c>
      <c r="G208" s="2" t="n">
        <v>45793.0</v>
      </c>
      <c r="H208" s="3" t="n">
        <v>810.0</v>
      </c>
      <c r="I208"/>
      <c r="J208"/>
      <c r="K208"/>
      <c r="L208"/>
      <c r="M208"/>
      <c r="N208"/>
      <c r="O208" s="3" t="n">
        <v>810.0</v>
      </c>
    </row>
    <row r="209">
      <c r="A209" t="n">
        <v>28.0</v>
      </c>
      <c r="B209" t="inlineStr">
        <is>
          <t>LEASE-BH-F24-2025</t>
        </is>
      </c>
      <c r="C209" t="inlineStr">
        <is>
          <t>Flat 24 - 3 West Gate</t>
        </is>
      </c>
      <c r="D209" s="2" t="n">
        <v>45820.0</v>
      </c>
      <c r="E209" s="2" t="n">
        <v>45820.0</v>
      </c>
      <c r="F209" s="2" t="n">
        <v>45849.0</v>
      </c>
      <c r="G209" s="2" t="n">
        <v>45831.0</v>
      </c>
      <c r="H209" s="3" t="n">
        <v>810.0</v>
      </c>
      <c r="I209"/>
      <c r="J209"/>
      <c r="K209"/>
      <c r="L209"/>
      <c r="M209"/>
      <c r="N209"/>
      <c r="O209" s="3" t="n">
        <v>810.0</v>
      </c>
    </row>
    <row r="210">
      <c r="A210" t="n">
        <v>28.0</v>
      </c>
      <c r="B210" t="inlineStr">
        <is>
          <t>LEASE-BH-F24-2025</t>
        </is>
      </c>
      <c r="C210" t="inlineStr">
        <is>
          <t>Flat 24 - 3 West Gate</t>
        </is>
      </c>
      <c r="D210" s="2" t="n">
        <v>45850.0</v>
      </c>
      <c r="E210" s="2" t="n">
        <v>45850.0</v>
      </c>
      <c r="F210" s="2" t="n">
        <v>45880.0</v>
      </c>
      <c r="G210" s="2" t="n">
        <v>45860.0</v>
      </c>
      <c r="H210" s="3" t="n">
        <v>810.0</v>
      </c>
      <c r="I210"/>
      <c r="J210"/>
      <c r="K210"/>
      <c r="L210"/>
      <c r="M210"/>
      <c r="N210"/>
      <c r="O210" s="3" t="n">
        <v>810.0</v>
      </c>
    </row>
    <row r="211">
      <c r="A211" t="n">
        <v>28.0</v>
      </c>
      <c r="B211" t="inlineStr">
        <is>
          <t>LEASE-BH-F24-2025</t>
        </is>
      </c>
      <c r="C211" t="inlineStr">
        <is>
          <t>Flat 24 - 3 West Gate</t>
        </is>
      </c>
      <c r="D211" s="2" t="n">
        <v>45881.0</v>
      </c>
      <c r="E211" s="2" t="n">
        <v>45881.0</v>
      </c>
      <c r="F211" s="2" t="n">
        <v>45911.0</v>
      </c>
      <c r="G211" s="2" t="n">
        <v>45891.0</v>
      </c>
      <c r="H211" s="3" t="n">
        <v>810.0</v>
      </c>
      <c r="I211"/>
      <c r="J211"/>
      <c r="K211"/>
      <c r="L211"/>
      <c r="M211"/>
      <c r="N211"/>
      <c r="O211" s="3" t="n">
        <v>810.0</v>
      </c>
    </row>
    <row r="212">
      <c r="A212" t="n">
        <v>28.0</v>
      </c>
      <c r="B212" t="inlineStr">
        <is>
          <t>LEASE-BH-F24-2025</t>
        </is>
      </c>
      <c r="C212" t="inlineStr">
        <is>
          <t>Flat 24 - 3 West Gate</t>
        </is>
      </c>
      <c r="D212" s="2" t="n">
        <v>45912.0</v>
      </c>
      <c r="E212" s="2" t="n">
        <v>45912.0</v>
      </c>
      <c r="F212" s="2" t="n">
        <v>45941.0</v>
      </c>
      <c r="G212" s="2" t="n">
        <v>45919.0</v>
      </c>
      <c r="H212" s="3" t="n">
        <v>810.0</v>
      </c>
      <c r="I212"/>
      <c r="J212"/>
      <c r="K212"/>
      <c r="L212"/>
      <c r="M212"/>
      <c r="N212"/>
      <c r="O212" s="3" t="n">
        <v>810.0</v>
      </c>
    </row>
    <row r="213">
      <c r="A213" t="n">
        <v>28.0</v>
      </c>
      <c r="B213" t="inlineStr">
        <is>
          <t>LEASE-BH-F24-2025</t>
        </is>
      </c>
      <c r="C213" t="inlineStr">
        <is>
          <t>Flat 24 - 3 West Gate</t>
        </is>
      </c>
      <c r="D213" s="2" t="n">
        <v>45942.0</v>
      </c>
      <c r="E213" s="2" t="n">
        <v>45942.0</v>
      </c>
      <c r="F213" s="2" t="n">
        <v>45972.0</v>
      </c>
      <c r="G213" s="2" t="n">
        <v>45953.0</v>
      </c>
      <c r="H213" s="3" t="n">
        <v>810.0</v>
      </c>
      <c r="I213"/>
      <c r="J213"/>
      <c r="K213"/>
      <c r="L213"/>
      <c r="M213"/>
      <c r="N213"/>
      <c r="O213" s="3" t="n">
        <v>810.0</v>
      </c>
    </row>
    <row r="214">
      <c r="A214" t="n">
        <v>28.0</v>
      </c>
      <c r="B214" t="inlineStr">
        <is>
          <t>LEASE-BH-F24-2025</t>
        </is>
      </c>
      <c r="C214" t="inlineStr">
        <is>
          <t>Flat 24 - 3 West Gate</t>
        </is>
      </c>
      <c r="D214" s="2" t="n">
        <v>45973.0</v>
      </c>
      <c r="E214" s="2" t="n">
        <v>45973.0</v>
      </c>
      <c r="F214" s="2" t="n">
        <v>46002.0</v>
      </c>
      <c r="G214" s="2" t="n">
        <v>45982.0</v>
      </c>
      <c r="H214" s="3" t="n">
        <v>810.0</v>
      </c>
      <c r="I214"/>
      <c r="J214"/>
      <c r="K214"/>
      <c r="L214"/>
      <c r="M214"/>
      <c r="N214"/>
      <c r="O214" s="3" t="n">
        <v>810.0</v>
      </c>
    </row>
    <row r="215">
      <c r="A215" t="n">
        <v>29.0</v>
      </c>
      <c r="B215" t="inlineStr">
        <is>
          <t>LEASE-BH-F26-2025</t>
        </is>
      </c>
      <c r="C215" t="inlineStr">
        <is>
          <t>Flat 26 - 3 West Gate</t>
        </is>
      </c>
      <c r="D215" s="2" t="n">
        <v>45365.0</v>
      </c>
      <c r="E215" s="2" t="n">
        <v>45365.0</v>
      </c>
      <c r="F215" s="2" t="n">
        <v>45729.0</v>
      </c>
      <c r="G215" s="2" t="n">
        <v>45716.0</v>
      </c>
      <c r="H215" s="3" t="n">
        <v>675.0</v>
      </c>
      <c r="I215"/>
      <c r="J215"/>
      <c r="K215"/>
      <c r="L215"/>
      <c r="M215"/>
      <c r="N215"/>
      <c r="O215" s="3" t="n">
        <v>675.0</v>
      </c>
    </row>
    <row r="216">
      <c r="A216" t="n">
        <v>29.0</v>
      </c>
      <c r="B216" t="inlineStr">
        <is>
          <t>LEASE-BH-F26-2025</t>
        </is>
      </c>
      <c r="C216" t="inlineStr">
        <is>
          <t>Flat 26 - 3 West Gate</t>
        </is>
      </c>
      <c r="D216" s="2" t="n">
        <v>45730.0</v>
      </c>
      <c r="E216" s="2" t="n">
        <v>45730.0</v>
      </c>
      <c r="F216" s="2" t="n">
        <v>45760.0</v>
      </c>
      <c r="G216" s="2" t="n">
        <v>45744.0</v>
      </c>
      <c r="H216" s="3" t="n">
        <v>675.0</v>
      </c>
      <c r="I216"/>
      <c r="J216"/>
      <c r="K216"/>
      <c r="L216"/>
      <c r="M216"/>
      <c r="N216"/>
      <c r="O216" s="3" t="n">
        <v>675.0</v>
      </c>
    </row>
    <row r="217">
      <c r="A217" t="n">
        <v>29.0</v>
      </c>
      <c r="B217" t="inlineStr">
        <is>
          <t>LEASE-BH-F26-2025</t>
        </is>
      </c>
      <c r="C217" t="inlineStr">
        <is>
          <t>Flat 26 - 3 West Gate</t>
        </is>
      </c>
      <c r="D217" s="2" t="n">
        <v>45761.0</v>
      </c>
      <c r="E217" s="2" t="n">
        <v>45761.0</v>
      </c>
      <c r="F217" s="2" t="n">
        <v>45790.0</v>
      </c>
      <c r="G217" s="2" t="n">
        <v>45775.0</v>
      </c>
      <c r="H217" s="3" t="n">
        <v>675.0</v>
      </c>
      <c r="I217"/>
      <c r="J217"/>
      <c r="K217"/>
      <c r="L217"/>
      <c r="M217"/>
      <c r="N217"/>
      <c r="O217" s="3" t="n">
        <v>675.0</v>
      </c>
    </row>
    <row r="218">
      <c r="A218" t="n">
        <v>29.0</v>
      </c>
      <c r="B218" t="inlineStr">
        <is>
          <t>LEASE-BH-F26-2025</t>
        </is>
      </c>
      <c r="C218" t="inlineStr">
        <is>
          <t>Flat 26 - 3 West Gate</t>
        </is>
      </c>
      <c r="D218" s="2" t="n">
        <v>45791.0</v>
      </c>
      <c r="E218" s="2" t="n">
        <v>45791.0</v>
      </c>
      <c r="F218" s="2" t="n">
        <v>45821.0</v>
      </c>
      <c r="G218" s="2" t="n">
        <v>45805.0</v>
      </c>
      <c r="H218" s="3" t="n">
        <v>675.0</v>
      </c>
      <c r="I218"/>
      <c r="J218"/>
      <c r="K218"/>
      <c r="L218"/>
      <c r="M218"/>
      <c r="N218"/>
      <c r="O218" s="3" t="n">
        <v>675.0</v>
      </c>
    </row>
    <row r="219">
      <c r="A219" t="n">
        <v>29.0</v>
      </c>
      <c r="B219" t="inlineStr">
        <is>
          <t>LEASE-BH-F26-2025</t>
        </is>
      </c>
      <c r="C219" t="inlineStr">
        <is>
          <t>Flat 26 - 3 West Gate</t>
        </is>
      </c>
      <c r="D219" s="2" t="n">
        <v>45822.0</v>
      </c>
      <c r="E219" s="2" t="n">
        <v>45822.0</v>
      </c>
      <c r="F219" s="2" t="n">
        <v>45851.0</v>
      </c>
      <c r="G219" s="2" t="n">
        <v>45838.0</v>
      </c>
      <c r="H219" s="3" t="n">
        <v>675.0</v>
      </c>
      <c r="I219"/>
      <c r="J219"/>
      <c r="K219"/>
      <c r="L219"/>
      <c r="M219"/>
      <c r="N219"/>
      <c r="O219" s="3" t="n">
        <v>675.0</v>
      </c>
    </row>
    <row r="220">
      <c r="A220" t="n">
        <v>29.0</v>
      </c>
      <c r="B220" t="inlineStr">
        <is>
          <t>LEASE-BH-F26-2025</t>
        </is>
      </c>
      <c r="C220" t="inlineStr">
        <is>
          <t>Flat 26 - 3 West Gate</t>
        </is>
      </c>
      <c r="D220" s="2" t="n">
        <v>45852.0</v>
      </c>
      <c r="E220" s="2" t="n">
        <v>45852.0</v>
      </c>
      <c r="F220" s="2" t="n">
        <v>45882.0</v>
      </c>
      <c r="G220" s="2" t="n">
        <v>45866.0</v>
      </c>
      <c r="H220" s="3" t="n">
        <v>675.0</v>
      </c>
      <c r="I220"/>
      <c r="J220"/>
      <c r="K220"/>
      <c r="L220"/>
      <c r="M220"/>
      <c r="N220"/>
      <c r="O220" s="3" t="n">
        <v>675.0</v>
      </c>
    </row>
    <row r="221">
      <c r="A221" t="n">
        <v>29.0</v>
      </c>
      <c r="B221" t="inlineStr">
        <is>
          <t>LEASE-BH-F26-2025</t>
        </is>
      </c>
      <c r="C221" t="inlineStr">
        <is>
          <t>Flat 26 - 3 West Gate</t>
        </is>
      </c>
      <c r="D221" s="2" t="n">
        <v>45883.0</v>
      </c>
      <c r="E221" s="2" t="n">
        <v>45883.0</v>
      </c>
      <c r="F221" s="2" t="n">
        <v>45913.0</v>
      </c>
      <c r="G221" s="2" t="n">
        <v>45897.0</v>
      </c>
      <c r="H221" s="3" t="n">
        <v>675.0</v>
      </c>
      <c r="I221"/>
      <c r="J221"/>
      <c r="K221"/>
      <c r="L221"/>
      <c r="M221"/>
      <c r="N221"/>
      <c r="O221" s="3" t="n">
        <v>675.0</v>
      </c>
    </row>
    <row r="222">
      <c r="A222" t="n">
        <v>29.0</v>
      </c>
      <c r="B222" t="inlineStr">
        <is>
          <t>LEASE-BH-F26-2025</t>
        </is>
      </c>
      <c r="C222" t="inlineStr">
        <is>
          <t>Flat 26 - 3 West Gate</t>
        </is>
      </c>
      <c r="D222" s="2" t="n">
        <v>45914.0</v>
      </c>
      <c r="E222" s="2" t="n">
        <v>45914.0</v>
      </c>
      <c r="F222" s="2" t="n">
        <v>45943.0</v>
      </c>
      <c r="G222" s="2" t="n">
        <v>45929.0</v>
      </c>
      <c r="H222" s="3" t="n">
        <v>675.0</v>
      </c>
      <c r="I222"/>
      <c r="J222"/>
      <c r="K222"/>
      <c r="L222"/>
      <c r="M222"/>
      <c r="N222"/>
      <c r="O222" s="3" t="n">
        <v>675.0</v>
      </c>
    </row>
    <row r="223">
      <c r="A223" t="n">
        <v>29.0</v>
      </c>
      <c r="B223" t="inlineStr">
        <is>
          <t>LEASE-BH-F26-2025</t>
        </is>
      </c>
      <c r="C223" t="inlineStr">
        <is>
          <t>Flat 26 - 3 West Gate</t>
        </is>
      </c>
      <c r="D223" s="2" t="n">
        <v>45944.0</v>
      </c>
      <c r="E223" s="2" t="n">
        <v>45944.0</v>
      </c>
      <c r="F223" s="2" t="n">
        <v>45974.0</v>
      </c>
      <c r="G223" s="2" t="n">
        <v>45958.0</v>
      </c>
      <c r="H223" s="3" t="n">
        <v>675.0</v>
      </c>
      <c r="I223"/>
      <c r="J223"/>
      <c r="K223"/>
      <c r="L223"/>
      <c r="M223"/>
      <c r="N223"/>
      <c r="O223" s="3" t="n">
        <v>675.0</v>
      </c>
    </row>
    <row r="224">
      <c r="A224" t="n">
        <v>29.0</v>
      </c>
      <c r="B224" t="inlineStr">
        <is>
          <t>LEASE-BH-F26-2025</t>
        </is>
      </c>
      <c r="C224" t="inlineStr">
        <is>
          <t>Flat 26 - 3 West Gate</t>
        </is>
      </c>
      <c r="D224" s="2" t="n">
        <v>45975.0</v>
      </c>
      <c r="E224" s="2" t="n">
        <v>45975.0</v>
      </c>
      <c r="F224" s="2" t="n">
        <v>46004.0</v>
      </c>
      <c r="G224"/>
      <c r="H224"/>
      <c r="I224"/>
      <c r="J224"/>
      <c r="K224"/>
      <c r="L224"/>
      <c r="M224"/>
      <c r="N224"/>
      <c r="O224" s="3" t="n">
        <v>0.0</v>
      </c>
    </row>
    <row r="225">
      <c r="A225" t="n">
        <v>30.0</v>
      </c>
      <c r="B225" t="inlineStr">
        <is>
          <t>LEASE-BH-F27-2025</t>
        </is>
      </c>
      <c r="C225" t="inlineStr">
        <is>
          <t>Flat 27 - 3 West Gate</t>
        </is>
      </c>
      <c r="D225" s="2" t="n">
        <v>45716.0</v>
      </c>
      <c r="E225" s="2" t="n">
        <v>45716.0</v>
      </c>
      <c r="F225" s="2" t="n">
        <v>45743.0</v>
      </c>
      <c r="G225" s="2" t="n">
        <v>45719.0</v>
      </c>
      <c r="H225" s="3" t="n">
        <v>700.0</v>
      </c>
      <c r="I225"/>
      <c r="J225"/>
      <c r="K225"/>
      <c r="L225"/>
      <c r="M225"/>
      <c r="N225"/>
      <c r="O225" s="3" t="n">
        <v>700.0</v>
      </c>
    </row>
    <row r="226">
      <c r="A226" t="n">
        <v>30.0</v>
      </c>
      <c r="B226" t="inlineStr">
        <is>
          <t>LEASE-BH-F27-2025</t>
        </is>
      </c>
      <c r="C226" t="inlineStr">
        <is>
          <t>Flat 27 - 3 West Gate</t>
        </is>
      </c>
      <c r="D226" s="2" t="n">
        <v>45744.0</v>
      </c>
      <c r="E226" s="2" t="n">
        <v>45744.0</v>
      </c>
      <c r="F226" s="2" t="n">
        <v>45774.0</v>
      </c>
      <c r="G226" s="2" t="n">
        <v>45749.0</v>
      </c>
      <c r="H226" s="3" t="n">
        <v>700.0</v>
      </c>
      <c r="I226"/>
      <c r="J226"/>
      <c r="K226"/>
      <c r="L226"/>
      <c r="M226"/>
      <c r="N226"/>
      <c r="O226" s="3" t="n">
        <v>700.0</v>
      </c>
    </row>
    <row r="227">
      <c r="A227" t="n">
        <v>30.0</v>
      </c>
      <c r="B227" t="inlineStr">
        <is>
          <t>LEASE-BH-F27-2025</t>
        </is>
      </c>
      <c r="C227" t="inlineStr">
        <is>
          <t>Flat 27 - 3 West Gate</t>
        </is>
      </c>
      <c r="D227" s="2" t="n">
        <v>45775.0</v>
      </c>
      <c r="E227" s="2" t="n">
        <v>45775.0</v>
      </c>
      <c r="F227" s="2" t="n">
        <v>45804.0</v>
      </c>
      <c r="G227" s="2" t="n">
        <v>45779.0</v>
      </c>
      <c r="H227" s="3" t="n">
        <v>700.0</v>
      </c>
      <c r="I227"/>
      <c r="J227"/>
      <c r="K227"/>
      <c r="L227"/>
      <c r="M227"/>
      <c r="N227"/>
      <c r="O227" s="3" t="n">
        <v>700.0</v>
      </c>
    </row>
    <row r="228">
      <c r="A228" t="n">
        <v>30.0</v>
      </c>
      <c r="B228" t="inlineStr">
        <is>
          <t>LEASE-BH-F27-2025</t>
        </is>
      </c>
      <c r="C228" t="inlineStr">
        <is>
          <t>Flat 27 - 3 West Gate</t>
        </is>
      </c>
      <c r="D228" s="2" t="n">
        <v>45805.0</v>
      </c>
      <c r="E228" s="2" t="n">
        <v>45805.0</v>
      </c>
      <c r="F228" s="2" t="n">
        <v>45835.0</v>
      </c>
      <c r="G228" s="2" t="n">
        <v>45810.0</v>
      </c>
      <c r="H228" s="3" t="n">
        <v>700.0</v>
      </c>
      <c r="I228"/>
      <c r="J228"/>
      <c r="K228"/>
      <c r="L228"/>
      <c r="M228"/>
      <c r="N228"/>
      <c r="O228" s="3" t="n">
        <v>700.0</v>
      </c>
    </row>
    <row r="229">
      <c r="A229" t="n">
        <v>30.0</v>
      </c>
      <c r="B229" t="inlineStr">
        <is>
          <t>LEASE-BH-F27-2025</t>
        </is>
      </c>
      <c r="C229" t="inlineStr">
        <is>
          <t>Flat 27 - 3 West Gate</t>
        </is>
      </c>
      <c r="D229" s="2" t="n">
        <v>45836.0</v>
      </c>
      <c r="E229" s="2" t="n">
        <v>45836.0</v>
      </c>
      <c r="F229" s="2" t="n">
        <v>45865.0</v>
      </c>
      <c r="G229" s="2" t="n">
        <v>45860.0</v>
      </c>
      <c r="H229" s="3" t="n">
        <v>700.0</v>
      </c>
      <c r="I229"/>
      <c r="J229"/>
      <c r="K229"/>
      <c r="L229"/>
      <c r="M229"/>
      <c r="N229"/>
      <c r="O229" s="3" t="n">
        <v>700.0</v>
      </c>
    </row>
    <row r="230">
      <c r="A230" t="n">
        <v>30.0</v>
      </c>
      <c r="B230" t="inlineStr">
        <is>
          <t>LEASE-BH-F27-2025</t>
        </is>
      </c>
      <c r="C230" t="inlineStr">
        <is>
          <t>Flat 27 - 3 West Gate</t>
        </is>
      </c>
      <c r="D230" s="2" t="n">
        <v>45866.0</v>
      </c>
      <c r="E230" s="2" t="n">
        <v>45866.0</v>
      </c>
      <c r="F230" s="2" t="n">
        <v>45896.0</v>
      </c>
      <c r="G230" s="2" t="n">
        <v>45877.0</v>
      </c>
      <c r="H230" s="3" t="n">
        <v>700.0</v>
      </c>
      <c r="I230"/>
      <c r="J230"/>
      <c r="K230"/>
      <c r="L230"/>
      <c r="M230"/>
      <c r="N230"/>
      <c r="O230" s="3" t="n">
        <v>700.0</v>
      </c>
    </row>
    <row r="231">
      <c r="A231" t="n">
        <v>30.0</v>
      </c>
      <c r="B231" t="inlineStr">
        <is>
          <t>LEASE-BH-F27-2025</t>
        </is>
      </c>
      <c r="C231" t="inlineStr">
        <is>
          <t>Flat 27 - 3 West Gate</t>
        </is>
      </c>
      <c r="D231" s="2" t="n">
        <v>45897.0</v>
      </c>
      <c r="E231" s="2" t="n">
        <v>45897.0</v>
      </c>
      <c r="F231" s="2" t="n">
        <v>45927.0</v>
      </c>
      <c r="G231" s="2" t="n">
        <v>45902.0</v>
      </c>
      <c r="H231" s="3" t="n">
        <v>700.0</v>
      </c>
      <c r="I231"/>
      <c r="J231"/>
      <c r="K231"/>
      <c r="L231"/>
      <c r="M231"/>
      <c r="N231"/>
      <c r="O231" s="3" t="n">
        <v>700.0</v>
      </c>
    </row>
    <row r="232">
      <c r="A232" t="n">
        <v>30.0</v>
      </c>
      <c r="B232" t="inlineStr">
        <is>
          <t>LEASE-BH-F27-2025</t>
        </is>
      </c>
      <c r="C232" t="inlineStr">
        <is>
          <t>Flat 27 - 3 West Gate</t>
        </is>
      </c>
      <c r="D232" s="2" t="n">
        <v>45928.0</v>
      </c>
      <c r="E232" s="2" t="n">
        <v>45928.0</v>
      </c>
      <c r="F232" s="2" t="n">
        <v>45957.0</v>
      </c>
      <c r="G232" s="2" t="n">
        <v>45936.0</v>
      </c>
      <c r="H232" s="3" t="n">
        <v>700.0</v>
      </c>
      <c r="I232"/>
      <c r="J232"/>
      <c r="K232"/>
      <c r="L232"/>
      <c r="M232"/>
      <c r="N232"/>
      <c r="O232" s="3" t="n">
        <v>700.0</v>
      </c>
    </row>
    <row r="233">
      <c r="A233" t="n">
        <v>30.0</v>
      </c>
      <c r="B233" t="inlineStr">
        <is>
          <t>LEASE-BH-F27-2025</t>
        </is>
      </c>
      <c r="C233" t="inlineStr">
        <is>
          <t>Flat 27 - 3 West Gate</t>
        </is>
      </c>
      <c r="D233" s="2" t="n">
        <v>45958.0</v>
      </c>
      <c r="E233" s="2" t="n">
        <v>45958.0</v>
      </c>
      <c r="F233" s="2" t="n">
        <v>45988.0</v>
      </c>
      <c r="G233" s="2" t="n">
        <v>45982.0</v>
      </c>
      <c r="H233" s="3" t="n">
        <v>700.0</v>
      </c>
      <c r="I233"/>
      <c r="J233"/>
      <c r="K233"/>
      <c r="L233"/>
      <c r="M233"/>
      <c r="N233"/>
      <c r="O233" s="3" t="n">
        <v>700.0</v>
      </c>
    </row>
    <row r="234">
      <c r="A234" t="n">
        <v>31.0</v>
      </c>
      <c r="B234" t="inlineStr">
        <is>
          <t>LEASE-BH-F28-2025</t>
        </is>
      </c>
      <c r="C234" t="inlineStr">
        <is>
          <t>Flat 28 - 3 West Gate</t>
        </is>
      </c>
      <c r="D234" s="2" t="n">
        <v>45744.0</v>
      </c>
      <c r="E234" s="2" t="n">
        <v>45744.0</v>
      </c>
      <c r="F234" s="2" t="n">
        <v>45774.0</v>
      </c>
      <c r="G234" s="2" t="n">
        <v>45747.0</v>
      </c>
      <c r="H234" s="3" t="n">
        <v>740.0</v>
      </c>
      <c r="I234"/>
      <c r="J234"/>
      <c r="K234"/>
      <c r="L234"/>
      <c r="M234"/>
      <c r="N234"/>
      <c r="O234" s="3" t="n">
        <v>740.0</v>
      </c>
    </row>
    <row r="235">
      <c r="A235" t="n">
        <v>31.0</v>
      </c>
      <c r="B235" t="inlineStr">
        <is>
          <t>LEASE-BH-F28-2025</t>
        </is>
      </c>
      <c r="C235" t="inlineStr">
        <is>
          <t>Flat 28 - 3 West Gate</t>
        </is>
      </c>
      <c r="D235" s="2" t="n">
        <v>45775.0</v>
      </c>
      <c r="E235" s="2" t="n">
        <v>45775.0</v>
      </c>
      <c r="F235" s="2" t="n">
        <v>45804.0</v>
      </c>
      <c r="G235" s="2" t="n">
        <v>45776.0</v>
      </c>
      <c r="H235" s="3" t="n">
        <v>740.0</v>
      </c>
      <c r="I235"/>
      <c r="J235"/>
      <c r="K235"/>
      <c r="L235"/>
      <c r="M235"/>
      <c r="N235"/>
      <c r="O235" s="3" t="n">
        <v>740.0</v>
      </c>
    </row>
    <row r="236">
      <c r="A236" t="n">
        <v>31.0</v>
      </c>
      <c r="B236" t="inlineStr">
        <is>
          <t>LEASE-BH-F28-2025</t>
        </is>
      </c>
      <c r="C236" t="inlineStr">
        <is>
          <t>Flat 28 - 3 West Gate</t>
        </is>
      </c>
      <c r="D236" s="2" t="n">
        <v>45805.0</v>
      </c>
      <c r="E236" s="2" t="n">
        <v>45805.0</v>
      </c>
      <c r="F236" s="2" t="n">
        <v>45835.0</v>
      </c>
      <c r="G236" s="2" t="n">
        <v>45806.0</v>
      </c>
      <c r="H236" s="3" t="n">
        <v>740.0</v>
      </c>
      <c r="I236"/>
      <c r="J236"/>
      <c r="K236"/>
      <c r="L236"/>
      <c r="M236"/>
      <c r="N236"/>
      <c r="O236" s="3" t="n">
        <v>740.0</v>
      </c>
    </row>
    <row r="237">
      <c r="A237" t="n">
        <v>31.0</v>
      </c>
      <c r="B237" t="inlineStr">
        <is>
          <t>LEASE-BH-F28-2025</t>
        </is>
      </c>
      <c r="C237" t="inlineStr">
        <is>
          <t>Flat 28 - 3 West Gate</t>
        </is>
      </c>
      <c r="D237" s="2" t="n">
        <v>45836.0</v>
      </c>
      <c r="E237" s="2" t="n">
        <v>45836.0</v>
      </c>
      <c r="F237" s="2" t="n">
        <v>45865.0</v>
      </c>
      <c r="G237" s="2" t="n">
        <v>45839.0</v>
      </c>
      <c r="H237" s="3" t="n">
        <v>740.0</v>
      </c>
      <c r="I237"/>
      <c r="J237"/>
      <c r="K237"/>
      <c r="L237"/>
      <c r="M237"/>
      <c r="N237"/>
      <c r="O237" s="3" t="n">
        <v>740.0</v>
      </c>
    </row>
    <row r="238">
      <c r="A238" t="n">
        <v>31.0</v>
      </c>
      <c r="B238" t="inlineStr">
        <is>
          <t>LEASE-BH-F28-2025</t>
        </is>
      </c>
      <c r="C238" t="inlineStr">
        <is>
          <t>Flat 28 - 3 West Gate</t>
        </is>
      </c>
      <c r="D238" s="2" t="n">
        <v>45866.0</v>
      </c>
      <c r="E238" s="2" t="n">
        <v>45866.0</v>
      </c>
      <c r="F238" s="2" t="n">
        <v>45896.0</v>
      </c>
      <c r="G238" s="2" t="n">
        <v>45868.0</v>
      </c>
      <c r="H238" s="3" t="n">
        <v>740.0</v>
      </c>
      <c r="I238"/>
      <c r="J238"/>
      <c r="K238"/>
      <c r="L238"/>
      <c r="M238"/>
      <c r="N238"/>
      <c r="O238" s="3" t="n">
        <v>740.0</v>
      </c>
    </row>
    <row r="239">
      <c r="A239" t="n">
        <v>31.0</v>
      </c>
      <c r="B239" t="inlineStr">
        <is>
          <t>LEASE-BH-F28-2025</t>
        </is>
      </c>
      <c r="C239" t="inlineStr">
        <is>
          <t>Flat 28 - 3 West Gate</t>
        </is>
      </c>
      <c r="D239" s="2" t="n">
        <v>45897.0</v>
      </c>
      <c r="E239" s="2" t="n">
        <v>45897.0</v>
      </c>
      <c r="F239" s="2" t="n">
        <v>45927.0</v>
      </c>
      <c r="G239" s="2" t="n">
        <v>45899.0</v>
      </c>
      <c r="H239" s="3" t="n">
        <v>740.0</v>
      </c>
      <c r="I239"/>
      <c r="J239"/>
      <c r="K239"/>
      <c r="L239"/>
      <c r="M239"/>
      <c r="N239"/>
      <c r="O239" s="3" t="n">
        <v>740.0</v>
      </c>
    </row>
    <row r="240">
      <c r="A240" t="n">
        <v>32.0</v>
      </c>
      <c r="B240" t="inlineStr">
        <is>
          <t>LEASE-BH-F29-2025</t>
        </is>
      </c>
      <c r="C240" t="inlineStr">
        <is>
          <t>Flat 29 - 3 West Gate</t>
        </is>
      </c>
      <c r="D240" s="2" t="n">
        <v>45715.0</v>
      </c>
      <c r="E240" s="2" t="n">
        <v>45715.0</v>
      </c>
      <c r="F240" s="2" t="n">
        <v>45742.0</v>
      </c>
      <c r="G240" s="2" t="n">
        <v>45719.0</v>
      </c>
      <c r="H240" s="3" t="n">
        <v>740.0</v>
      </c>
      <c r="I240"/>
      <c r="J240"/>
      <c r="K240"/>
      <c r="L240"/>
      <c r="M240"/>
      <c r="N240"/>
      <c r="O240" s="3" t="n">
        <v>740.0</v>
      </c>
    </row>
    <row r="241">
      <c r="A241" t="n">
        <v>32.0</v>
      </c>
      <c r="B241" t="inlineStr">
        <is>
          <t>LEASE-BH-F29-2025</t>
        </is>
      </c>
      <c r="C241" t="inlineStr">
        <is>
          <t>Flat 29 - 3 West Gate</t>
        </is>
      </c>
      <c r="D241" s="2" t="n">
        <v>45743.0</v>
      </c>
      <c r="E241" s="2" t="n">
        <v>45743.0</v>
      </c>
      <c r="F241" s="2" t="n">
        <v>45773.0</v>
      </c>
      <c r="G241" s="2" t="n">
        <v>45749.0</v>
      </c>
      <c r="H241" s="3" t="n">
        <v>740.0</v>
      </c>
      <c r="I241"/>
      <c r="J241"/>
      <c r="K241"/>
      <c r="L241"/>
      <c r="M241"/>
      <c r="N241"/>
      <c r="O241" s="3" t="n">
        <v>740.0</v>
      </c>
    </row>
    <row r="242">
      <c r="A242" t="n">
        <v>32.0</v>
      </c>
      <c r="B242" t="inlineStr">
        <is>
          <t>LEASE-BH-F29-2025</t>
        </is>
      </c>
      <c r="C242" t="inlineStr">
        <is>
          <t>Flat 29 - 3 West Gate</t>
        </is>
      </c>
      <c r="D242" s="2" t="n">
        <v>45774.0</v>
      </c>
      <c r="E242" s="2" t="n">
        <v>45774.0</v>
      </c>
      <c r="F242" s="2" t="n">
        <v>45803.0</v>
      </c>
      <c r="G242" s="2" t="n">
        <v>45779.0</v>
      </c>
      <c r="H242" s="3" t="n">
        <v>740.0</v>
      </c>
      <c r="I242"/>
      <c r="J242"/>
      <c r="K242"/>
      <c r="L242"/>
      <c r="M242"/>
      <c r="N242"/>
      <c r="O242" s="3" t="n">
        <v>740.0</v>
      </c>
    </row>
    <row r="243">
      <c r="A243" t="n">
        <v>32.0</v>
      </c>
      <c r="B243" t="inlineStr">
        <is>
          <t>LEASE-BH-F29-2025</t>
        </is>
      </c>
      <c r="C243" t="inlineStr">
        <is>
          <t>Flat 29 - 3 West Gate</t>
        </is>
      </c>
      <c r="D243" s="2" t="n">
        <v>45804.0</v>
      </c>
      <c r="E243" s="2" t="n">
        <v>45804.0</v>
      </c>
      <c r="F243" s="2" t="n">
        <v>45834.0</v>
      </c>
      <c r="G243" s="2" t="n">
        <v>45810.0</v>
      </c>
      <c r="H243" s="3" t="n">
        <v>740.0</v>
      </c>
      <c r="I243"/>
      <c r="J243"/>
      <c r="K243"/>
      <c r="L243"/>
      <c r="M243"/>
      <c r="N243"/>
      <c r="O243" s="3" t="n">
        <v>740.0</v>
      </c>
    </row>
    <row r="244">
      <c r="A244" t="n">
        <v>32.0</v>
      </c>
      <c r="B244" t="inlineStr">
        <is>
          <t>LEASE-BH-F29-2025</t>
        </is>
      </c>
      <c r="C244" t="inlineStr">
        <is>
          <t>Flat 29 - 3 West Gate</t>
        </is>
      </c>
      <c r="D244" s="2" t="n">
        <v>45835.0</v>
      </c>
      <c r="E244" s="2" t="n">
        <v>45835.0</v>
      </c>
      <c r="F244" s="2" t="n">
        <v>45864.0</v>
      </c>
      <c r="G244" s="2" t="n">
        <v>45840.0</v>
      </c>
      <c r="H244" s="3" t="n">
        <v>740.0</v>
      </c>
      <c r="I244"/>
      <c r="J244"/>
      <c r="K244"/>
      <c r="L244"/>
      <c r="M244"/>
      <c r="N244"/>
      <c r="O244" s="3" t="n">
        <v>740.0</v>
      </c>
    </row>
    <row r="245">
      <c r="A245" t="n">
        <v>32.0</v>
      </c>
      <c r="B245" t="inlineStr">
        <is>
          <t>LEASE-BH-F29-2025</t>
        </is>
      </c>
      <c r="C245" t="inlineStr">
        <is>
          <t>Flat 29 - 3 West Gate</t>
        </is>
      </c>
      <c r="D245" s="2" t="n">
        <v>45865.0</v>
      </c>
      <c r="E245" s="2" t="n">
        <v>45865.0</v>
      </c>
      <c r="F245" s="2" t="n">
        <v>45895.0</v>
      </c>
      <c r="G245" s="2" t="n">
        <v>45877.0</v>
      </c>
      <c r="H245" s="3" t="n">
        <v>740.0</v>
      </c>
      <c r="I245"/>
      <c r="J245"/>
      <c r="K245"/>
      <c r="L245"/>
      <c r="M245"/>
      <c r="N245"/>
      <c r="O245" s="3" t="n">
        <v>740.0</v>
      </c>
    </row>
    <row r="246">
      <c r="A246" t="n">
        <v>32.0</v>
      </c>
      <c r="B246" t="inlineStr">
        <is>
          <t>LEASE-BH-F29-2025</t>
        </is>
      </c>
      <c r="C246" t="inlineStr">
        <is>
          <t>Flat 29 - 3 West Gate</t>
        </is>
      </c>
      <c r="D246" s="2" t="n">
        <v>45896.0</v>
      </c>
      <c r="E246" s="2" t="n">
        <v>45896.0</v>
      </c>
      <c r="F246" s="2" t="n">
        <v>45926.0</v>
      </c>
      <c r="G246" s="2" t="n">
        <v>45902.0</v>
      </c>
      <c r="H246" s="3" t="n">
        <v>740.0</v>
      </c>
      <c r="I246"/>
      <c r="J246"/>
      <c r="K246"/>
      <c r="L246"/>
      <c r="M246"/>
      <c r="N246"/>
      <c r="O246" s="3" t="n">
        <v>740.0</v>
      </c>
    </row>
    <row r="247">
      <c r="A247" t="n">
        <v>32.0</v>
      </c>
      <c r="B247" t="inlineStr">
        <is>
          <t>LEASE-BH-F29-2025</t>
        </is>
      </c>
      <c r="C247" t="inlineStr">
        <is>
          <t>Flat 29 - 3 West Gate</t>
        </is>
      </c>
      <c r="D247" s="2" t="n">
        <v>45927.0</v>
      </c>
      <c r="E247" s="2" t="n">
        <v>45927.0</v>
      </c>
      <c r="F247" s="2" t="n">
        <v>45956.0</v>
      </c>
      <c r="G247" s="2" t="n">
        <v>45936.0</v>
      </c>
      <c r="H247" s="3" t="n">
        <v>740.0</v>
      </c>
      <c r="I247"/>
      <c r="J247"/>
      <c r="K247"/>
      <c r="L247"/>
      <c r="M247"/>
      <c r="N247"/>
      <c r="O247" s="3" t="n">
        <v>740.0</v>
      </c>
    </row>
    <row r="248">
      <c r="A248" t="n">
        <v>32.0</v>
      </c>
      <c r="B248" t="inlineStr">
        <is>
          <t>LEASE-BH-F29-2025</t>
        </is>
      </c>
      <c r="C248" t="inlineStr">
        <is>
          <t>Flat 29 - 3 West Gate</t>
        </is>
      </c>
      <c r="D248" s="2" t="n">
        <v>45957.0</v>
      </c>
      <c r="E248" s="2" t="n">
        <v>45957.0</v>
      </c>
      <c r="F248" s="2" t="n">
        <v>45987.0</v>
      </c>
      <c r="G248" s="2" t="n">
        <v>45982.0</v>
      </c>
      <c r="H248" s="3" t="n">
        <v>740.0</v>
      </c>
      <c r="I248"/>
      <c r="J248"/>
      <c r="K248"/>
      <c r="L248"/>
      <c r="M248"/>
      <c r="N248"/>
      <c r="O248" s="3" t="n">
        <v>740.0</v>
      </c>
    </row>
    <row r="249">
      <c r="A249" t="n">
        <v>33.0</v>
      </c>
      <c r="B249" t="inlineStr">
        <is>
          <t>LEASE-BH-F30-2025</t>
        </is>
      </c>
      <c r="C249" t="inlineStr">
        <is>
          <t>Flat 30 - 3 West Gate</t>
        </is>
      </c>
      <c r="D249" s="2" t="n">
        <v>45722.0</v>
      </c>
      <c r="E249" s="2" t="n">
        <v>45722.0</v>
      </c>
      <c r="F249" s="2" t="n">
        <v>45752.0</v>
      </c>
      <c r="G249" s="2" t="n">
        <v>45726.0</v>
      </c>
      <c r="H249" s="3" t="n">
        <v>740.0</v>
      </c>
      <c r="I249"/>
      <c r="J249"/>
      <c r="K249"/>
      <c r="L249"/>
      <c r="M249"/>
      <c r="N249"/>
      <c r="O249" s="3" t="n">
        <v>740.0</v>
      </c>
    </row>
    <row r="250">
      <c r="A250" t="n">
        <v>33.0</v>
      </c>
      <c r="B250" t="inlineStr">
        <is>
          <t>LEASE-BH-F30-2025</t>
        </is>
      </c>
      <c r="C250" t="inlineStr">
        <is>
          <t>Flat 30 - 3 West Gate</t>
        </is>
      </c>
      <c r="D250" s="2" t="n">
        <v>45753.0</v>
      </c>
      <c r="E250" s="2" t="n">
        <v>45753.0</v>
      </c>
      <c r="F250" s="2" t="n">
        <v>45782.0</v>
      </c>
      <c r="G250" s="2" t="n">
        <v>45757.0</v>
      </c>
      <c r="H250" s="3" t="n">
        <v>740.0</v>
      </c>
      <c r="I250"/>
      <c r="J250"/>
      <c r="K250"/>
      <c r="L250"/>
      <c r="M250"/>
      <c r="N250"/>
      <c r="O250" s="3" t="n">
        <v>740.0</v>
      </c>
    </row>
    <row r="251">
      <c r="A251" t="n">
        <v>33.0</v>
      </c>
      <c r="B251" t="inlineStr">
        <is>
          <t>LEASE-BH-F30-2025</t>
        </is>
      </c>
      <c r="C251" t="inlineStr">
        <is>
          <t>Flat 30 - 3 West Gate</t>
        </is>
      </c>
      <c r="D251" s="2" t="n">
        <v>45783.0</v>
      </c>
      <c r="E251" s="2" t="n">
        <v>45783.0</v>
      </c>
      <c r="F251" s="2" t="n">
        <v>45813.0</v>
      </c>
      <c r="G251" s="2" t="n">
        <v>45789.0</v>
      </c>
      <c r="H251" s="3" t="n">
        <v>740.0</v>
      </c>
      <c r="I251"/>
      <c r="J251"/>
      <c r="K251"/>
      <c r="L251"/>
      <c r="M251"/>
      <c r="N251"/>
      <c r="O251" s="3" t="n">
        <v>740.0</v>
      </c>
    </row>
    <row r="252">
      <c r="A252" t="n">
        <v>33.0</v>
      </c>
      <c r="B252" t="inlineStr">
        <is>
          <t>LEASE-BH-F30-2025</t>
        </is>
      </c>
      <c r="C252" t="inlineStr">
        <is>
          <t>Flat 30 - 3 West Gate</t>
        </is>
      </c>
      <c r="D252" s="2" t="n">
        <v>45814.0</v>
      </c>
      <c r="E252" s="2" t="n">
        <v>45814.0</v>
      </c>
      <c r="F252" s="2" t="n">
        <v>45843.0</v>
      </c>
      <c r="G252" s="2" t="n">
        <v>45818.0</v>
      </c>
      <c r="H252" s="3" t="n">
        <v>740.0</v>
      </c>
      <c r="I252"/>
      <c r="J252"/>
      <c r="K252"/>
      <c r="L252"/>
      <c r="M252"/>
      <c r="N252"/>
      <c r="O252" s="3" t="n">
        <v>740.0</v>
      </c>
    </row>
    <row r="253">
      <c r="A253" t="n">
        <v>33.0</v>
      </c>
      <c r="B253" t="inlineStr">
        <is>
          <t>LEASE-BH-F30-2025</t>
        </is>
      </c>
      <c r="C253" t="inlineStr">
        <is>
          <t>Flat 30 - 3 West Gate</t>
        </is>
      </c>
      <c r="D253" s="2" t="n">
        <v>45844.0</v>
      </c>
      <c r="E253" s="2" t="n">
        <v>45844.0</v>
      </c>
      <c r="F253" s="2" t="n">
        <v>45874.0</v>
      </c>
      <c r="G253" s="2" t="n">
        <v>45850.0</v>
      </c>
      <c r="H253" s="3" t="n">
        <v>740.0</v>
      </c>
      <c r="I253"/>
      <c r="J253"/>
      <c r="K253"/>
      <c r="L253"/>
      <c r="M253"/>
      <c r="N253"/>
      <c r="O253" s="3" t="n">
        <v>740.0</v>
      </c>
    </row>
    <row r="254">
      <c r="A254" t="n">
        <v>33.0</v>
      </c>
      <c r="B254" t="inlineStr">
        <is>
          <t>LEASE-BH-F30-2025</t>
        </is>
      </c>
      <c r="C254" t="inlineStr">
        <is>
          <t>Flat 30 - 3 West Gate</t>
        </is>
      </c>
      <c r="D254" s="2" t="n">
        <v>45875.0</v>
      </c>
      <c r="E254" s="2" t="n">
        <v>45875.0</v>
      </c>
      <c r="F254" s="2" t="n">
        <v>45905.0</v>
      </c>
      <c r="G254" s="2" t="n">
        <v>45880.0</v>
      </c>
      <c r="H254" s="3" t="n">
        <v>740.0</v>
      </c>
      <c r="I254"/>
      <c r="J254"/>
      <c r="K254"/>
      <c r="L254"/>
      <c r="M254"/>
      <c r="N254"/>
      <c r="O254" s="3" t="n">
        <v>740.0</v>
      </c>
    </row>
    <row r="255">
      <c r="A255" t="n">
        <v>33.0</v>
      </c>
      <c r="B255" t="inlineStr">
        <is>
          <t>LEASE-BH-F30-2025</t>
        </is>
      </c>
      <c r="C255" t="inlineStr">
        <is>
          <t>Flat 30 - 3 West Gate</t>
        </is>
      </c>
      <c r="D255" s="2" t="n">
        <v>45906.0</v>
      </c>
      <c r="E255" s="2" t="n">
        <v>45906.0</v>
      </c>
      <c r="F255" s="2" t="n">
        <v>45935.0</v>
      </c>
      <c r="G255" s="2" t="n">
        <v>45910.0</v>
      </c>
      <c r="H255" s="3" t="n">
        <v>740.0</v>
      </c>
      <c r="I255"/>
      <c r="J255"/>
      <c r="K255"/>
      <c r="L255"/>
      <c r="M255"/>
      <c r="N255"/>
      <c r="O255" s="3" t="n">
        <v>740.0</v>
      </c>
    </row>
    <row r="256">
      <c r="A256" t="n">
        <v>33.0</v>
      </c>
      <c r="B256" t="inlineStr">
        <is>
          <t>LEASE-BH-F30-2025</t>
        </is>
      </c>
      <c r="C256" t="inlineStr">
        <is>
          <t>Flat 30 - 3 West Gate</t>
        </is>
      </c>
      <c r="D256" s="2" t="n">
        <v>45936.0</v>
      </c>
      <c r="E256" s="2" t="n">
        <v>45936.0</v>
      </c>
      <c r="F256" s="2" t="n">
        <v>45966.0</v>
      </c>
      <c r="G256" s="2" t="n">
        <v>45940.0</v>
      </c>
      <c r="H256" s="3" t="n">
        <v>740.0</v>
      </c>
      <c r="I256"/>
      <c r="J256"/>
      <c r="K256"/>
      <c r="L256"/>
      <c r="M256"/>
      <c r="N256"/>
      <c r="O256" s="3" t="n">
        <v>740.0</v>
      </c>
    </row>
    <row r="257">
      <c r="A257" t="n">
        <v>34.0</v>
      </c>
      <c r="B257" t="inlineStr">
        <is>
          <t>LEASE-BH-PS1-2025</t>
        </is>
      </c>
      <c r="C257" t="inlineStr">
        <is>
          <t>Parking Space 1 - 3 West Gate</t>
        </is>
      </c>
      <c r="D257" s="2" t="n">
        <v>45842.0</v>
      </c>
      <c r="E257" s="2" t="n">
        <v>45842.0</v>
      </c>
      <c r="F257" s="2" t="n">
        <v>45872.0</v>
      </c>
      <c r="G257"/>
      <c r="H257"/>
      <c r="I257"/>
      <c r="J257"/>
      <c r="K257"/>
      <c r="L257"/>
      <c r="M257"/>
      <c r="N257"/>
      <c r="O257" s="3" t="n">
        <v>0.0</v>
      </c>
    </row>
    <row r="258">
      <c r="A258" t="n">
        <v>34.0</v>
      </c>
      <c r="B258" t="inlineStr">
        <is>
          <t>LEASE-BH-PS1-2025</t>
        </is>
      </c>
      <c r="C258" t="inlineStr">
        <is>
          <t>Parking Space 1 - 3 West Gate</t>
        </is>
      </c>
      <c r="D258" s="2" t="n">
        <v>45873.0</v>
      </c>
      <c r="E258" s="2" t="n">
        <v>45873.0</v>
      </c>
      <c r="F258" s="2" t="n">
        <v>45903.0</v>
      </c>
      <c r="G258"/>
      <c r="H258"/>
      <c r="I258"/>
      <c r="J258"/>
      <c r="K258"/>
      <c r="L258"/>
      <c r="M258"/>
      <c r="N258"/>
      <c r="O258" s="3" t="n">
        <v>0.0</v>
      </c>
    </row>
    <row r="259">
      <c r="A259" t="n">
        <v>34.0</v>
      </c>
      <c r="B259" t="inlineStr">
        <is>
          <t>LEASE-BH-PS1-2025</t>
        </is>
      </c>
      <c r="C259" t="inlineStr">
        <is>
          <t>Parking Space 1 - 3 West Gate</t>
        </is>
      </c>
      <c r="D259" s="2" t="n">
        <v>45904.0</v>
      </c>
      <c r="E259" s="2" t="n">
        <v>45904.0</v>
      </c>
      <c r="F259" s="2" t="n">
        <v>45933.0</v>
      </c>
      <c r="G259"/>
      <c r="H259"/>
      <c r="I259"/>
      <c r="J259"/>
      <c r="K259"/>
      <c r="L259"/>
      <c r="M259"/>
      <c r="N259"/>
      <c r="O259" s="3" t="n">
        <v>0.0</v>
      </c>
    </row>
    <row r="260">
      <c r="A260" t="n">
        <v>34.0</v>
      </c>
      <c r="B260" t="inlineStr">
        <is>
          <t>LEASE-BH-PS1-2025</t>
        </is>
      </c>
      <c r="C260" t="inlineStr">
        <is>
          <t>Parking Space 1 - 3 West Gate</t>
        </is>
      </c>
      <c r="D260" s="2" t="n">
        <v>45934.0</v>
      </c>
      <c r="E260" s="2" t="n">
        <v>45934.0</v>
      </c>
      <c r="F260" s="2" t="n">
        <v>45964.0</v>
      </c>
      <c r="G260"/>
      <c r="H260"/>
      <c r="I260"/>
      <c r="J260"/>
      <c r="K260"/>
      <c r="L260"/>
      <c r="M260"/>
      <c r="N260"/>
      <c r="O260" s="3" t="n">
        <v>0.0</v>
      </c>
    </row>
    <row r="261">
      <c r="A261" t="n">
        <v>34.0</v>
      </c>
      <c r="B261" t="inlineStr">
        <is>
          <t>LEASE-BH-PS1-2025</t>
        </is>
      </c>
      <c r="C261" t="inlineStr">
        <is>
          <t>Parking Space 1 - 3 West Gate</t>
        </is>
      </c>
      <c r="D261" s="2" t="n">
        <v>45965.0</v>
      </c>
      <c r="E261" s="2" t="n">
        <v>45965.0</v>
      </c>
      <c r="F261" s="2" t="n">
        <v>45994.0</v>
      </c>
      <c r="G261"/>
      <c r="H261"/>
      <c r="I261"/>
      <c r="J261"/>
      <c r="K261"/>
      <c r="L261"/>
      <c r="M261"/>
      <c r="N261"/>
      <c r="O261" s="3" t="n">
        <v>0.0</v>
      </c>
    </row>
    <row r="262">
      <c r="A262" t="n">
        <v>35.0</v>
      </c>
      <c r="B262" t="inlineStr">
        <is>
          <t>LEASE-BH-PS2-2025</t>
        </is>
      </c>
      <c r="C262" t="inlineStr">
        <is>
          <t>Parking Space 2 - 3 West Gate</t>
        </is>
      </c>
      <c r="D262" s="2" t="n">
        <v>45852.0</v>
      </c>
      <c r="E262" s="2" t="n">
        <v>45852.0</v>
      </c>
      <c r="F262" s="2" t="n">
        <v>45882.0</v>
      </c>
      <c r="G262"/>
      <c r="H262"/>
      <c r="I262"/>
      <c r="J262"/>
      <c r="K262"/>
      <c r="L262"/>
      <c r="M262"/>
      <c r="N262"/>
      <c r="O262" s="3" t="n">
        <v>0.0</v>
      </c>
    </row>
    <row r="263">
      <c r="A263" t="n">
        <v>35.0</v>
      </c>
      <c r="B263" t="inlineStr">
        <is>
          <t>LEASE-BH-PS2-2025</t>
        </is>
      </c>
      <c r="C263" t="inlineStr">
        <is>
          <t>Parking Space 2 - 3 West Gate</t>
        </is>
      </c>
      <c r="D263" s="2" t="n">
        <v>45883.0</v>
      </c>
      <c r="E263" s="2" t="n">
        <v>45883.0</v>
      </c>
      <c r="F263" s="2" t="n">
        <v>45913.0</v>
      </c>
      <c r="G263"/>
      <c r="H263"/>
      <c r="I263"/>
      <c r="J263"/>
      <c r="K263"/>
      <c r="L263"/>
      <c r="M263"/>
      <c r="N263"/>
      <c r="O263" s="3" t="n">
        <v>0.0</v>
      </c>
    </row>
    <row r="264">
      <c r="A264" t="n">
        <v>35.0</v>
      </c>
      <c r="B264" t="inlineStr">
        <is>
          <t>LEASE-BH-PS2-2025</t>
        </is>
      </c>
      <c r="C264" t="inlineStr">
        <is>
          <t>Parking Space 2 - 3 West Gate</t>
        </is>
      </c>
      <c r="D264" s="2" t="n">
        <v>45914.0</v>
      </c>
      <c r="E264" s="2" t="n">
        <v>45914.0</v>
      </c>
      <c r="F264" s="2" t="n">
        <v>45943.0</v>
      </c>
      <c r="G264"/>
      <c r="H264"/>
      <c r="I264"/>
      <c r="J264"/>
      <c r="K264"/>
      <c r="L264"/>
      <c r="M264"/>
      <c r="N264"/>
      <c r="O264" s="3" t="n">
        <v>0.0</v>
      </c>
    </row>
    <row r="265">
      <c r="A265" t="n">
        <v>35.0</v>
      </c>
      <c r="B265" t="inlineStr">
        <is>
          <t>LEASE-BH-PS2-2025</t>
        </is>
      </c>
      <c r="C265" t="inlineStr">
        <is>
          <t>Parking Space 2 - 3 West Gate</t>
        </is>
      </c>
      <c r="D265" s="2" t="n">
        <v>45944.0</v>
      </c>
      <c r="E265" s="2" t="n">
        <v>45944.0</v>
      </c>
      <c r="F265" s="2" t="n">
        <v>45974.0</v>
      </c>
      <c r="G265"/>
      <c r="H265"/>
      <c r="I265"/>
      <c r="J265"/>
      <c r="K265"/>
      <c r="L265"/>
      <c r="M265"/>
      <c r="N265"/>
      <c r="O265" s="3" t="n">
        <v>0.0</v>
      </c>
    </row>
    <row r="266">
      <c r="A266" t="n">
        <v>35.0</v>
      </c>
      <c r="B266" t="inlineStr">
        <is>
          <t>LEASE-BH-PS2-2025</t>
        </is>
      </c>
      <c r="C266" t="inlineStr">
        <is>
          <t>Parking Space 2 - 3 West Gate</t>
        </is>
      </c>
      <c r="D266" s="2" t="n">
        <v>45975.0</v>
      </c>
      <c r="E266" s="2" t="n">
        <v>45975.0</v>
      </c>
      <c r="F266" s="2" t="n">
        <v>46004.0</v>
      </c>
      <c r="G266"/>
      <c r="H266"/>
      <c r="I266"/>
      <c r="J266"/>
      <c r="K266"/>
      <c r="L266"/>
      <c r="M266"/>
      <c r="N266"/>
      <c r="O266" s="3" t="n">
        <v>0.0</v>
      </c>
    </row>
    <row r="267">
      <c r="A267" t="n">
        <v>36.0</v>
      </c>
      <c r="B267" t="inlineStr">
        <is>
          <t>LEASE-KH-F-2024</t>
        </is>
      </c>
      <c r="C267" t="inlineStr">
        <is>
          <t>Apartment F - Knighton Hayes Manor</t>
        </is>
      </c>
      <c r="D267" s="2" t="n">
        <v>45648.0</v>
      </c>
      <c r="E267" s="2" t="n">
        <v>45648.0</v>
      </c>
      <c r="F267" s="2" t="n">
        <v>45678.0</v>
      </c>
      <c r="G267"/>
      <c r="H267"/>
      <c r="I267"/>
      <c r="J267"/>
      <c r="K267"/>
      <c r="L267"/>
      <c r="M267"/>
      <c r="N267"/>
      <c r="O267" s="3" t="n">
        <v>0.0</v>
      </c>
    </row>
    <row r="268">
      <c r="A268" t="n">
        <v>36.0</v>
      </c>
      <c r="B268" t="inlineStr">
        <is>
          <t>LEASE-KH-F-2024</t>
        </is>
      </c>
      <c r="C268" t="inlineStr">
        <is>
          <t>Apartment F - Knighton Hayes Manor</t>
        </is>
      </c>
      <c r="D268" s="2" t="n">
        <v>45679.0</v>
      </c>
      <c r="E268" s="2" t="n">
        <v>45679.0</v>
      </c>
      <c r="F268" s="2" t="n">
        <v>45709.0</v>
      </c>
      <c r="G268" s="2" t="n">
        <v>45685.0</v>
      </c>
      <c r="H268" s="3" t="n">
        <v>2250.0</v>
      </c>
      <c r="I268"/>
      <c r="J268"/>
      <c r="K268"/>
      <c r="L268"/>
      <c r="M268"/>
      <c r="N268"/>
      <c r="O268" s="3" t="n">
        <v>2250.0</v>
      </c>
    </row>
    <row r="269">
      <c r="A269" t="n">
        <v>36.0</v>
      </c>
      <c r="B269" t="inlineStr">
        <is>
          <t>LEASE-KH-F-2024</t>
        </is>
      </c>
      <c r="C269" t="inlineStr">
        <is>
          <t>Apartment F - Knighton Hayes Manor</t>
        </is>
      </c>
      <c r="D269" s="2" t="n">
        <v>45710.0</v>
      </c>
      <c r="E269" s="2" t="n">
        <v>45710.0</v>
      </c>
      <c r="F269" s="2" t="n">
        <v>45737.0</v>
      </c>
      <c r="G269" s="2" t="n">
        <v>45712.0</v>
      </c>
      <c r="H269" s="3" t="n">
        <v>2250.0</v>
      </c>
      <c r="I269"/>
      <c r="J269"/>
      <c r="K269"/>
      <c r="L269"/>
      <c r="M269"/>
      <c r="N269"/>
      <c r="O269" s="3" t="n">
        <v>2250.0</v>
      </c>
    </row>
    <row r="270">
      <c r="A270" t="n">
        <v>36.0</v>
      </c>
      <c r="B270" t="inlineStr">
        <is>
          <t>LEASE-KH-F-2024</t>
        </is>
      </c>
      <c r="C270" t="inlineStr">
        <is>
          <t>Apartment F - Knighton Hayes Manor</t>
        </is>
      </c>
      <c r="D270" s="2" t="n">
        <v>45738.0</v>
      </c>
      <c r="E270" s="2" t="n">
        <v>45738.0</v>
      </c>
      <c r="F270" s="2" t="n">
        <v>45768.0</v>
      </c>
      <c r="G270" s="2" t="n">
        <v>45765.0</v>
      </c>
      <c r="H270" s="3" t="n">
        <v>1125.0</v>
      </c>
      <c r="I270"/>
      <c r="J270"/>
      <c r="K270"/>
      <c r="L270"/>
      <c r="M270"/>
      <c r="N270"/>
      <c r="O270" s="3" t="n">
        <v>1125.0</v>
      </c>
    </row>
    <row r="271">
      <c r="A271" t="n">
        <v>36.0</v>
      </c>
      <c r="B271" t="inlineStr">
        <is>
          <t>LEASE-KH-F-2024</t>
        </is>
      </c>
      <c r="C271" t="inlineStr">
        <is>
          <t>Apartment F - Knighton Hayes Manor</t>
        </is>
      </c>
      <c r="D271" s="2" t="n">
        <v>45769.0</v>
      </c>
      <c r="E271" s="2" t="n">
        <v>45769.0</v>
      </c>
      <c r="F271" s="2" t="n">
        <v>45798.0</v>
      </c>
      <c r="G271" s="2" t="n">
        <v>45796.0</v>
      </c>
      <c r="H271" s="3" t="n">
        <v>1125.0</v>
      </c>
      <c r="I271"/>
      <c r="J271"/>
      <c r="K271"/>
      <c r="L271"/>
      <c r="M271"/>
      <c r="N271"/>
      <c r="O271" s="3" t="n">
        <v>1125.0</v>
      </c>
    </row>
    <row r="272">
      <c r="A272" t="n">
        <v>36.0</v>
      </c>
      <c r="B272" t="inlineStr">
        <is>
          <t>LEASE-KH-F-2024</t>
        </is>
      </c>
      <c r="C272" t="inlineStr">
        <is>
          <t>Apartment F - Knighton Hayes Manor</t>
        </is>
      </c>
      <c r="D272" s="2" t="n">
        <v>45799.0</v>
      </c>
      <c r="E272" s="2" t="n">
        <v>45799.0</v>
      </c>
      <c r="F272" s="2" t="n">
        <v>45829.0</v>
      </c>
      <c r="G272"/>
      <c r="H272"/>
      <c r="I272"/>
      <c r="J272"/>
      <c r="K272"/>
      <c r="L272"/>
      <c r="M272"/>
      <c r="N272"/>
      <c r="O272" s="3" t="n">
        <v>0.0</v>
      </c>
    </row>
    <row r="273">
      <c r="A273" t="n">
        <v>36.0</v>
      </c>
      <c r="B273" t="inlineStr">
        <is>
          <t>LEASE-KH-F-2024</t>
        </is>
      </c>
      <c r="C273" t="inlineStr">
        <is>
          <t>Apartment F - Knighton Hayes Manor</t>
        </is>
      </c>
      <c r="D273" s="2" t="n">
        <v>45830.0</v>
      </c>
      <c r="E273" s="2" t="n">
        <v>45830.0</v>
      </c>
      <c r="F273" s="2" t="n">
        <v>45859.0</v>
      </c>
      <c r="G273" s="2" t="n">
        <v>45831.0</v>
      </c>
      <c r="H273" s="3" t="n">
        <v>1125.0</v>
      </c>
      <c r="I273"/>
      <c r="J273"/>
      <c r="K273"/>
      <c r="L273"/>
      <c r="M273"/>
      <c r="N273"/>
      <c r="O273" s="3" t="n">
        <v>1125.0</v>
      </c>
    </row>
    <row r="274">
      <c r="A274" t="n">
        <v>36.0</v>
      </c>
      <c r="B274" t="inlineStr">
        <is>
          <t>LEASE-KH-F-2024</t>
        </is>
      </c>
      <c r="C274" t="inlineStr">
        <is>
          <t>Apartment F - Knighton Hayes Manor</t>
        </is>
      </c>
      <c r="D274" s="2" t="n">
        <v>45860.0</v>
      </c>
      <c r="E274" s="2" t="n">
        <v>45860.0</v>
      </c>
      <c r="F274" s="2" t="n">
        <v>45890.0</v>
      </c>
      <c r="G274" s="2" t="n">
        <v>45860.0</v>
      </c>
      <c r="H274" s="3" t="n">
        <v>1125.0</v>
      </c>
      <c r="I274"/>
      <c r="J274"/>
      <c r="K274"/>
      <c r="L274"/>
      <c r="M274"/>
      <c r="N274"/>
      <c r="O274" s="3" t="n">
        <v>1125.0</v>
      </c>
    </row>
    <row r="275">
      <c r="A275" t="n">
        <v>36.0</v>
      </c>
      <c r="B275" t="inlineStr">
        <is>
          <t>LEASE-KH-F-2024</t>
        </is>
      </c>
      <c r="C275" t="inlineStr">
        <is>
          <t>Apartment F - Knighton Hayes Manor</t>
        </is>
      </c>
      <c r="D275" s="2" t="n">
        <v>45891.0</v>
      </c>
      <c r="E275" s="2" t="n">
        <v>45891.0</v>
      </c>
      <c r="F275" s="2" t="n">
        <v>45921.0</v>
      </c>
      <c r="G275" s="2" t="n">
        <v>45891.0</v>
      </c>
      <c r="H275" s="3" t="n">
        <v>1125.0</v>
      </c>
      <c r="I275"/>
      <c r="J275"/>
      <c r="K275"/>
      <c r="L275"/>
      <c r="M275"/>
      <c r="N275"/>
      <c r="O275" s="3" t="n">
        <v>1125.0</v>
      </c>
    </row>
    <row r="276">
      <c r="A276" t="n">
        <v>36.0</v>
      </c>
      <c r="B276" t="inlineStr">
        <is>
          <t>LEASE-KH-F-2024</t>
        </is>
      </c>
      <c r="C276" t="inlineStr">
        <is>
          <t>Apartment F - Knighton Hayes Manor</t>
        </is>
      </c>
      <c r="D276" s="2" t="n">
        <v>45922.0</v>
      </c>
      <c r="E276" s="2" t="n">
        <v>45922.0</v>
      </c>
      <c r="F276" s="2" t="n">
        <v>45951.0</v>
      </c>
      <c r="G276" s="2" t="n">
        <v>45922.0</v>
      </c>
      <c r="H276" s="3" t="n">
        <v>1125.0</v>
      </c>
      <c r="I276"/>
      <c r="J276"/>
      <c r="K276"/>
      <c r="L276"/>
      <c r="M276"/>
      <c r="N276"/>
      <c r="O276" s="3" t="n">
        <v>1125.0</v>
      </c>
    </row>
    <row r="277">
      <c r="A277" t="n">
        <v>36.0</v>
      </c>
      <c r="B277" t="inlineStr">
        <is>
          <t>LEASE-KH-F-2024</t>
        </is>
      </c>
      <c r="C277" t="inlineStr">
        <is>
          <t>Apartment F - Knighton Hayes Manor</t>
        </is>
      </c>
      <c r="D277" s="2" t="n">
        <v>45952.0</v>
      </c>
      <c r="E277" s="2" t="n">
        <v>45952.0</v>
      </c>
      <c r="F277" s="2" t="n">
        <v>45982.0</v>
      </c>
      <c r="G277" s="2" t="n">
        <v>45953.0</v>
      </c>
      <c r="H277" s="3" t="n">
        <v>1125.0</v>
      </c>
      <c r="I277" s="2" t="n">
        <v>45982.0</v>
      </c>
      <c r="J277" s="3" t="n">
        <v>1125.0</v>
      </c>
      <c r="K277"/>
      <c r="L277"/>
      <c r="M277"/>
      <c r="N277"/>
      <c r="O277" s="3" t="n">
        <v>2250.0</v>
      </c>
    </row>
    <row r="278">
      <c r="A278" t="n">
        <v>78.0</v>
      </c>
      <c r="B278" t="inlineStr">
        <is>
          <t>LEASE-BH-F12-2025C</t>
        </is>
      </c>
      <c r="C278" t="inlineStr">
        <is>
          <t>Flat 12 - 3 West Gate</t>
        </is>
      </c>
      <c r="D278" s="2" t="n">
        <v>45940.0</v>
      </c>
      <c r="E278" s="2" t="n">
        <v>45940.0</v>
      </c>
      <c r="F278" s="2" t="n">
        <v>45970.0</v>
      </c>
      <c r="G278" s="2" t="n">
        <v>45953.0</v>
      </c>
      <c r="H278" s="3" t="n">
        <v>795.0</v>
      </c>
      <c r="I278" s="2" t="n">
        <v>45953.0</v>
      </c>
      <c r="J278" s="3" t="n">
        <v>795.0</v>
      </c>
      <c r="K278" s="2" t="n">
        <v>45953.0</v>
      </c>
      <c r="L278" s="3" t="n">
        <v>795.0</v>
      </c>
      <c r="M278" s="2" t="n">
        <v>45953.0</v>
      </c>
      <c r="N278" s="3" t="n">
        <v>795.0</v>
      </c>
      <c r="O278" s="3" t="n">
        <v>3180.0</v>
      </c>
    </row>
    <row r="279">
      <c r="A279" t="n">
        <v>78.0</v>
      </c>
      <c r="B279" t="inlineStr">
        <is>
          <t>LEASE-BH-F12-2025C</t>
        </is>
      </c>
      <c r="C279" t="inlineStr">
        <is>
          <t>Flat 12 - 3 West Gate</t>
        </is>
      </c>
      <c r="D279" s="2" t="n">
        <v>45971.0</v>
      </c>
      <c r="E279" s="2" t="n">
        <v>45971.0</v>
      </c>
      <c r="F279" s="2" t="n">
        <v>46000.0</v>
      </c>
      <c r="G279"/>
      <c r="H279"/>
      <c r="I279"/>
      <c r="J279"/>
      <c r="K279"/>
      <c r="L279"/>
      <c r="M279"/>
      <c r="N279"/>
      <c r="O279" s="3" t="n">
        <v>0.0</v>
      </c>
    </row>
    <row r="280">
      <c r="A280" t="n">
        <v>79.0</v>
      </c>
      <c r="B280" t="inlineStr">
        <is>
          <t>LEASE-BH-F25-2025</t>
        </is>
      </c>
      <c r="C280" t="inlineStr">
        <is>
          <t>Flat 25 - 3 West Gate</t>
        </is>
      </c>
      <c r="D280" s="2" t="n">
        <v>45922.0</v>
      </c>
      <c r="E280" s="2" t="n">
        <v>45922.0</v>
      </c>
      <c r="F280" s="2" t="n">
        <v>45951.0</v>
      </c>
      <c r="G280" s="2" t="n">
        <v>45936.0</v>
      </c>
      <c r="H280" s="3" t="n">
        <v>775.0</v>
      </c>
      <c r="I280"/>
      <c r="J280"/>
      <c r="K280"/>
      <c r="L280"/>
      <c r="M280"/>
      <c r="N280"/>
      <c r="O280" s="3" t="n">
        <v>775.0</v>
      </c>
    </row>
    <row r="281">
      <c r="A281" t="n">
        <v>79.0</v>
      </c>
      <c r="B281" t="inlineStr">
        <is>
          <t>LEASE-BH-F25-2025</t>
        </is>
      </c>
      <c r="C281" t="inlineStr">
        <is>
          <t>Flat 25 - 3 West Gate</t>
        </is>
      </c>
      <c r="D281" s="2" t="n">
        <v>45952.0</v>
      </c>
      <c r="E281" s="2" t="n">
        <v>45952.0</v>
      </c>
      <c r="F281" s="2" t="n">
        <v>45982.0</v>
      </c>
      <c r="G281" s="2" t="n">
        <v>45953.0</v>
      </c>
      <c r="H281" s="3" t="n">
        <v>765.0</v>
      </c>
      <c r="I281" s="2" t="n">
        <v>45982.0</v>
      </c>
      <c r="J281" s="3" t="n">
        <v>765.0</v>
      </c>
      <c r="K281"/>
      <c r="L281"/>
      <c r="M281"/>
      <c r="N281"/>
      <c r="O281" s="3" t="n">
        <v>1530.0</v>
      </c>
    </row>
    <row r="282">
      <c r="A282" t="n">
        <v>86.0</v>
      </c>
      <c r="B282" t="inlineStr">
        <is>
          <t>BODEN-BLOCK-2025</t>
        </is>
      </c>
      <c r="C282" t="inlineStr">
        <is>
          <t>Boden House Block - Block Property</t>
        </is>
      </c>
      <c r="D282" s="2" t="n">
        <v>45717.0</v>
      </c>
      <c r="E282" s="2" t="n">
        <v>45717.0</v>
      </c>
      <c r="F282" s="2" t="n">
        <v>45747.0</v>
      </c>
      <c r="G282"/>
      <c r="H282"/>
      <c r="I282"/>
      <c r="J282"/>
      <c r="K282"/>
      <c r="L282"/>
      <c r="M282"/>
      <c r="N282"/>
      <c r="O282" s="3" t="n">
        <v>0.0</v>
      </c>
    </row>
    <row r="283">
      <c r="A283" t="n">
        <v>86.0</v>
      </c>
      <c r="B283" t="inlineStr">
        <is>
          <t>BODEN-BLOCK-2025</t>
        </is>
      </c>
      <c r="C283" t="inlineStr">
        <is>
          <t>Boden House Block - Block Property</t>
        </is>
      </c>
      <c r="D283" s="2" t="n">
        <v>45748.0</v>
      </c>
      <c r="E283" s="2" t="n">
        <v>45748.0</v>
      </c>
      <c r="F283" s="2" t="n">
        <v>45777.0</v>
      </c>
      <c r="G283"/>
      <c r="H283"/>
      <c r="I283"/>
      <c r="J283"/>
      <c r="K283"/>
      <c r="L283"/>
      <c r="M283"/>
      <c r="N283"/>
      <c r="O283" s="3" t="n">
        <v>0.0</v>
      </c>
    </row>
    <row r="284">
      <c r="A284" t="n">
        <v>86.0</v>
      </c>
      <c r="B284" t="inlineStr">
        <is>
          <t>BODEN-BLOCK-2025</t>
        </is>
      </c>
      <c r="C284" t="inlineStr">
        <is>
          <t>Boden House Block - Block Property</t>
        </is>
      </c>
      <c r="D284" s="2" t="n">
        <v>45778.0</v>
      </c>
      <c r="E284" s="2" t="n">
        <v>45778.0</v>
      </c>
      <c r="F284" s="2" t="n">
        <v>45808.0</v>
      </c>
      <c r="G284"/>
      <c r="H284"/>
      <c r="I284"/>
      <c r="J284"/>
      <c r="K284"/>
      <c r="L284"/>
      <c r="M284"/>
      <c r="N284"/>
      <c r="O284" s="3" t="n">
        <v>0.0</v>
      </c>
    </row>
    <row r="285">
      <c r="A285" t="n">
        <v>86.0</v>
      </c>
      <c r="B285" t="inlineStr">
        <is>
          <t>BODEN-BLOCK-2025</t>
        </is>
      </c>
      <c r="C285" t="inlineStr">
        <is>
          <t>Boden House Block - Block Property</t>
        </is>
      </c>
      <c r="D285" s="2" t="n">
        <v>45809.0</v>
      </c>
      <c r="E285" s="2" t="n">
        <v>45809.0</v>
      </c>
      <c r="F285" s="2" t="n">
        <v>45838.0</v>
      </c>
      <c r="G285"/>
      <c r="H285"/>
      <c r="I285"/>
      <c r="J285"/>
      <c r="K285"/>
      <c r="L285"/>
      <c r="M285"/>
      <c r="N285"/>
      <c r="O285" s="3" t="n">
        <v>0.0</v>
      </c>
    </row>
    <row r="286">
      <c r="A286" t="n">
        <v>86.0</v>
      </c>
      <c r="B286" t="inlineStr">
        <is>
          <t>BODEN-BLOCK-2025</t>
        </is>
      </c>
      <c r="C286" t="inlineStr">
        <is>
          <t>Boden House Block - Block Property</t>
        </is>
      </c>
      <c r="D286" s="2" t="n">
        <v>45839.0</v>
      </c>
      <c r="E286" s="2" t="n">
        <v>45839.0</v>
      </c>
      <c r="F286" s="2" t="n">
        <v>45869.0</v>
      </c>
      <c r="G286"/>
      <c r="H286"/>
      <c r="I286"/>
      <c r="J286"/>
      <c r="K286"/>
      <c r="L286"/>
      <c r="M286"/>
      <c r="N286"/>
      <c r="O286" s="3" t="n">
        <v>0.0</v>
      </c>
    </row>
    <row r="287">
      <c r="A287" t="n">
        <v>86.0</v>
      </c>
      <c r="B287" t="inlineStr">
        <is>
          <t>BODEN-BLOCK-2025</t>
        </is>
      </c>
      <c r="C287" t="inlineStr">
        <is>
          <t>Boden House Block - Block Property</t>
        </is>
      </c>
      <c r="D287" s="2" t="n">
        <v>45870.0</v>
      </c>
      <c r="E287" s="2" t="n">
        <v>45870.0</v>
      </c>
      <c r="F287" s="2" t="n">
        <v>45900.0</v>
      </c>
      <c r="G287"/>
      <c r="H287"/>
      <c r="I287"/>
      <c r="J287"/>
      <c r="K287"/>
      <c r="L287"/>
      <c r="M287"/>
      <c r="N287"/>
      <c r="O287" s="3" t="n">
        <v>0.0</v>
      </c>
    </row>
    <row r="288">
      <c r="A288" t="n">
        <v>86.0</v>
      </c>
      <c r="B288" t="inlineStr">
        <is>
          <t>BODEN-BLOCK-2025</t>
        </is>
      </c>
      <c r="C288" t="inlineStr">
        <is>
          <t>Boden House Block - Block Property</t>
        </is>
      </c>
      <c r="D288" s="2" t="n">
        <v>45901.0</v>
      </c>
      <c r="E288" s="2" t="n">
        <v>45901.0</v>
      </c>
      <c r="F288" s="2" t="n">
        <v>45930.0</v>
      </c>
      <c r="G288"/>
      <c r="H288"/>
      <c r="I288"/>
      <c r="J288"/>
      <c r="K288"/>
      <c r="L288"/>
      <c r="M288"/>
      <c r="N288"/>
      <c r="O288" s="3" t="n">
        <v>0.0</v>
      </c>
    </row>
    <row r="289">
      <c r="A289" t="n">
        <v>86.0</v>
      </c>
      <c r="B289" t="inlineStr">
        <is>
          <t>BODEN-BLOCK-2025</t>
        </is>
      </c>
      <c r="C289" t="inlineStr">
        <is>
          <t>Boden House Block - Block Property</t>
        </is>
      </c>
      <c r="D289" s="2" t="n">
        <v>45931.0</v>
      </c>
      <c r="E289" s="2" t="n">
        <v>45931.0</v>
      </c>
      <c r="F289" s="2" t="n">
        <v>45961.0</v>
      </c>
      <c r="G289"/>
      <c r="H289"/>
      <c r="I289"/>
      <c r="J289"/>
      <c r="K289"/>
      <c r="L289"/>
      <c r="M289"/>
      <c r="N289"/>
      <c r="O289" s="3" t="n">
        <v>0.0</v>
      </c>
    </row>
    <row r="290">
      <c r="A290" t="n">
        <v>86.0</v>
      </c>
      <c r="B290" t="inlineStr">
        <is>
          <t>BODEN-BLOCK-2025</t>
        </is>
      </c>
      <c r="C290" t="inlineStr">
        <is>
          <t>Boden House Block - Block Property</t>
        </is>
      </c>
      <c r="D290" s="2" t="n">
        <v>45962.0</v>
      </c>
      <c r="E290" s="2" t="n">
        <v>45962.0</v>
      </c>
      <c r="F290" s="2" t="n">
        <v>45991.0</v>
      </c>
      <c r="G290" s="2" t="n">
        <v>45982.0</v>
      </c>
      <c r="H290" s="3" t="n">
        <v>120.0</v>
      </c>
      <c r="I290"/>
      <c r="J290"/>
      <c r="K290"/>
      <c r="L290"/>
      <c r="M290"/>
      <c r="N290"/>
      <c r="O290" s="3" t="n">
        <v>120.0</v>
      </c>
    </row>
    <row r="291">
      <c r="A291" t="n">
        <v>88.0</v>
      </c>
      <c r="B291" t="inlineStr">
        <is>
          <t>LEASE-88</t>
        </is>
      </c>
      <c r="C291" t="inlineStr">
        <is>
          <t>Flat 28 - 3 West Gate</t>
        </is>
      </c>
      <c r="D291" s="2" t="n">
        <v>45956.0</v>
      </c>
      <c r="E291" s="2" t="n">
        <v>45956.0</v>
      </c>
      <c r="F291" s="2" t="n">
        <v>45986.0</v>
      </c>
      <c r="G291" s="2" t="n">
        <v>45982.0</v>
      </c>
      <c r="H291" s="3" t="n">
        <v>750.0</v>
      </c>
      <c r="I291"/>
      <c r="J291"/>
      <c r="K291"/>
      <c r="L291"/>
      <c r="M291"/>
      <c r="N291"/>
      <c r="O291" s="3" t="n">
        <v>750.0</v>
      </c>
    </row>
  </sheetData>
  <pageMargins bottom="0.75" footer="0.3" header="0.3" left="0.7" right="0.7" top="0.75"/>
</worksheet>
</file>

<file path=xl/worksheets/sheet5.xml><?xml version="1.0" encoding="utf-8"?>
<worksheet xmlns="http://schemas.openxmlformats.org/spreadsheetml/2006/main">
  <dimension ref="A1:G59"/>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s>
  <sheetData>
    <row r="1">
      <c r="A1" s="1" t="inlineStr">
        <is>
          <t>lease_id</t>
        </is>
      </c>
      <c r="B1" s="1" t="inlineStr">
        <is>
          <t>lease_reference</t>
        </is>
      </c>
      <c r="C1" s="1" t="inlineStr">
        <is>
          <t>property_name</t>
        </is>
      </c>
      <c r="D1" s="1" t="inlineStr">
        <is>
          <t>expense_date</t>
        </is>
      </c>
      <c r="E1" s="1" t="inlineStr">
        <is>
          <t>expense_amount</t>
        </is>
      </c>
      <c r="F1" s="1" t="inlineStr">
        <is>
          <t>expense_category</t>
        </is>
      </c>
      <c r="G1" s="1" t="inlineStr">
        <is>
          <t>expense_description</t>
        </is>
      </c>
    </row>
    <row r="2">
      <c r="A2" t="n">
        <v>4.0</v>
      </c>
      <c r="B2" t="inlineStr">
        <is>
          <t>LEASE-BH-F4-2025</t>
        </is>
      </c>
      <c r="C2" t="inlineStr">
        <is>
          <t>Flat 4 - 3 West Gate</t>
        </is>
      </c>
      <c r="D2" s="2" t="n">
        <v>45982.0</v>
      </c>
      <c r="E2" s="3" t="n">
        <v>150.0</v>
      </c>
      <c r="F2" t="inlineStr">
        <is>
          <t>Disbursement</t>
        </is>
      </c>
      <c r="G2" t="inlineStr">
        <is>
          <t>Beneficiary: BODEN HOUSE BLOCK PROPERTY (beneficiary)</t>
        </is>
      </c>
    </row>
    <row r="3">
      <c r="A3" t="n">
        <v>5.0</v>
      </c>
      <c r="B3" t="inlineStr">
        <is>
          <t>LEASE-BH-F5-2025</t>
        </is>
      </c>
      <c r="C3" t="inlineStr">
        <is>
          <t>Flat 5 - 3 West Gate</t>
        </is>
      </c>
      <c r="D3" s="2" t="n">
        <v>45981.0</v>
      </c>
      <c r="E3" s="3" t="n">
        <v>150.0</v>
      </c>
      <c r="F3" t="inlineStr">
        <is>
          <t>Disbursement</t>
        </is>
      </c>
      <c r="G3" t="inlineStr">
        <is>
          <t>Beneficiary: BODEN HOUSE BLOCK PROPERTY (beneficiary)</t>
        </is>
      </c>
    </row>
    <row r="4">
      <c r="A4" t="n">
        <v>5.0</v>
      </c>
      <c r="B4" t="inlineStr">
        <is>
          <t>LEASE-BH-F5-2025</t>
        </is>
      </c>
      <c r="C4" t="inlineStr">
        <is>
          <t>Flat 5 - 3 West Gate</t>
        </is>
      </c>
      <c r="D4" s="2" t="n">
        <v>45981.0</v>
      </c>
      <c r="E4" s="3" t="n">
        <v>-150.0</v>
      </c>
      <c r="F4" t="inlineStr">
        <is>
          <t>Disbursement</t>
        </is>
      </c>
      <c r="G4" t="inlineStr">
        <is>
          <t>Beneficiary: BODEN HOUSE BLOCK PROPERTY (beneficiary)</t>
        </is>
      </c>
    </row>
    <row r="5">
      <c r="A5" t="n">
        <v>5.0</v>
      </c>
      <c r="B5" t="inlineStr">
        <is>
          <t>LEASE-BH-F5-2025</t>
        </is>
      </c>
      <c r="C5" t="inlineStr">
        <is>
          <t>Flat 5 - 3 West Gate</t>
        </is>
      </c>
      <c r="D5" s="2" t="n">
        <v>45981.0</v>
      </c>
      <c r="E5" s="3" t="n">
        <v>150.0</v>
      </c>
      <c r="F5" t="inlineStr">
        <is>
          <t>Disbursement</t>
        </is>
      </c>
      <c r="G5" t="inlineStr">
        <is>
          <t>Beneficiary: BODEN HOUSE BLOCK PROPERTY (beneficiary)</t>
        </is>
      </c>
    </row>
    <row r="6">
      <c r="A6" t="n">
        <v>6.0</v>
      </c>
      <c r="B6" t="inlineStr">
        <is>
          <t>LEASE-BH-F6-2025</t>
        </is>
      </c>
      <c r="C6" t="inlineStr">
        <is>
          <t>Flat 6 - 3 West Gate</t>
        </is>
      </c>
      <c r="D6" s="2" t="n">
        <v>45982.0</v>
      </c>
      <c r="E6" s="3" t="n">
        <v>150.0</v>
      </c>
      <c r="F6" t="inlineStr">
        <is>
          <t>Disbursement</t>
        </is>
      </c>
      <c r="G6" t="inlineStr">
        <is>
          <t>Beneficiary: BODEN HOUSE BLOCK PROPERTY (beneficiary)</t>
        </is>
      </c>
    </row>
    <row r="7">
      <c r="A7" t="n">
        <v>8.0</v>
      </c>
      <c r="B7" t="inlineStr">
        <is>
          <t>LEASE-BH-F8-2025</t>
        </is>
      </c>
      <c r="C7" t="inlineStr">
        <is>
          <t>Flat 8 - 3 West Gate</t>
        </is>
      </c>
      <c r="D7" s="2" t="n">
        <v>45982.0</v>
      </c>
      <c r="E7" s="3" t="n">
        <v>100.0</v>
      </c>
      <c r="F7" t="inlineStr">
        <is>
          <t>Disbursement</t>
        </is>
      </c>
      <c r="G7" t="inlineStr">
        <is>
          <t>Beneficiary: BODEN HOUSE BLOCK PROPERTY (beneficiary)</t>
        </is>
      </c>
    </row>
    <row r="8">
      <c r="A8" t="n">
        <v>9.0</v>
      </c>
      <c r="B8" t="inlineStr">
        <is>
          <t>LEASE-BH-F9-2025</t>
        </is>
      </c>
      <c r="C8" t="inlineStr">
        <is>
          <t>Flat 9 - 3 West Gate</t>
        </is>
      </c>
      <c r="D8" s="2" t="n">
        <v>45982.0</v>
      </c>
      <c r="E8" s="3" t="n">
        <v>100.0</v>
      </c>
      <c r="F8" t="inlineStr">
        <is>
          <t>Disbursement</t>
        </is>
      </c>
      <c r="G8" t="inlineStr">
        <is>
          <t>Beneficiary: BODEN HOUSE BLOCK PROPERTY (beneficiary)</t>
        </is>
      </c>
    </row>
    <row r="9">
      <c r="A9" t="n">
        <v>11.0</v>
      </c>
      <c r="B9" t="inlineStr">
        <is>
          <t>LEASE-BH-F10-2025B</t>
        </is>
      </c>
      <c r="C9" t="inlineStr">
        <is>
          <t>Flat 10 - 3 West Gate</t>
        </is>
      </c>
      <c r="D9" s="2" t="n">
        <v>45982.0</v>
      </c>
      <c r="E9" s="3" t="n">
        <v>100.0</v>
      </c>
      <c r="F9" t="inlineStr">
        <is>
          <t>Disbursement</t>
        </is>
      </c>
      <c r="G9" t="inlineStr">
        <is>
          <t>Beneficiary: BODEN HOUSE BLOCK PROPERTY (beneficiary)</t>
        </is>
      </c>
    </row>
    <row r="10">
      <c r="A10" t="n">
        <v>11.0</v>
      </c>
      <c r="B10" t="inlineStr">
        <is>
          <t>LEASE-BH-F10-2025B</t>
        </is>
      </c>
      <c r="C10" t="inlineStr">
        <is>
          <t>Flat 10 - 3 West Gate</t>
        </is>
      </c>
      <c r="D10" s="2" t="n">
        <v>45982.0</v>
      </c>
      <c r="E10" s="3" t="n">
        <v>20.42</v>
      </c>
      <c r="F10" t="inlineStr">
        <is>
          <t>Council</t>
        </is>
      </c>
      <c r="G10" t="inlineStr">
        <is>
          <t>Beneficiary: EREWASH COUNCIL (beneficiary)</t>
        </is>
      </c>
    </row>
    <row r="11">
      <c r="A11" t="n">
        <v>12.0</v>
      </c>
      <c r="B11" t="inlineStr">
        <is>
          <t>LEASE-BH-F11-2025</t>
        </is>
      </c>
      <c r="C11" t="inlineStr">
        <is>
          <t>Flat 11 - 3 West Gate</t>
        </is>
      </c>
      <c r="D11" s="2" t="n">
        <v>45981.0</v>
      </c>
      <c r="E11" s="3" t="n">
        <v>120.0</v>
      </c>
      <c r="F11" t="inlineStr">
        <is>
          <t>Disbursement</t>
        </is>
      </c>
      <c r="G11" t="inlineStr">
        <is>
          <t>Beneficiary: BODEN HOUSE BLOCK PROPERTY (beneficiary)</t>
        </is>
      </c>
    </row>
    <row r="12">
      <c r="A12" t="n">
        <v>14.0</v>
      </c>
      <c r="B12" t="inlineStr">
        <is>
          <t>LEASE-BH-F12-2025B</t>
        </is>
      </c>
      <c r="C12" t="inlineStr">
        <is>
          <t>Flat 12 - 3 West Gate</t>
        </is>
      </c>
      <c r="D12" s="2" t="n">
        <v>45922.0</v>
      </c>
      <c r="E12" s="3" t="n">
        <v>3157.75</v>
      </c>
      <c r="F12" t="inlineStr">
        <is>
          <t>refund</t>
        </is>
      </c>
      <c r="G12" t="inlineStr">
        <is>
          <t>Refund of rent to Adam Kirby</t>
        </is>
      </c>
    </row>
    <row r="13">
      <c r="A13" t="n">
        <v>17.0</v>
      </c>
      <c r="B13" t="inlineStr">
        <is>
          <t>LEASE-BH-F15-2025</t>
        </is>
      </c>
      <c r="C13" t="inlineStr">
        <is>
          <t>Flat 15 - 3 West Gate</t>
        </is>
      </c>
      <c r="D13" s="2" t="n">
        <v>45982.0</v>
      </c>
      <c r="E13" s="3" t="n">
        <v>120.0</v>
      </c>
      <c r="F13" t="inlineStr">
        <is>
          <t>Disbursement</t>
        </is>
      </c>
      <c r="G13" t="inlineStr">
        <is>
          <t>Beneficiary: BODEN HOUSE BLOCK PROPERTY (beneficiary)</t>
        </is>
      </c>
    </row>
    <row r="14">
      <c r="A14" t="n">
        <v>19.0</v>
      </c>
      <c r="B14" t="inlineStr">
        <is>
          <t>LEASE-BH-F17-2025</t>
        </is>
      </c>
      <c r="C14" t="inlineStr">
        <is>
          <t>Flat 17 - 3 West Gate</t>
        </is>
      </c>
      <c r="D14" s="2" t="n">
        <v>45982.0</v>
      </c>
      <c r="E14" s="3" t="n">
        <v>150.0</v>
      </c>
      <c r="F14" t="inlineStr">
        <is>
          <t>Disbursement</t>
        </is>
      </c>
      <c r="G14" t="inlineStr">
        <is>
          <t>Beneficiary: BODEN HOUSE BLOCK PROPERTY (beneficiary)</t>
        </is>
      </c>
    </row>
    <row r="15">
      <c r="A15" t="n">
        <v>21.0</v>
      </c>
      <c r="B15" t="inlineStr">
        <is>
          <t>LEASE-BH-F18-2025B</t>
        </is>
      </c>
      <c r="C15" t="inlineStr">
        <is>
          <t>Flat 18 - 3 West Gate</t>
        </is>
      </c>
      <c r="D15" s="2" t="n">
        <v>45982.0</v>
      </c>
      <c r="E15" s="3" t="n">
        <v>120.0</v>
      </c>
      <c r="F15" t="inlineStr">
        <is>
          <t>Disbursement</t>
        </is>
      </c>
      <c r="G15" t="inlineStr">
        <is>
          <t>Beneficiary: BODEN HOUSE BLOCK PROPERTY (beneficiary)</t>
        </is>
      </c>
    </row>
    <row r="16">
      <c r="A16" t="n">
        <v>21.0</v>
      </c>
      <c r="B16" t="inlineStr">
        <is>
          <t>LEASE-BH-F18-2025B</t>
        </is>
      </c>
      <c r="C16" t="inlineStr">
        <is>
          <t>Flat 18 - 3 West Gate</t>
        </is>
      </c>
      <c r="D16" s="2" t="n">
        <v>45982.0</v>
      </c>
      <c r="E16" s="3" t="n">
        <v>230.89</v>
      </c>
      <c r="F16" t="inlineStr">
        <is>
          <t>Council</t>
        </is>
      </c>
      <c r="G16" t="inlineStr">
        <is>
          <t>Beneficiary: EREWASH COUNCIL (beneficiary)</t>
        </is>
      </c>
    </row>
    <row r="17">
      <c r="A17" t="n">
        <v>23.0</v>
      </c>
      <c r="B17" t="inlineStr">
        <is>
          <t>LEASE-BH-F19-2025B</t>
        </is>
      </c>
      <c r="C17" t="inlineStr">
        <is>
          <t>Flat 19 - 3 West Gate</t>
        </is>
      </c>
      <c r="D17" s="2" t="n">
        <v>45982.0</v>
      </c>
      <c r="E17" s="3" t="n">
        <v>170.46</v>
      </c>
      <c r="F17" t="inlineStr">
        <is>
          <t>Council</t>
        </is>
      </c>
      <c r="G17" t="inlineStr">
        <is>
          <t>Vacant Council Tax Flt19</t>
        </is>
      </c>
    </row>
    <row r="18">
      <c r="A18" t="n">
        <v>24.0</v>
      </c>
      <c r="B18" t="inlineStr">
        <is>
          <t>LEASE-BH-F20-2025</t>
        </is>
      </c>
      <c r="C18" t="inlineStr">
        <is>
          <t>Flat 20 - 3 West Gate</t>
        </is>
      </c>
      <c r="D18" s="2" t="n">
        <v>45982.0</v>
      </c>
      <c r="E18" s="3" t="n">
        <v>100.0</v>
      </c>
      <c r="F18" t="inlineStr">
        <is>
          <t>Disbursement</t>
        </is>
      </c>
      <c r="G18" t="inlineStr">
        <is>
          <t>Beneficiary: BODEN HOUSE BLOCK PROPERTY (beneficiary)</t>
        </is>
      </c>
    </row>
    <row r="19">
      <c r="A19" t="n">
        <v>25.0</v>
      </c>
      <c r="B19" t="inlineStr">
        <is>
          <t>LEASE-BH-F21-2025</t>
        </is>
      </c>
      <c r="C19" t="inlineStr">
        <is>
          <t>Flat 21 - 3 West Gate</t>
        </is>
      </c>
      <c r="D19" s="2" t="n">
        <v>45982.0</v>
      </c>
      <c r="E19" s="3" t="n">
        <v>120.0</v>
      </c>
      <c r="F19" t="inlineStr">
        <is>
          <t>Disbursement</t>
        </is>
      </c>
      <c r="G19" t="inlineStr">
        <is>
          <t>Beneficiary: BODEN HOUSE BLOCK PROPERTY (beneficiary)</t>
        </is>
      </c>
    </row>
    <row r="20">
      <c r="A20" t="n">
        <v>27.0</v>
      </c>
      <c r="B20" t="inlineStr">
        <is>
          <t>LEASE-BH-F23-2025</t>
        </is>
      </c>
      <c r="C20" t="inlineStr">
        <is>
          <t>Flat 23 - 3 West Gate</t>
        </is>
      </c>
      <c r="D20" s="2" t="n">
        <v>45982.0</v>
      </c>
      <c r="E20" s="3" t="n">
        <v>106.2</v>
      </c>
      <c r="F20" t="inlineStr">
        <is>
          <t>Council</t>
        </is>
      </c>
      <c r="G20" t="inlineStr">
        <is>
          <t>Flt 23 Council Tax</t>
        </is>
      </c>
    </row>
    <row r="21">
      <c r="A21" t="n">
        <v>27.0</v>
      </c>
      <c r="B21" t="inlineStr">
        <is>
          <t>LEASE-BH-F23-2025</t>
        </is>
      </c>
      <c r="C21" t="inlineStr">
        <is>
          <t>Flat 23 - 3 West Gate</t>
        </is>
      </c>
      <c r="D21" s="2" t="n">
        <v>45982.0</v>
      </c>
      <c r="E21" s="3" t="n">
        <v>150.0</v>
      </c>
      <c r="F21" t="inlineStr">
        <is>
          <t>Disbursement</t>
        </is>
      </c>
      <c r="G21" t="inlineStr">
        <is>
          <t>Beneficiary: BODEN HOUSE BLOCK PROPERTY (beneficiary)</t>
        </is>
      </c>
    </row>
    <row r="22">
      <c r="A22" t="n">
        <v>28.0</v>
      </c>
      <c r="B22" t="inlineStr">
        <is>
          <t>LEASE-BH-F24-2025</t>
        </is>
      </c>
      <c r="C22" t="inlineStr">
        <is>
          <t>Flat 24 - 3 West Gate</t>
        </is>
      </c>
      <c r="D22" s="2" t="n">
        <v>45982.0</v>
      </c>
      <c r="E22" s="3" t="n">
        <v>120.0</v>
      </c>
      <c r="F22" t="inlineStr">
        <is>
          <t>Disbursement</t>
        </is>
      </c>
      <c r="G22" t="inlineStr">
        <is>
          <t>Beneficiary: BODEN HOUSE BLOCK PROPERTY (beneficiary)</t>
        </is>
      </c>
    </row>
    <row r="23">
      <c r="A23" t="n">
        <v>31.0</v>
      </c>
      <c r="B23" t="inlineStr">
        <is>
          <t>LEASE-BH-F28-2025</t>
        </is>
      </c>
      <c r="C23" t="inlineStr">
        <is>
          <t>Flat 28 - 3 West Gate</t>
        </is>
      </c>
      <c r="D23" s="2" t="n">
        <v>45891.0</v>
      </c>
      <c r="E23" s="3" t="n">
        <v>160.0</v>
      </c>
      <c r="F23" t="inlineStr">
        <is>
          <t>management</t>
        </is>
      </c>
      <c r="G23" t="inlineStr">
        <is>
          <t>Inventory [Moved from Flat 28 - 3 West Gate]</t>
        </is>
      </c>
    </row>
    <row r="24">
      <c r="A24" t="n">
        <v>32.0</v>
      </c>
      <c r="B24" t="inlineStr">
        <is>
          <t>LEASE-BH-F29-2025</t>
        </is>
      </c>
      <c r="C24" t="inlineStr">
        <is>
          <t>Flat 29 - 3 West Gate</t>
        </is>
      </c>
      <c r="D24" s="2" t="n">
        <v>45982.0</v>
      </c>
      <c r="E24" s="3" t="n">
        <v>120.0</v>
      </c>
      <c r="F24" t="inlineStr">
        <is>
          <t>Disbursement</t>
        </is>
      </c>
      <c r="G24" t="inlineStr">
        <is>
          <t>Beneficiary: BODEN HOUSE BLOCK PROPERTY (beneficiary)</t>
        </is>
      </c>
    </row>
    <row r="25">
      <c r="A25" t="n">
        <v>78.0</v>
      </c>
      <c r="B25" t="inlineStr">
        <is>
          <t>LEASE-BH-F12-2025C</t>
        </is>
      </c>
      <c r="C25" t="inlineStr">
        <is>
          <t>Flat 12 - 3 West Gate</t>
        </is>
      </c>
      <c r="D25" s="2" t="n">
        <v>45953.0</v>
      </c>
      <c r="E25" s="3" t="n">
        <v>30.0</v>
      </c>
      <c r="F25" t="inlineStr">
        <is>
          <t>Contractor</t>
        </is>
      </c>
      <c r="G25" t="inlineStr">
        <is>
          <t>Toilet repair</t>
        </is>
      </c>
    </row>
    <row r="26">
      <c r="A26" t="n">
        <v>78.0</v>
      </c>
      <c r="B26" t="inlineStr">
        <is>
          <t>LEASE-BH-F12-2025C</t>
        </is>
      </c>
      <c r="C26" t="inlineStr">
        <is>
          <t>Flat 12 - 3 West Gate</t>
        </is>
      </c>
      <c r="D26" s="2" t="n">
        <v>45953.0</v>
      </c>
      <c r="E26" s="3" t="n">
        <v>120.0</v>
      </c>
      <c r="F26" t="inlineStr">
        <is>
          <t>Disbursement</t>
        </is>
      </c>
      <c r="G26" t="inlineStr">
        <is>
          <t>Beneficiary: BODEN HOUSE BLOCK PROPERTY (beneficiary)</t>
        </is>
      </c>
    </row>
    <row r="27">
      <c r="A27" t="n">
        <v>79.0</v>
      </c>
      <c r="B27" t="inlineStr">
        <is>
          <t>LEASE-BH-F25-2025</t>
        </is>
      </c>
      <c r="C27" t="inlineStr">
        <is>
          <t>Flat 25 - 3 West Gate</t>
        </is>
      </c>
      <c r="D27" s="2" t="n">
        <v>45982.0</v>
      </c>
      <c r="E27" s="3" t="n">
        <v>208.75</v>
      </c>
      <c r="F27" t="inlineStr">
        <is>
          <t>Other</t>
        </is>
      </c>
      <c r="G27" t="inlineStr">
        <is>
          <t>Octupus Energy used while vacant</t>
        </is>
      </c>
    </row>
    <row r="28">
      <c r="A28" t="n">
        <v>79.0</v>
      </c>
      <c r="B28" t="inlineStr">
        <is>
          <t>LEASE-BH-F25-2025</t>
        </is>
      </c>
      <c r="C28" t="inlineStr">
        <is>
          <t>Flat 25 - 3 West Gate</t>
        </is>
      </c>
      <c r="D28" s="2" t="n">
        <v>45982.0</v>
      </c>
      <c r="E28" s="3" t="n">
        <v>120.0</v>
      </c>
      <c r="F28" t="inlineStr">
        <is>
          <t>Disbursement</t>
        </is>
      </c>
      <c r="G28" t="inlineStr">
        <is>
          <t>Beneficiary: BODEN HOUSE BLOCK PROPERTY (beneficiary)</t>
        </is>
      </c>
    </row>
    <row r="29">
      <c r="A29" t="n">
        <v>86.0</v>
      </c>
      <c r="B29" t="inlineStr">
        <is>
          <t>BODEN-BLOCK-2025</t>
        </is>
      </c>
      <c r="C29" t="inlineStr">
        <is>
          <t>Boden House Block - Block Property</t>
        </is>
      </c>
      <c r="D29" s="2" t="n">
        <v>45722.0</v>
      </c>
      <c r="E29" s="3" t="n">
        <v>3080.0</v>
      </c>
      <c r="F29" t="inlineStr">
        <is>
          <t>agency_fee</t>
        </is>
      </c>
      <c r="G29" t="inlineStr">
        <is>
          <t>Agency Fees from Robert Elles Payments</t>
        </is>
      </c>
    </row>
    <row r="30">
      <c r="A30" t="n">
        <v>86.0</v>
      </c>
      <c r="B30" t="inlineStr">
        <is>
          <t>BODEN-BLOCK-2025</t>
        </is>
      </c>
      <c r="C30" t="inlineStr">
        <is>
          <t>Boden House Block - Block Property</t>
        </is>
      </c>
      <c r="D30" s="2" t="n">
        <v>45738.0</v>
      </c>
      <c r="E30" s="3" t="n">
        <v>144.19</v>
      </c>
      <c r="F30" t="inlineStr">
        <is>
          <t>utilities</t>
        </is>
      </c>
      <c r="G30" t="inlineStr">
        <is>
          <t>Council Tax</t>
        </is>
      </c>
    </row>
    <row r="31">
      <c r="A31" t="n">
        <v>86.0</v>
      </c>
      <c r="B31" t="inlineStr">
        <is>
          <t>BODEN-BLOCK-2025</t>
        </is>
      </c>
      <c r="C31" t="inlineStr">
        <is>
          <t>Boden House Block - Block Property</t>
        </is>
      </c>
      <c r="D31" s="2" t="n">
        <v>45738.0</v>
      </c>
      <c r="E31" s="3" t="n">
        <v>144.19</v>
      </c>
      <c r="F31" t="inlineStr">
        <is>
          <t>utilities</t>
        </is>
      </c>
      <c r="G31" t="inlineStr">
        <is>
          <t>Council Tax</t>
        </is>
      </c>
    </row>
    <row r="32">
      <c r="A32" t="n">
        <v>86.0</v>
      </c>
      <c r="B32" t="inlineStr">
        <is>
          <t>BODEN-BLOCK-2025</t>
        </is>
      </c>
      <c r="C32" t="inlineStr">
        <is>
          <t>Boden House Block - Block Property</t>
        </is>
      </c>
      <c r="D32" s="2" t="n">
        <v>45769.0</v>
      </c>
      <c r="E32" s="3" t="n">
        <v>200.0</v>
      </c>
      <c r="F32" t="inlineStr">
        <is>
          <t>cleaning</t>
        </is>
      </c>
      <c r="G32" t="inlineStr">
        <is>
          <t>End of Tenancy Clean [Moved from Flat 18 - 3 West Gate]</t>
        </is>
      </c>
    </row>
    <row r="33">
      <c r="A33" t="n">
        <v>86.0</v>
      </c>
      <c r="B33" t="inlineStr">
        <is>
          <t>BODEN-BLOCK-2025</t>
        </is>
      </c>
      <c r="C33" t="inlineStr">
        <is>
          <t>Boden House Block - Block Property</t>
        </is>
      </c>
      <c r="D33" s="2" t="n">
        <v>45799.0</v>
      </c>
      <c r="E33" s="3" t="n">
        <v>250.0</v>
      </c>
      <c r="F33" t="inlineStr">
        <is>
          <t>furnishings</t>
        </is>
      </c>
      <c r="G33" t="inlineStr">
        <is>
          <t>White Goods [Moved from Flat 23 - 3 West Gate]</t>
        </is>
      </c>
    </row>
    <row r="34">
      <c r="A34" t="n">
        <v>86.0</v>
      </c>
      <c r="B34" t="inlineStr">
        <is>
          <t>BODEN-BLOCK-2025</t>
        </is>
      </c>
      <c r="C34" t="inlineStr">
        <is>
          <t>Boden House Block - Block Property</t>
        </is>
      </c>
      <c r="D34" s="2" t="n">
        <v>45799.0</v>
      </c>
      <c r="E34" s="3" t="n">
        <v>273.84</v>
      </c>
      <c r="F34" t="inlineStr">
        <is>
          <t>compliance</t>
        </is>
      </c>
      <c r="G34" t="inlineStr">
        <is>
          <t>Fire Safety Equipment</t>
        </is>
      </c>
    </row>
    <row r="35">
      <c r="A35" t="n">
        <v>86.0</v>
      </c>
      <c r="B35" t="inlineStr">
        <is>
          <t>BODEN-BLOCK-2025</t>
        </is>
      </c>
      <c r="C35" t="inlineStr">
        <is>
          <t>Boden House Block - Block Property</t>
        </is>
      </c>
      <c r="D35" s="2" t="n">
        <v>45799.0</v>
      </c>
      <c r="E35" s="3" t="n">
        <v>115.01</v>
      </c>
      <c r="F35" t="inlineStr">
        <is>
          <t>maintenance</t>
        </is>
      </c>
      <c r="G35" t="inlineStr">
        <is>
          <t>Repairs [Moved from Apartment F - Knighton Hayes Manor]</t>
        </is>
      </c>
    </row>
    <row r="36">
      <c r="A36" t="n">
        <v>86.0</v>
      </c>
      <c r="B36" t="inlineStr">
        <is>
          <t>BODEN-BLOCK-2025</t>
        </is>
      </c>
      <c r="C36" t="inlineStr">
        <is>
          <t>Boden House Block - Block Property</t>
        </is>
      </c>
      <c r="D36" s="2" t="n">
        <v>45830.0</v>
      </c>
      <c r="E36" s="3" t="n">
        <v>265.0</v>
      </c>
      <c r="F36" t="inlineStr">
        <is>
          <t>maintenance</t>
        </is>
      </c>
      <c r="G36" t="inlineStr">
        <is>
          <t>Maintenance</t>
        </is>
      </c>
    </row>
    <row r="37">
      <c r="A37" t="n">
        <v>86.0</v>
      </c>
      <c r="B37" t="inlineStr">
        <is>
          <t>BODEN-BLOCK-2025</t>
        </is>
      </c>
      <c r="C37" t="inlineStr">
        <is>
          <t>Boden House Block - Block Property</t>
        </is>
      </c>
      <c r="D37" s="2" t="n">
        <v>45860.0</v>
      </c>
      <c r="E37" s="3" t="n">
        <v>229.94</v>
      </c>
      <c r="F37" t="inlineStr">
        <is>
          <t>furnishings</t>
        </is>
      </c>
      <c r="G37" t="inlineStr">
        <is>
          <t>Ceramic Hob [Moved from Flat 7 - 3 West Gate]</t>
        </is>
      </c>
    </row>
    <row r="38">
      <c r="A38" t="n">
        <v>86.0</v>
      </c>
      <c r="B38" t="inlineStr">
        <is>
          <t>BODEN-BLOCK-2025</t>
        </is>
      </c>
      <c r="C38" t="inlineStr">
        <is>
          <t>Boden House Block - Block Property</t>
        </is>
      </c>
      <c r="D38" s="2" t="n">
        <v>45860.0</v>
      </c>
      <c r="E38" s="3" t="n">
        <v>200.0</v>
      </c>
      <c r="F38" t="inlineStr">
        <is>
          <t>cleaning</t>
        </is>
      </c>
      <c r="G38" t="inlineStr">
        <is>
          <t>End of Tenancy Clean [Moved from Flat 7 - 3 West Gate]</t>
        </is>
      </c>
    </row>
    <row r="39">
      <c r="A39" t="n">
        <v>86.0</v>
      </c>
      <c r="B39" t="inlineStr">
        <is>
          <t>BODEN-BLOCK-2025</t>
        </is>
      </c>
      <c r="C39" t="inlineStr">
        <is>
          <t>Boden House Block - Block Property</t>
        </is>
      </c>
      <c r="D39" s="2" t="n">
        <v>45860.0</v>
      </c>
      <c r="E39" s="3" t="n">
        <v>150.0</v>
      </c>
      <c r="F39" t="inlineStr">
        <is>
          <t>management</t>
        </is>
      </c>
      <c r="G39" t="inlineStr">
        <is>
          <t>Inventory [Moved from Flat 7 - 3 West Gate]</t>
        </is>
      </c>
    </row>
    <row r="40">
      <c r="A40" t="n">
        <v>86.0</v>
      </c>
      <c r="B40" t="inlineStr">
        <is>
          <t>BODEN-BLOCK-2025</t>
        </is>
      </c>
      <c r="C40" t="inlineStr">
        <is>
          <t>Boden House Block - Block Property</t>
        </is>
      </c>
      <c r="D40" s="2" t="n">
        <v>45860.0</v>
      </c>
      <c r="E40" s="3" t="n">
        <v>250.0</v>
      </c>
      <c r="F40" t="inlineStr">
        <is>
          <t>furnishings</t>
        </is>
      </c>
      <c r="G40" t="inlineStr">
        <is>
          <t>White Goods [Moved from Flat 10 - 3 West Gate]</t>
        </is>
      </c>
    </row>
    <row r="41">
      <c r="A41" t="n">
        <v>86.0</v>
      </c>
      <c r="B41" t="inlineStr">
        <is>
          <t>BODEN-BLOCK-2025</t>
        </is>
      </c>
      <c r="C41" t="inlineStr">
        <is>
          <t>Boden House Block - Block Property</t>
        </is>
      </c>
      <c r="D41" s="2" t="n">
        <v>45860.0</v>
      </c>
      <c r="E41" s="3" t="n">
        <v>200.0</v>
      </c>
      <c r="F41" t="inlineStr">
        <is>
          <t>cleaning</t>
        </is>
      </c>
      <c r="G41" t="inlineStr">
        <is>
          <t>End of Tenancy Clean [Moved from Flat 10 - 3 West Gate]</t>
        </is>
      </c>
    </row>
    <row r="42">
      <c r="A42" t="n">
        <v>86.0</v>
      </c>
      <c r="B42" t="inlineStr">
        <is>
          <t>BODEN-BLOCK-2025</t>
        </is>
      </c>
      <c r="C42" t="inlineStr">
        <is>
          <t>Boden House Block - Block Property</t>
        </is>
      </c>
      <c r="D42" s="2" t="n">
        <v>45860.0</v>
      </c>
      <c r="E42" s="3" t="n">
        <v>250.0</v>
      </c>
      <c r="F42" t="inlineStr">
        <is>
          <t>management</t>
        </is>
      </c>
      <c r="G42" t="inlineStr">
        <is>
          <t>Clearance [Moved from Flat 11 - 3 West Gate]</t>
        </is>
      </c>
    </row>
    <row r="43">
      <c r="A43" t="n">
        <v>86.0</v>
      </c>
      <c r="B43" t="inlineStr">
        <is>
          <t>BODEN-BLOCK-2025</t>
        </is>
      </c>
      <c r="C43" t="inlineStr">
        <is>
          <t>Boden House Block - Block Property</t>
        </is>
      </c>
      <c r="D43" s="2" t="n">
        <v>45860.0</v>
      </c>
      <c r="E43" s="3" t="n">
        <v>300.0</v>
      </c>
      <c r="F43" t="inlineStr">
        <is>
          <t>furnishings</t>
        </is>
      </c>
      <c r="G43" t="inlineStr">
        <is>
          <t>White Goods [Moved from Flat 12 - 3 West Gate]</t>
        </is>
      </c>
    </row>
    <row r="44">
      <c r="A44" t="n">
        <v>86.0</v>
      </c>
      <c r="B44" t="inlineStr">
        <is>
          <t>BODEN-BLOCK-2025</t>
        </is>
      </c>
      <c r="C44" t="inlineStr">
        <is>
          <t>Boden House Block - Block Property</t>
        </is>
      </c>
      <c r="D44" s="2" t="n">
        <v>45860.0</v>
      </c>
      <c r="E44" s="3" t="n">
        <v>58.99</v>
      </c>
      <c r="F44" t="inlineStr">
        <is>
          <t>furnishings</t>
        </is>
      </c>
      <c r="G44" t="inlineStr">
        <is>
          <t>Bed [Moved from Flat 12 - 3 West Gate]</t>
        </is>
      </c>
    </row>
    <row r="45">
      <c r="A45" t="n">
        <v>86.0</v>
      </c>
      <c r="B45" t="inlineStr">
        <is>
          <t>BODEN-BLOCK-2025</t>
        </is>
      </c>
      <c r="C45" t="inlineStr">
        <is>
          <t>Boden House Block - Block Property</t>
        </is>
      </c>
      <c r="D45" s="2" t="n">
        <v>45860.0</v>
      </c>
      <c r="E45" s="3" t="n">
        <v>200.0</v>
      </c>
      <c r="F45" t="inlineStr">
        <is>
          <t>cleaning</t>
        </is>
      </c>
      <c r="G45" t="inlineStr">
        <is>
          <t>End of Tenancy Clean [Moved from Flat 12 - 3 West Gate]</t>
        </is>
      </c>
    </row>
    <row r="46">
      <c r="A46" t="n">
        <v>86.0</v>
      </c>
      <c r="B46" t="inlineStr">
        <is>
          <t>BODEN-BLOCK-2025</t>
        </is>
      </c>
      <c r="C46" t="inlineStr">
        <is>
          <t>Boden House Block - Block Property</t>
        </is>
      </c>
      <c r="D46" s="2" t="n">
        <v>45860.0</v>
      </c>
      <c r="E46" s="3" t="n">
        <v>61.49</v>
      </c>
      <c r="F46" t="inlineStr">
        <is>
          <t>furnishings</t>
        </is>
      </c>
      <c r="G46" t="inlineStr">
        <is>
          <t>Bed [Moved from Flat 19 - 3 West Gate]</t>
        </is>
      </c>
    </row>
    <row r="47">
      <c r="A47" t="n">
        <v>86.0</v>
      </c>
      <c r="B47" t="inlineStr">
        <is>
          <t>BODEN-BLOCK-2025</t>
        </is>
      </c>
      <c r="C47" t="inlineStr">
        <is>
          <t>Boden House Block - Block Property</t>
        </is>
      </c>
      <c r="D47" s="2" t="n">
        <v>45860.0</v>
      </c>
      <c r="E47" s="3" t="n">
        <v>250.0</v>
      </c>
      <c r="F47" t="inlineStr">
        <is>
          <t>furnishings</t>
        </is>
      </c>
      <c r="G47" t="inlineStr">
        <is>
          <t>White Goods [Moved from Flat 19 - 3 West Gate]</t>
        </is>
      </c>
    </row>
    <row r="48">
      <c r="A48" t="n">
        <v>86.0</v>
      </c>
      <c r="B48" t="inlineStr">
        <is>
          <t>BODEN-BLOCK-2025</t>
        </is>
      </c>
      <c r="C48" t="inlineStr">
        <is>
          <t>Boden House Block - Block Property</t>
        </is>
      </c>
      <c r="D48" s="2" t="n">
        <v>45860.0</v>
      </c>
      <c r="E48" s="3" t="n">
        <v>200.0</v>
      </c>
      <c r="F48" t="inlineStr">
        <is>
          <t>cleaning</t>
        </is>
      </c>
      <c r="G48" t="inlineStr">
        <is>
          <t>End of Tenancy Clean [Moved from Flat 19 - 3 West Gate]</t>
        </is>
      </c>
    </row>
    <row r="49">
      <c r="A49" t="n">
        <v>86.0</v>
      </c>
      <c r="B49" t="inlineStr">
        <is>
          <t>BODEN-BLOCK-2025</t>
        </is>
      </c>
      <c r="C49" t="inlineStr">
        <is>
          <t>Boden House Block - Block Property</t>
        </is>
      </c>
      <c r="D49" s="2" t="n">
        <v>45860.0</v>
      </c>
      <c r="E49" s="3" t="n">
        <v>129.99</v>
      </c>
      <c r="F49" t="inlineStr">
        <is>
          <t>furnishings</t>
        </is>
      </c>
      <c r="G49" t="inlineStr">
        <is>
          <t>Mattress [Moved from Flat 19 - 3 West Gate]</t>
        </is>
      </c>
    </row>
    <row r="50">
      <c r="A50" t="n">
        <v>86.0</v>
      </c>
      <c r="B50" t="inlineStr">
        <is>
          <t>BODEN-BLOCK-2025</t>
        </is>
      </c>
      <c r="C50" t="inlineStr">
        <is>
          <t>Boden House Block - Block Property</t>
        </is>
      </c>
      <c r="D50" s="2" t="n">
        <v>45891.0</v>
      </c>
      <c r="E50" s="3" t="n">
        <v>200.0</v>
      </c>
      <c r="F50" t="inlineStr">
        <is>
          <t>cleaning</t>
        </is>
      </c>
      <c r="G50" t="inlineStr">
        <is>
          <t>End of Tenancy Clean [Moved from Flat 16 - 3 West Gate]</t>
        </is>
      </c>
    </row>
    <row r="51">
      <c r="A51" t="n">
        <v>86.0</v>
      </c>
      <c r="B51" t="inlineStr">
        <is>
          <t>BODEN-BLOCK-2025</t>
        </is>
      </c>
      <c r="C51" t="inlineStr">
        <is>
          <t>Boden House Block - Block Property</t>
        </is>
      </c>
      <c r="D51" s="2" t="n">
        <v>45891.0</v>
      </c>
      <c r="E51" s="3" t="n">
        <v>160.0</v>
      </c>
      <c r="F51" t="inlineStr">
        <is>
          <t>management</t>
        </is>
      </c>
      <c r="G51" t="inlineStr">
        <is>
          <t>Inventory [Moved from Flat 16 - 3 West Gate]</t>
        </is>
      </c>
    </row>
    <row r="52">
      <c r="A52" t="n">
        <v>86.0</v>
      </c>
      <c r="B52" t="inlineStr">
        <is>
          <t>BODEN-BLOCK-2025</t>
        </is>
      </c>
      <c r="C52" t="inlineStr">
        <is>
          <t>Boden House Block - Block Property</t>
        </is>
      </c>
      <c r="D52" s="2" t="n">
        <v>45891.0</v>
      </c>
      <c r="E52" s="3" t="n">
        <v>200.0</v>
      </c>
      <c r="F52" t="inlineStr">
        <is>
          <t>cleaning</t>
        </is>
      </c>
      <c r="G52" t="inlineStr">
        <is>
          <t>End of Tenancy Clean [Moved from Flat 25 - 3 West Gate]</t>
        </is>
      </c>
    </row>
    <row r="53">
      <c r="A53" t="n">
        <v>86.0</v>
      </c>
      <c r="B53" t="inlineStr">
        <is>
          <t>BODEN-BLOCK-2025</t>
        </is>
      </c>
      <c r="C53" t="inlineStr">
        <is>
          <t>Boden House Block - Block Property</t>
        </is>
      </c>
      <c r="D53" s="2" t="n">
        <v>45891.0</v>
      </c>
      <c r="E53" s="3" t="n">
        <v>160.0</v>
      </c>
      <c r="F53" t="inlineStr">
        <is>
          <t>management</t>
        </is>
      </c>
      <c r="G53" t="inlineStr">
        <is>
          <t>Inventory [Moved from Flat 25 - 3 West Gate]</t>
        </is>
      </c>
    </row>
    <row r="54">
      <c r="A54" t="n">
        <v>86.0</v>
      </c>
      <c r="B54" t="inlineStr">
        <is>
          <t>BODEN-BLOCK-2025</t>
        </is>
      </c>
      <c r="C54" t="inlineStr">
        <is>
          <t>Boden House Block - Block Property</t>
        </is>
      </c>
      <c r="D54" s="2" t="n">
        <v>45922.0</v>
      </c>
      <c r="E54" s="3" t="n">
        <v>1410.0</v>
      </c>
      <c r="F54" t="inlineStr">
        <is>
          <t>management</t>
        </is>
      </c>
      <c r="G54" t="inlineStr">
        <is>
          <t>Inventory flat 12 160, end of tenancy clean flat 12 200, furniture flat 12 180, end of tenancy clean flat 28 200, flat 25 professional clean 200, fitting of new blinds 100, Weekly clean 320, deep clean 160, white goods for 16 250</t>
        </is>
      </c>
    </row>
    <row r="55">
      <c r="A55" t="n">
        <v>86.0</v>
      </c>
      <c r="B55" t="inlineStr">
        <is>
          <t>BODEN-BLOCK-2025</t>
        </is>
      </c>
      <c r="C55" t="inlineStr">
        <is>
          <t>Boden House Block - Block Property</t>
        </is>
      </c>
      <c r="D55" s="2" t="n">
        <v>45922.0</v>
      </c>
      <c r="E55" s="3" t="n">
        <v>1000.0</v>
      </c>
      <c r="F55" t="inlineStr">
        <is>
          <t>utilities</t>
        </is>
      </c>
      <c r="G55" t="inlineStr">
        <is>
          <t>EON Utility - Building utilities</t>
        </is>
      </c>
    </row>
    <row r="56">
      <c r="A56" t="n">
        <v>86.0</v>
      </c>
      <c r="B56" t="inlineStr">
        <is>
          <t>BODEN-BLOCK-2025</t>
        </is>
      </c>
      <c r="C56" t="inlineStr">
        <is>
          <t>Boden House Block - Block Property</t>
        </is>
      </c>
      <c r="D56" s="2" t="n">
        <v>45982.0</v>
      </c>
      <c r="E56" s="3" t="n">
        <v>120.0</v>
      </c>
      <c r="F56" t="inlineStr">
        <is>
          <t>PROPERTY_ACCOUNT_ALLOCATION</t>
        </is>
      </c>
      <c r="G56" t="inlineStr">
        <is>
          <t>Beneficiary: PayProp property account (global_beneficiary)</t>
        </is>
      </c>
    </row>
    <row r="57">
      <c r="A57" t="n">
        <v>86.0</v>
      </c>
      <c r="B57" t="inlineStr">
        <is>
          <t>BODEN-BLOCK-2025</t>
        </is>
      </c>
      <c r="C57" t="inlineStr">
        <is>
          <t>Boden House Block - Block Property</t>
        </is>
      </c>
      <c r="D57" s="2" t="n">
        <v>45982.0</v>
      </c>
      <c r="E57" s="3" t="n">
        <v>0.0</v>
      </c>
      <c r="F57" t="inlineStr">
        <is>
          <t/>
        </is>
      </c>
      <c r="G57" t="inlineStr">
        <is>
          <t>Beneficiary: Unknown (agency)</t>
        </is>
      </c>
    </row>
    <row r="58">
      <c r="A58" t="n">
        <v>88.0</v>
      </c>
      <c r="B58" t="inlineStr">
        <is>
          <t>LEASE-88</t>
        </is>
      </c>
      <c r="C58" t="inlineStr">
        <is>
          <t>Flat 28 - 3 West Gate</t>
        </is>
      </c>
      <c r="D58" s="2" t="n">
        <v>45982.0</v>
      </c>
      <c r="E58" s="3" t="n">
        <v>114.37</v>
      </c>
      <c r="F58" t="inlineStr">
        <is>
          <t>Council</t>
        </is>
      </c>
      <c r="G58" t="inlineStr">
        <is>
          <t xml:space="preserve">Council Tax </t>
        </is>
      </c>
    </row>
    <row r="59">
      <c r="A59" t="n">
        <v>88.0</v>
      </c>
      <c r="B59" t="inlineStr">
        <is>
          <t>LEASE-88</t>
        </is>
      </c>
      <c r="C59" t="inlineStr">
        <is>
          <t>Flat 28 - 3 West Gate</t>
        </is>
      </c>
      <c r="D59" s="2" t="n">
        <v>45982.0</v>
      </c>
      <c r="E59" s="3" t="n">
        <v>120.0</v>
      </c>
      <c r="F59" t="inlineStr">
        <is>
          <t>Disbursement</t>
        </is>
      </c>
      <c r="G59" t="inlineStr">
        <is>
          <t>Beneficiary: BODEN HOUSE BLOCK PROPERTY (beneficiary)</t>
        </is>
      </c>
    </row>
  </sheetData>
  <pageMargins bottom="0.75" footer="0.3" header="0.3" left="0.7" right="0.7" top="0.75"/>
</worksheet>
</file>

<file path=xl/worksheets/sheet6.xml><?xml version="1.0" encoding="utf-8"?>
<worksheet xmlns="http://schemas.openxmlformats.org/spreadsheetml/2006/main">
  <dimension ref="A1:G3"/>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s>
  <sheetData>
    <row r="1">
      <c r="A1" s="1" t="inlineStr">
        <is>
          <t>block_name</t>
        </is>
      </c>
      <c r="B1" s="1" t="inlineStr">
        <is>
          <t>movement_type</t>
        </is>
      </c>
      <c r="C1" s="1" t="inlineStr">
        <is>
          <t>description</t>
        </is>
      </c>
      <c r="D1" s="1" t="inlineStr">
        <is>
          <t>amount</t>
        </is>
      </c>
      <c r="E1" s="1" t="inlineStr">
        <is>
          <t>date</t>
        </is>
      </c>
      <c r="F1" s="1" t="inlineStr">
        <is>
          <t>source_property</t>
        </is>
      </c>
      <c r="G1" s="1" t="inlineStr">
        <is>
          <t>batch_reference</t>
        </is>
      </c>
    </row>
    <row r="2">
      <c r="A2" t="inlineStr">
        <is>
          <t>Boden House NG10</t>
        </is>
      </c>
      <c r="B2" t="inlineStr">
        <is>
          <t>opening</t>
        </is>
      </c>
      <c r="C2" t="inlineStr">
        <is>
          <t>Opening Balance (prior to 2024-12-22)</t>
        </is>
      </c>
      <c r="D2" s="3" t="n">
        <v>0.0</v>
      </c>
      <c r="E2" s="2" t="n">
        <v>45648.0</v>
      </c>
      <c r="F2" t="inlineStr">
        <is>
          <t/>
        </is>
      </c>
      <c r="G2" t="inlineStr">
        <is>
          <t/>
        </is>
      </c>
    </row>
    <row r="3">
      <c r="A3" t="inlineStr">
        <is>
          <t>Boden House NG10</t>
        </is>
      </c>
      <c r="B3" t="inlineStr">
        <is>
          <t>closing</t>
        </is>
      </c>
      <c r="C3" t="inlineStr">
        <is>
          <t>Closing Balance</t>
        </is>
      </c>
      <c r="D3" s="3" t="n">
        <v>0.0</v>
      </c>
      <c r="E3" s="2" t="n">
        <v>45982.0</v>
      </c>
      <c r="F3" t="inlineStr">
        <is>
          <t/>
        </is>
      </c>
      <c r="G3" t="inlineStr">
        <is>
          <t/>
        </is>
      </c>
    </row>
  </sheetData>
  <pageMargins bottom="0.75" footer="0.3" header="0.3" left="0.7" right="0.7" top="0.75"/>
</worksheet>
</file>

<file path=xl/worksheets/sheet7.xml><?xml version="1.0" encoding="utf-8"?>
<worksheet xmlns="http://schemas.openxmlformats.org/spreadsheetml/2006/main">
  <dimension ref="A1:AC28"/>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LEASE-KH-F-2024</t>
        </is>
      </c>
      <c r="B2" t="inlineStr">
        <is>
          <t>Apartment F - Knighton Hayes Manor</t>
        </is>
      </c>
      <c r="C2" t="inlineStr">
        <is>
          <t>Achal (Delegated for Udayan)</t>
        </is>
      </c>
      <c r="D2" t="inlineStr">
        <is>
          <t>Mr Riaz Hamid, Ismat Tarr-Hamid</t>
        </is>
      </c>
      <c r="E2" s="2" t="n">
        <v>45648.0</v>
      </c>
      <c r="F2" t="n">
        <v>22.0</v>
      </c>
      <c r="G2" s="3" t="n">
        <f>IFERROR(SUMPRODUCT((RENT_DUE!$B$2:$B$1000="LEASE-KH-F-2024")*(RENT_DUE!$D$2:$D$1000&gt;=DATE(2024,12,22))*(RENT_DUE!$D$2:$D$1000&lt;=DATE(2025,1,21))*RENT_DUE!$L$2:$L$1000), 0)</f>
        <v>0.0</v>
      </c>
      <c r="H2" s="3" t="n">
        <f>IFERROR(SUMPRODUCT((RENT_RECEIVED!$B$2:$B$1000="LEASE-KH-F-2024")*(RENT_RECEIVED!$E$2:$E$1000&gt;=DATE(2024,12,22))*(RENT_RECEIVED!$E$2:$E$1000&lt;=DATE(2025,1,21))*RENT_RECEIVED!$O$2:$O$1000), 0)</f>
        <v>0.0</v>
      </c>
      <c r="I2" t="inlineStr">
        <is>
          <t/>
        </is>
      </c>
      <c r="J2" s="3" t="n">
        <f>IFERROR(SUMIFS(RENT_DUE!$L$2:$L$10000, RENT_DUE!$B$2:$B$10000, "LEASE-KH-F-2024", RENT_DUE!$D$2:$D$10000, "&lt;"&amp;DATE(2024,12,22)), 0) - IFERROR(SUMIFS(RENT_RECEIVED!$O$2:$O$10000, RENT_RECEIVED!$B$2:$B$10000, "LEASE-KH-F-2024", RENT_RECEIVED!$E$2:$E$10000, "&lt;"&amp;DATE(2024,12,22)), 0)</f>
        <v>0.0</v>
      </c>
      <c r="K2" s="3" t="n">
        <f>G2 - H2</f>
        <v>0.0</v>
      </c>
      <c r="L2" s="3" t="n">
        <f>J2 + K2</f>
        <v>0.0</v>
      </c>
      <c r="M2" s="3" t="n">
        <f>H2 * 0.1000</f>
        <v>0.0</v>
      </c>
      <c r="N2" s="3" t="n">
        <f>H2 * 0.0000</f>
        <v>0.0</v>
      </c>
      <c r="O2" s="3" t="n">
        <f>ABS(M2 + N2)</f>
        <v>0.0</v>
      </c>
      <c r="P2" t="inlineStr">
        <is>
          <t/>
        </is>
      </c>
      <c r="Q2" s="3" t="n">
        <f>SUMIFS(EXPENSES!E:E, EXPENSES!B:B, "LEASE-KH-F-2024", EXPENSES!D:D, "&gt;="&amp;DATE(2024,12,22), EXPENSES!D:D, "&lt;="&amp;DATE(2025,1,21))</f>
        <v>0.0</v>
      </c>
      <c r="R2" t="inlineStr">
        <is>
          <t/>
        </is>
      </c>
      <c r="S2" s="3" t="n">
        <f>H2 - O2 - Q2</f>
        <v>0.0</v>
      </c>
      <c r="T2" t="inlineStr">
        <is>
          <t/>
        </is>
      </c>
      <c r="U2" t="inlineStr">
        <is>
          <t/>
        </is>
      </c>
      <c r="V2" t="inlineStr">
        <is>
          <t/>
        </is>
      </c>
      <c r="W2" t="inlineStr">
        <is>
          <t/>
        </is>
      </c>
      <c r="X2" t="inlineStr">
        <is>
          <t/>
        </is>
      </c>
      <c r="Y2" s="3" t="n">
        <v>12150.0</v>
      </c>
      <c r="Z2" s="3" t="n">
        <f>S2-Y2</f>
        <v>0.0</v>
      </c>
      <c r="AA2" t="inlineStr">
        <is>
          <t>PAID</t>
        </is>
      </c>
      <c r="AB2" t="inlineStr">
        <is>
          <t>MULTIPLE</t>
        </is>
      </c>
      <c r="AC2" s="2" t="n">
        <v>45982.0</v>
      </c>
    </row>
    <row r="3">
      <c r="A3" s="5" t="inlineStr">
        <is>
          <t>TOTALS</t>
        </is>
      </c>
      <c r="G3" s="6" t="n">
        <f>SUM(G2:G2)</f>
        <v>0.0</v>
      </c>
      <c r="H3" s="6" t="n">
        <f>SUM(H2:H2)</f>
        <v>0.0</v>
      </c>
      <c r="I3" t="inlineStr">
        <is>
          <t/>
        </is>
      </c>
      <c r="J3" s="6" t="n">
        <f>SUM(J2:J2)</f>
        <v>0.0</v>
      </c>
      <c r="K3" s="6" t="n">
        <f>SUM(K2:K2)</f>
        <v>0.0</v>
      </c>
      <c r="L3" s="6" t="n">
        <f>SUM(L2:L2)</f>
        <v>0.0</v>
      </c>
      <c r="M3" s="6" t="n">
        <f>SUM(M2:M2)</f>
        <v>0.0</v>
      </c>
      <c r="N3" s="6" t="n">
        <f>SUM(N2:N2)</f>
        <v>0.0</v>
      </c>
      <c r="O3" s="6" t="n">
        <f>SUM(O2:O2)</f>
        <v>0.0</v>
      </c>
      <c r="P3" t="inlineStr">
        <is>
          <t/>
        </is>
      </c>
      <c r="Q3" s="6" t="n">
        <f>SUM(Q2:Q2)</f>
        <v>0.0</v>
      </c>
      <c r="R3" t="inlineStr">
        <is>
          <t/>
        </is>
      </c>
      <c r="S3" s="6" t="n">
        <f>SUM(S2:S2)</f>
        <v>0.0</v>
      </c>
      <c r="T3" t="inlineStr">
        <is>
          <t/>
        </is>
      </c>
      <c r="U3" s="6" t="n">
        <f>SUM(U2:U2)</f>
        <v>0.0</v>
      </c>
      <c r="V3" s="6" t="n">
        <f>SUM(V2:V2)</f>
        <v>0.0</v>
      </c>
      <c r="W3" s="6" t="n">
        <f>SUM(W2:W2)</f>
        <v>0.0</v>
      </c>
      <c r="X3" s="6" t="n">
        <f>SUM(X2:X2)</f>
        <v>0.0</v>
      </c>
    </row>
    <row r="5">
      <c r="A5" s="5" t="inlineStr">
        <is>
          <t>PAYMENT RECONCILIATION</t>
        </is>
      </c>
    </row>
    <row r="6">
      <c r="A6" t="inlineStr">
        <is>
          <t>Period: 2024-12-22 to 2025-01-21</t>
        </is>
      </c>
    </row>
    <row r="8">
      <c r="A8" s="5" t="inlineStr">
        <is>
          <t>BROUGHT FORWARD (items from prior periods paid this period)</t>
        </is>
      </c>
    </row>
    <row r="9">
      <c r="A9" t="inlineStr">
        <is>
          <t xml:space="preserve">  Prior Period Income: None</t>
        </is>
      </c>
    </row>
    <row r="10">
      <c r="A10" t="inlineStr">
        <is>
          <t xml:space="preserve">  Prior Period Expenses: None</t>
        </is>
      </c>
    </row>
    <row r="11">
      <c r="A11" s="5" t="inlineStr">
        <is>
          <t xml:space="preserve">  NET B/F (Income - Expenses):</t>
        </is>
      </c>
      <c r="B11" s="6" t="n">
        <v>0.0</v>
      </c>
    </row>
    <row r="13">
      <c r="A13" s="5" t="inlineStr">
        <is>
          <t>THIS PERIOD ACTIVITY (see transactions above for details)</t>
        </is>
      </c>
    </row>
    <row r="14">
      <c r="A14" t="inlineStr">
        <is>
          <t xml:space="preserve">  Period Income (0 transactions)</t>
        </is>
      </c>
      <c r="B14" s="3" t="n">
        <v>0.0</v>
      </c>
    </row>
    <row r="15">
      <c r="A15" t="inlineStr">
        <is>
          <t xml:space="preserve">  Period Expenses (0 transactions)</t>
        </is>
      </c>
      <c r="B15" s="3" t="n">
        <v>0.0</v>
      </c>
    </row>
    <row r="16">
      <c r="A16" s="5" t="inlineStr">
        <is>
          <t xml:space="preserve">  Net Activity (Income - Expenses):</t>
        </is>
      </c>
      <c r="B16" s="6" t="n">
        <v>0.0</v>
      </c>
    </row>
    <row r="18">
      <c r="A18" s="5" t="inlineStr">
        <is>
          <t>PAYMENTS MADE THIS PERIOD</t>
        </is>
      </c>
    </row>
    <row r="19">
      <c r="A19" t="inlineStr">
        <is>
          <t xml:space="preserve">  (No payments made this period)</t>
        </is>
      </c>
    </row>
    <row r="20">
      <c r="A20" s="5" t="inlineStr">
        <is>
          <t xml:space="preserve">  Total Payments Made:</t>
        </is>
      </c>
      <c r="B20" s="6" t="n">
        <v>0.0</v>
      </c>
    </row>
    <row r="21">
      <c r="A21" t="inlineStr">
        <is>
          <t xml:space="preserve">  (See PAYMENT_ALLOCATIONS sheet for full details)</t>
        </is>
      </c>
    </row>
    <row r="23">
      <c r="A23" s="5" t="inlineStr">
        <is>
          <t>SUMMARY</t>
        </is>
      </c>
    </row>
    <row r="24">
      <c r="A24" t="inlineStr">
        <is>
          <t xml:space="preserve">  Total Allocated (Income - Expenses):</t>
        </is>
      </c>
      <c r="B24" s="3" t="n">
        <v>0.0</v>
      </c>
    </row>
    <row r="25">
      <c r="A25" t="inlineStr">
        <is>
          <t xml:space="preserve">  Total Payments Made:</t>
        </is>
      </c>
      <c r="B25" s="3" t="n">
        <v>0.0</v>
      </c>
    </row>
    <row r="26">
      <c r="A26" t="inlineStr">
        <is>
          <t xml:space="preserve">  Unallocated Payment Amounts:</t>
        </is>
      </c>
      <c r="B26" s="3" t="n">
        <v>0.0</v>
      </c>
    </row>
    <row r="28">
      <c r="A28" t="inlineStr">
        <is>
          <t>Check: Allocated 0.00 + Unallocated 0.00 = 0.00 vs Payments 0.00</t>
        </is>
      </c>
    </row>
  </sheetData>
  <pageMargins bottom="0.75" footer="0.3" header="0.3" left="0.7" right="0.7" top="0.75"/>
</worksheet>
</file>

<file path=xl/worksheets/sheet8.xml><?xml version="1.0" encoding="utf-8"?>
<worksheet xmlns="http://schemas.openxmlformats.org/spreadsheetml/2006/main">
  <dimension ref="A1:AC35"/>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LEASE-BH-F5-2025</t>
        </is>
      </c>
      <c r="B2" t="inlineStr">
        <is>
          <t>Flat 5 - 3 West Gate</t>
        </is>
      </c>
      <c r="C2" t="inlineStr">
        <is>
          <t>Achal (Delegated for Udayan)</t>
        </is>
      </c>
      <c r="D2" t="inlineStr">
        <is>
          <t>Mr Amos Blyth</t>
        </is>
      </c>
      <c r="E2" s="2" t="n">
        <v>45698.0</v>
      </c>
      <c r="F2" t="n">
        <v>10.0</v>
      </c>
      <c r="G2" s="3" t="n">
        <f>IFERROR(SUMPRODUCT((RENT_DUE!$B$2:$B$1000="LEASE-BH-F5-2025")*(RENT_DUE!$D$2:$D$1000&gt;=DATE(2025,1,22))*(RENT_DUE!$D$2:$D$1000&lt;=DATE(2025,2,21))*RENT_DUE!$L$2:$L$1000), 0)</f>
        <v>0.0</v>
      </c>
      <c r="H2" s="3" t="n">
        <f>IFERROR(SUMPRODUCT((RENT_RECEIVED!$B$2:$B$1000="LEASE-BH-F5-2025")*(RENT_RECEIVED!$E$2:$E$1000&gt;=DATE(2025,1,22))*(RENT_RECEIVED!$E$2:$E$1000&lt;=DATE(2025,2,21))*RENT_RECEIVED!$O$2:$O$1000), 0)</f>
        <v>0.0</v>
      </c>
      <c r="I2" t="inlineStr">
        <is>
          <t>HIST-2025-03-1472</t>
        </is>
      </c>
      <c r="J2" s="3" t="n">
        <f>IFERROR(SUMIFS(RENT_DUE!$L$2:$L$10000, RENT_DUE!$B$2:$B$10000, "LEASE-BH-F5-2025", RENT_DUE!$D$2:$D$10000, "&lt;"&amp;DATE(2025,1,22)), 0) - IFERROR(SUMIFS(RENT_RECEIVED!$O$2:$O$10000, RENT_RECEIVED!$B$2:$B$10000, "LEASE-BH-F5-2025", RENT_RECEIVED!$E$2:$E$10000, "&lt;"&amp;DATE(2025,1,22)), 0)</f>
        <v>0.0</v>
      </c>
      <c r="K2" s="3" t="n">
        <f>G2 - H2</f>
        <v>0.0</v>
      </c>
      <c r="L2" s="3" t="n">
        <f>J2 + K2</f>
        <v>0.0</v>
      </c>
      <c r="M2" s="3" t="n">
        <f>H2 * 0.1500</f>
        <v>0.0</v>
      </c>
      <c r="N2" s="3" t="n">
        <f>H2 * 0.0000</f>
        <v>0.0</v>
      </c>
      <c r="O2" s="3" t="n">
        <f>ABS(M2 + N2)</f>
        <v>0.0</v>
      </c>
      <c r="P2" t="inlineStr">
        <is>
          <t/>
        </is>
      </c>
      <c r="Q2" s="3" t="n">
        <f>SUMIFS(EXPENSES!E:E, EXPENSES!B:B, "LEASE-BH-F5-2025", EXPENSES!D:D, "&gt;="&amp;DATE(2025,1,22), EXPENSES!D:D, "&lt;="&amp;DATE(2025,2,21))</f>
        <v>0.0</v>
      </c>
      <c r="R2" t="inlineStr">
        <is>
          <t/>
        </is>
      </c>
      <c r="S2" s="3" t="n">
        <f>H2 - O2 - Q2</f>
        <v>0.0</v>
      </c>
      <c r="T2" t="inlineStr">
        <is>
          <t/>
        </is>
      </c>
      <c r="U2" t="inlineStr">
        <is>
          <t/>
        </is>
      </c>
      <c r="V2" t="inlineStr">
        <is>
          <t/>
        </is>
      </c>
      <c r="W2" t="inlineStr">
        <is>
          <t/>
        </is>
      </c>
      <c r="X2" t="inlineStr">
        <is>
          <t/>
        </is>
      </c>
      <c r="Y2" s="3" t="n">
        <v>6140.0</v>
      </c>
      <c r="Z2" s="3" t="n">
        <f>S2-Y2</f>
        <v>0.0</v>
      </c>
      <c r="AA2" t="inlineStr">
        <is>
          <t>PAID</t>
        </is>
      </c>
      <c r="AB2" t="inlineStr">
        <is>
          <t>MULTIPLE</t>
        </is>
      </c>
      <c r="AC2" s="2" t="n">
        <v>45982.0</v>
      </c>
    </row>
    <row r="3">
      <c r="A3" t="inlineStr">
        <is>
          <t>LEASE-BH-F7-2025</t>
        </is>
      </c>
      <c r="B3" t="inlineStr">
        <is>
          <t>Flat 7 - 3 West Gate</t>
        </is>
      </c>
      <c r="C3" t="inlineStr">
        <is>
          <t>Achal (Delegated for Udayan)</t>
        </is>
      </c>
      <c r="D3" t="inlineStr">
        <is>
          <t>Mr Chun Hung Tang</t>
        </is>
      </c>
      <c r="E3" s="2" t="n">
        <v>45707.0</v>
      </c>
      <c r="F3" t="n">
        <v>19.0</v>
      </c>
      <c r="G3" s="3" t="n">
        <f>IFERROR(SUMPRODUCT((RENT_DUE!$B$2:$B$1000="LEASE-BH-F7-2025")*(RENT_DUE!$D$2:$D$1000&gt;=DATE(2025,1,22))*(RENT_DUE!$D$2:$D$1000&lt;=DATE(2025,2,21))*RENT_DUE!$L$2:$L$1000), 0)</f>
        <v>0.0</v>
      </c>
      <c r="H3" s="3" t="n">
        <f>IFERROR(SUMPRODUCT((RENT_RECEIVED!$B$2:$B$1000="LEASE-BH-F7-2025")*(RENT_RECEIVED!$E$2:$E$1000&gt;=DATE(2025,1,22))*(RENT_RECEIVED!$E$2:$E$1000&lt;=DATE(2025,2,21))*RENT_RECEIVED!$O$2:$O$1000), 0)</f>
        <v>0.0</v>
      </c>
      <c r="I3" t="inlineStr">
        <is>
          <t>HIST-2025-03-1472</t>
        </is>
      </c>
      <c r="J3" s="3" t="n">
        <f>IFERROR(SUMIFS(RENT_DUE!$L$2:$L$10000, RENT_DUE!$B$2:$B$10000, "LEASE-BH-F7-2025", RENT_DUE!$D$2:$D$10000, "&lt;"&amp;DATE(2025,1,22)), 0) - IFERROR(SUMIFS(RENT_RECEIVED!$O$2:$O$10000, RENT_RECEIVED!$B$2:$B$10000, "LEASE-BH-F7-2025", RENT_RECEIVED!$E$2:$E$10000, "&lt;"&amp;DATE(2025,1,22)), 0)</f>
        <v>0.0</v>
      </c>
      <c r="K3" s="3" t="n">
        <f>G3 - H3</f>
        <v>0.0</v>
      </c>
      <c r="L3" s="3" t="n">
        <f>J3 + K3</f>
        <v>0.0</v>
      </c>
      <c r="M3" s="3" t="n">
        <f>H3 * 0.1500</f>
        <v>0.0</v>
      </c>
      <c r="N3" s="3" t="n">
        <f>H3 * 0.0000</f>
        <v>0.0</v>
      </c>
      <c r="O3" s="3" t="n">
        <f>ABS(M3 + N3)</f>
        <v>0.0</v>
      </c>
      <c r="P3" t="inlineStr">
        <is>
          <t/>
        </is>
      </c>
      <c r="Q3" s="3" t="n">
        <f>SUMIFS(EXPENSES!E:E, EXPENSES!B:B, "LEASE-BH-F7-2025", EXPENSES!D:D, "&gt;="&amp;DATE(2025,1,22), EXPENSES!D:D, "&lt;="&amp;DATE(2025,2,21))</f>
        <v>0.0</v>
      </c>
      <c r="R3" t="inlineStr">
        <is>
          <t/>
        </is>
      </c>
      <c r="S3" s="3" t="n">
        <f>H3 - O3 - Q3</f>
        <v>0.0</v>
      </c>
      <c r="T3" t="inlineStr">
        <is>
          <t/>
        </is>
      </c>
      <c r="U3" t="inlineStr">
        <is>
          <t/>
        </is>
      </c>
      <c r="V3" t="inlineStr">
        <is>
          <t/>
        </is>
      </c>
      <c r="W3" t="inlineStr">
        <is>
          <t/>
        </is>
      </c>
      <c r="X3" t="inlineStr">
        <is>
          <t/>
        </is>
      </c>
      <c r="Y3" s="3" t="n">
        <v>3570.0</v>
      </c>
      <c r="Z3" s="3" t="n">
        <f>S3-Y3</f>
        <v>0.0</v>
      </c>
      <c r="AA3" t="inlineStr">
        <is>
          <t>PAID</t>
        </is>
      </c>
      <c r="AB3" t="inlineStr">
        <is>
          <t>MULTIPLE</t>
        </is>
      </c>
      <c r="AC3" s="2" t="n">
        <v>45861.0</v>
      </c>
    </row>
    <row r="4">
      <c r="A4" t="inlineStr">
        <is>
          <t>LEASE-BH-F15-2025</t>
        </is>
      </c>
      <c r="B4" t="inlineStr">
        <is>
          <t>Flat 15 - 3 West Gate</t>
        </is>
      </c>
      <c r="C4" t="inlineStr">
        <is>
          <t>Achal (Delegated for Udayan)</t>
        </is>
      </c>
      <c r="D4" t="inlineStr">
        <is>
          <t>Ms Lucy Cassell</t>
        </is>
      </c>
      <c r="E4" s="2" t="n">
        <v>45703.0</v>
      </c>
      <c r="F4" t="n">
        <v>15.0</v>
      </c>
      <c r="G4" s="3" t="n">
        <f>IFERROR(SUMPRODUCT((RENT_DUE!$B$2:$B$1000="LEASE-BH-F15-2025")*(RENT_DUE!$D$2:$D$1000&gt;=DATE(2025,1,22))*(RENT_DUE!$D$2:$D$1000&lt;=DATE(2025,2,21))*RENT_DUE!$L$2:$L$1000), 0)</f>
        <v>0.0</v>
      </c>
      <c r="H4" s="3" t="n">
        <f>IFERROR(SUMPRODUCT((RENT_RECEIVED!$B$2:$B$1000="LEASE-BH-F15-2025")*(RENT_RECEIVED!$E$2:$E$1000&gt;=DATE(2025,1,22))*(RENT_RECEIVED!$E$2:$E$1000&lt;=DATE(2025,2,21))*RENT_RECEIVED!$O$2:$O$1000), 0)</f>
        <v>0.0</v>
      </c>
      <c r="I4" t="inlineStr">
        <is>
          <t>HIST-2025-03-1472, HIST-2025-03-1501</t>
        </is>
      </c>
      <c r="J4" s="3" t="n">
        <f>IFERROR(SUMIFS(RENT_DUE!$L$2:$L$10000, RENT_DUE!$B$2:$B$10000, "LEASE-BH-F15-2025", RENT_DUE!$D$2:$D$10000, "&lt;"&amp;DATE(2025,1,22)), 0) - IFERROR(SUMIFS(RENT_RECEIVED!$O$2:$O$10000, RENT_RECEIVED!$B$2:$B$10000, "LEASE-BH-F15-2025", RENT_RECEIVED!$E$2:$E$10000, "&lt;"&amp;DATE(2025,1,22)), 0)</f>
        <v>0.0</v>
      </c>
      <c r="K4" s="3" t="n">
        <f>G4 - H4</f>
        <v>0.0</v>
      </c>
      <c r="L4" s="3" t="n">
        <f>J4 + K4</f>
        <v>0.0</v>
      </c>
      <c r="M4" s="3" t="n">
        <f>H4 * 0.1500</f>
        <v>0.0</v>
      </c>
      <c r="N4" s="3" t="n">
        <f>H4 * 0.0000</f>
        <v>0.0</v>
      </c>
      <c r="O4" s="3" t="n">
        <f>ABS(M4 + N4)</f>
        <v>0.0</v>
      </c>
      <c r="P4" t="inlineStr">
        <is>
          <t/>
        </is>
      </c>
      <c r="Q4" s="3" t="n">
        <f>SUMIFS(EXPENSES!E:E, EXPENSES!B:B, "LEASE-BH-F15-2025", EXPENSES!D:D, "&gt;="&amp;DATE(2025,1,22), EXPENSES!D:D, "&lt;="&amp;DATE(2025,2,21))</f>
        <v>0.0</v>
      </c>
      <c r="R4" t="inlineStr">
        <is>
          <t/>
        </is>
      </c>
      <c r="S4" s="3" t="n">
        <f>H4 - O4 - Q4</f>
        <v>0.0</v>
      </c>
      <c r="T4" t="inlineStr">
        <is>
          <t/>
        </is>
      </c>
      <c r="U4" t="inlineStr">
        <is>
          <t/>
        </is>
      </c>
      <c r="V4" t="inlineStr">
        <is>
          <t/>
        </is>
      </c>
      <c r="W4" t="inlineStr">
        <is>
          <t/>
        </is>
      </c>
      <c r="X4" t="inlineStr">
        <is>
          <t/>
        </is>
      </c>
      <c r="Y4" s="3" t="n">
        <v>6170.0</v>
      </c>
      <c r="Z4" s="3" t="n">
        <f>S4-Y4</f>
        <v>0.0</v>
      </c>
      <c r="AA4" t="inlineStr">
        <is>
          <t>PAID</t>
        </is>
      </c>
      <c r="AB4" t="inlineStr">
        <is>
          <t>MULTIPLE</t>
        </is>
      </c>
      <c r="AC4" s="2" t="n">
        <v>45982.0</v>
      </c>
    </row>
    <row r="5">
      <c r="A5" t="inlineStr">
        <is>
          <t>LEASE-BH-F17-2025</t>
        </is>
      </c>
      <c r="B5" t="inlineStr">
        <is>
          <t>Flat 17 - 3 West Gate</t>
        </is>
      </c>
      <c r="C5" t="inlineStr">
        <is>
          <t>Achal (Delegated for Udayan)</t>
        </is>
      </c>
      <c r="D5" t="inlineStr">
        <is>
          <t>Mr Harsh Patel</t>
        </is>
      </c>
      <c r="E5" s="2" t="n">
        <v>45705.0</v>
      </c>
      <c r="F5" t="n">
        <v>17.0</v>
      </c>
      <c r="G5" s="3" t="n">
        <f>IFERROR(SUMPRODUCT((RENT_DUE!$B$2:$B$1000="LEASE-BH-F17-2025")*(RENT_DUE!$D$2:$D$1000&gt;=DATE(2025,1,22))*(RENT_DUE!$D$2:$D$1000&lt;=DATE(2025,2,21))*RENT_DUE!$L$2:$L$1000), 0)</f>
        <v>0.0</v>
      </c>
      <c r="H5" s="3" t="n">
        <f>IFERROR(SUMPRODUCT((RENT_RECEIVED!$B$2:$B$1000="LEASE-BH-F17-2025")*(RENT_RECEIVED!$E$2:$E$1000&gt;=DATE(2025,1,22))*(RENT_RECEIVED!$E$2:$E$1000&lt;=DATE(2025,2,21))*RENT_RECEIVED!$O$2:$O$1000), 0)</f>
        <v>0.0</v>
      </c>
      <c r="I5" t="inlineStr">
        <is>
          <t>HIST-2025-03-1501</t>
        </is>
      </c>
      <c r="J5" s="3" t="n">
        <f>IFERROR(SUMIFS(RENT_DUE!$L$2:$L$10000, RENT_DUE!$B$2:$B$10000, "LEASE-BH-F17-2025", RENT_DUE!$D$2:$D$10000, "&lt;"&amp;DATE(2025,1,22)), 0) - IFERROR(SUMIFS(RENT_RECEIVED!$O$2:$O$10000, RENT_RECEIVED!$B$2:$B$10000, "LEASE-BH-F17-2025", RENT_RECEIVED!$E$2:$E$10000, "&lt;"&amp;DATE(2025,1,22)), 0)</f>
        <v>0.0</v>
      </c>
      <c r="K5" s="3" t="n">
        <f>G5 - H5</f>
        <v>0.0</v>
      </c>
      <c r="L5" s="3" t="n">
        <f>J5 + K5</f>
        <v>0.0</v>
      </c>
      <c r="M5" s="3" t="n">
        <f>H5 * 0.1500</f>
        <v>0.0</v>
      </c>
      <c r="N5" s="3" t="n">
        <f>H5 * 0.0000</f>
        <v>0.0</v>
      </c>
      <c r="O5" s="3" t="n">
        <f>ABS(M5 + N5)</f>
        <v>0.0</v>
      </c>
      <c r="P5" t="inlineStr">
        <is>
          <t/>
        </is>
      </c>
      <c r="Q5" s="3" t="n">
        <f>SUMIFS(EXPENSES!E:E, EXPENSES!B:B, "LEASE-BH-F17-2025", EXPENSES!D:D, "&gt;="&amp;DATE(2025,1,22), EXPENSES!D:D, "&lt;="&amp;DATE(2025,2,21))</f>
        <v>0.0</v>
      </c>
      <c r="R5" t="inlineStr">
        <is>
          <t/>
        </is>
      </c>
      <c r="S5" s="3" t="n">
        <f>H5 - O5 - Q5</f>
        <v>0.0</v>
      </c>
      <c r="T5" t="inlineStr">
        <is>
          <t/>
        </is>
      </c>
      <c r="U5" t="inlineStr">
        <is>
          <t/>
        </is>
      </c>
      <c r="V5" t="inlineStr">
        <is>
          <t/>
        </is>
      </c>
      <c r="W5" t="inlineStr">
        <is>
          <t/>
        </is>
      </c>
      <c r="X5" t="inlineStr">
        <is>
          <t/>
        </is>
      </c>
      <c r="Y5" s="3" t="n">
        <v>5800.0</v>
      </c>
      <c r="Z5" s="3" t="n">
        <f>S5-Y5</f>
        <v>0.0</v>
      </c>
      <c r="AA5" t="inlineStr">
        <is>
          <t>PAID</t>
        </is>
      </c>
      <c r="AB5" t="inlineStr">
        <is>
          <t>MULTIPLE</t>
        </is>
      </c>
      <c r="AC5" s="2" t="n">
        <v>45982.0</v>
      </c>
    </row>
    <row r="6">
      <c r="A6" t="inlineStr">
        <is>
          <t>LEASE-BH-F18-2025</t>
        </is>
      </c>
      <c r="B6" t="inlineStr">
        <is>
          <t>Flat 18 - 3 West Gate</t>
        </is>
      </c>
      <c r="C6" t="inlineStr">
        <is>
          <t>Achal (Delegated for Udayan)</t>
        </is>
      </c>
      <c r="D6" t="inlineStr">
        <is>
          <t>Marie Dinko</t>
        </is>
      </c>
      <c r="E6" s="2" t="n">
        <v>45687.0</v>
      </c>
      <c r="F6" t="n">
        <v>30.0</v>
      </c>
      <c r="G6" s="3" t="n">
        <f>IFERROR(SUMPRODUCT((RENT_DUE!$B$2:$B$1000="LEASE-BH-F18-2025")*(RENT_DUE!$D$2:$D$1000&gt;=DATE(2025,1,22))*(RENT_DUE!$D$2:$D$1000&lt;=DATE(2025,2,21))*RENT_DUE!$L$2:$L$1000), 0)</f>
        <v>0.0</v>
      </c>
      <c r="H6" s="3" t="n">
        <f>IFERROR(SUMPRODUCT((RENT_RECEIVED!$B$2:$B$1000="LEASE-BH-F18-2025")*(RENT_RECEIVED!$E$2:$E$1000&gt;=DATE(2025,1,22))*(RENT_RECEIVED!$E$2:$E$1000&lt;=DATE(2025,2,21))*RENT_RECEIVED!$O$2:$O$1000), 0)</f>
        <v>0.0</v>
      </c>
      <c r="I6" t="inlineStr">
        <is>
          <t>HIST-2025-03-1475</t>
        </is>
      </c>
      <c r="J6" s="3" t="n">
        <f>IFERROR(SUMIFS(RENT_DUE!$L$2:$L$10000, RENT_DUE!$B$2:$B$10000, "LEASE-BH-F18-2025", RENT_DUE!$D$2:$D$10000, "&lt;"&amp;DATE(2025,1,22)), 0) - IFERROR(SUMIFS(RENT_RECEIVED!$O$2:$O$10000, RENT_RECEIVED!$B$2:$B$10000, "LEASE-BH-F18-2025", RENT_RECEIVED!$E$2:$E$10000, "&lt;"&amp;DATE(2025,1,22)), 0)</f>
        <v>0.0</v>
      </c>
      <c r="K6" s="3" t="n">
        <f>G6 - H6</f>
        <v>0.0</v>
      </c>
      <c r="L6" s="3" t="n">
        <f>J6 + K6</f>
        <v>0.0</v>
      </c>
      <c r="M6" s="3" t="n">
        <f>H6 * 0.1500</f>
        <v>0.0</v>
      </c>
      <c r="N6" s="3" t="n">
        <f>H6 * 0.0000</f>
        <v>0.0</v>
      </c>
      <c r="O6" s="3" t="n">
        <f>ABS(M6 + N6)</f>
        <v>0.0</v>
      </c>
      <c r="P6" t="inlineStr">
        <is>
          <t/>
        </is>
      </c>
      <c r="Q6" s="3" t="n">
        <f>SUMIFS(EXPENSES!E:E, EXPENSES!B:B, "LEASE-BH-F18-2025", EXPENSES!D:D, "&gt;="&amp;DATE(2025,1,22), EXPENSES!D:D, "&lt;="&amp;DATE(2025,2,21))</f>
        <v>0.0</v>
      </c>
      <c r="R6" t="inlineStr">
        <is>
          <t/>
        </is>
      </c>
      <c r="S6" s="3" t="n">
        <f>H6 - O6 - Q6</f>
        <v>0.0</v>
      </c>
      <c r="T6" t="inlineStr">
        <is>
          <t/>
        </is>
      </c>
      <c r="U6" t="inlineStr">
        <is>
          <t/>
        </is>
      </c>
      <c r="V6" t="inlineStr">
        <is>
          <t/>
        </is>
      </c>
      <c r="W6" t="inlineStr">
        <is>
          <t/>
        </is>
      </c>
      <c r="X6" t="inlineStr">
        <is>
          <t/>
        </is>
      </c>
      <c r="Y6" s="3" t="n">
        <v>2044.25</v>
      </c>
      <c r="Z6" s="3" t="n">
        <f>S6-Y6</f>
        <v>0.0</v>
      </c>
      <c r="AA6" t="inlineStr">
        <is>
          <t>PAID</t>
        </is>
      </c>
      <c r="AB6" t="inlineStr">
        <is>
          <t>MULTIPLE</t>
        </is>
      </c>
      <c r="AC6" s="2" t="n">
        <v>45804.0</v>
      </c>
    </row>
    <row r="7">
      <c r="A7" t="inlineStr">
        <is>
          <t>LEASE-BH-F21-2025</t>
        </is>
      </c>
      <c r="B7" t="inlineStr">
        <is>
          <t>Flat 21 - 3 West Gate</t>
        </is>
      </c>
      <c r="C7" t="inlineStr">
        <is>
          <t>Achal (Delegated for Udayan)</t>
        </is>
      </c>
      <c r="D7" t="inlineStr">
        <is>
          <t>Mr Felwin Francis</t>
        </is>
      </c>
      <c r="E7" s="2" t="n">
        <v>45687.0</v>
      </c>
      <c r="F7" t="n">
        <v>30.0</v>
      </c>
      <c r="G7" s="3" t="n">
        <f>IFERROR(SUMPRODUCT((RENT_DUE!$B$2:$B$1000="LEASE-BH-F21-2025")*(RENT_DUE!$D$2:$D$1000&gt;=DATE(2025,1,22))*(RENT_DUE!$D$2:$D$1000&lt;=DATE(2025,2,21))*RENT_DUE!$L$2:$L$1000), 0)</f>
        <v>0.0</v>
      </c>
      <c r="H7" s="3" t="n">
        <f>IFERROR(SUMPRODUCT((RENT_RECEIVED!$B$2:$B$1000="LEASE-BH-F21-2025")*(RENT_RECEIVED!$E$2:$E$1000&gt;=DATE(2025,1,22))*(RENT_RECEIVED!$E$2:$E$1000&lt;=DATE(2025,2,21))*RENT_RECEIVED!$O$2:$O$1000), 0)</f>
        <v>0.0</v>
      </c>
      <c r="I7" t="inlineStr">
        <is>
          <t>HIST-2025-03-1472, HIST-2025-03-1475</t>
        </is>
      </c>
      <c r="J7" s="3" t="n">
        <f>IFERROR(SUMIFS(RENT_DUE!$L$2:$L$10000, RENT_DUE!$B$2:$B$10000, "LEASE-BH-F21-2025", RENT_DUE!$D$2:$D$10000, "&lt;"&amp;DATE(2025,1,22)), 0) - IFERROR(SUMIFS(RENT_RECEIVED!$O$2:$O$10000, RENT_RECEIVED!$B$2:$B$10000, "LEASE-BH-F21-2025", RENT_RECEIVED!$E$2:$E$10000, "&lt;"&amp;DATE(2025,1,22)), 0)</f>
        <v>0.0</v>
      </c>
      <c r="K7" s="3" t="n">
        <f>G7 - H7</f>
        <v>0.0</v>
      </c>
      <c r="L7" s="3" t="n">
        <f>J7 + K7</f>
        <v>0.0</v>
      </c>
      <c r="M7" s="3" t="n">
        <f>H7 * 0.1500</f>
        <v>0.0</v>
      </c>
      <c r="N7" s="3" t="n">
        <f>H7 * 0.0000</f>
        <v>0.0</v>
      </c>
      <c r="O7" s="3" t="n">
        <f>ABS(M7 + N7)</f>
        <v>0.0</v>
      </c>
      <c r="P7" t="inlineStr">
        <is>
          <t/>
        </is>
      </c>
      <c r="Q7" s="3" t="n">
        <f>SUMIFS(EXPENSES!E:E, EXPENSES!B:B, "LEASE-BH-F21-2025", EXPENSES!D:D, "&gt;="&amp;DATE(2025,1,22), EXPENSES!D:D, "&lt;="&amp;DATE(2025,2,21))</f>
        <v>0.0</v>
      </c>
      <c r="R7" t="inlineStr">
        <is>
          <t/>
        </is>
      </c>
      <c r="S7" s="3" t="n">
        <f>H7 - O7 - Q7</f>
        <v>0.0</v>
      </c>
      <c r="T7" t="inlineStr">
        <is>
          <t/>
        </is>
      </c>
      <c r="U7" t="inlineStr">
        <is>
          <t/>
        </is>
      </c>
      <c r="V7" t="inlineStr">
        <is>
          <t/>
        </is>
      </c>
      <c r="W7" t="inlineStr">
        <is>
          <t/>
        </is>
      </c>
      <c r="X7" t="inlineStr">
        <is>
          <t/>
        </is>
      </c>
      <c r="Y7" s="3" t="n">
        <v>6637.5</v>
      </c>
      <c r="Z7" s="3" t="n">
        <f>S7-Y7</f>
        <v>0.0</v>
      </c>
      <c r="AA7" t="inlineStr">
        <is>
          <t>PAID</t>
        </is>
      </c>
      <c r="AB7" t="inlineStr">
        <is>
          <t>MULTIPLE</t>
        </is>
      </c>
      <c r="AC7" s="2" t="n">
        <v>45982.0</v>
      </c>
    </row>
    <row r="8">
      <c r="A8" t="inlineStr">
        <is>
          <t>LEASE-BH-F24-2025</t>
        </is>
      </c>
      <c r="B8" t="inlineStr">
        <is>
          <t>Flat 24 - 3 West Gate</t>
        </is>
      </c>
      <c r="C8" t="inlineStr">
        <is>
          <t>Achal (Delegated for Udayan)</t>
        </is>
      </c>
      <c r="D8" t="inlineStr">
        <is>
          <t>Mr Ethan Maloney, Miss Soraya Fearon</t>
        </is>
      </c>
      <c r="E8" s="2" t="n">
        <v>45700.0</v>
      </c>
      <c r="F8" t="n">
        <v>12.0</v>
      </c>
      <c r="G8" s="3" t="n">
        <f>IFERROR(SUMPRODUCT((RENT_DUE!$B$2:$B$1000="LEASE-BH-F24-2025")*(RENT_DUE!$D$2:$D$1000&gt;=DATE(2025,1,22))*(RENT_DUE!$D$2:$D$1000&lt;=DATE(2025,2,21))*RENT_DUE!$L$2:$L$1000), 0)</f>
        <v>0.0</v>
      </c>
      <c r="H8" s="3" t="n">
        <f>IFERROR(SUMPRODUCT((RENT_RECEIVED!$B$2:$B$1000="LEASE-BH-F24-2025")*(RENT_RECEIVED!$E$2:$E$1000&gt;=DATE(2025,1,22))*(RENT_RECEIVED!$E$2:$E$1000&lt;=DATE(2025,2,21))*RENT_RECEIVED!$O$2:$O$1000), 0)</f>
        <v>0.0</v>
      </c>
      <c r="I8" t="inlineStr">
        <is>
          <t>HIST-2025-03-1501</t>
        </is>
      </c>
      <c r="J8" s="3" t="n">
        <f>IFERROR(SUMIFS(RENT_DUE!$L$2:$L$10000, RENT_DUE!$B$2:$B$10000, "LEASE-BH-F24-2025", RENT_DUE!$D$2:$D$10000, "&lt;"&amp;DATE(2025,1,22)), 0) - IFERROR(SUMIFS(RENT_RECEIVED!$O$2:$O$10000, RENT_RECEIVED!$B$2:$B$10000, "LEASE-BH-F24-2025", RENT_RECEIVED!$E$2:$E$10000, "&lt;"&amp;DATE(2025,1,22)), 0)</f>
        <v>0.0</v>
      </c>
      <c r="K8" s="3" t="n">
        <f>G8 - H8</f>
        <v>0.0</v>
      </c>
      <c r="L8" s="3" t="n">
        <f>J8 + K8</f>
        <v>0.0</v>
      </c>
      <c r="M8" s="3" t="n">
        <f>H8 * 0.1500</f>
        <v>0.0</v>
      </c>
      <c r="N8" s="3" t="n">
        <f>H8 * 0.0000</f>
        <v>0.0</v>
      </c>
      <c r="O8" s="3" t="n">
        <f>ABS(M8 + N8)</f>
        <v>0.0</v>
      </c>
      <c r="P8" t="inlineStr">
        <is>
          <t/>
        </is>
      </c>
      <c r="Q8" s="3" t="n">
        <f>SUMIFS(EXPENSES!E:E, EXPENSES!B:B, "LEASE-BH-F24-2025", EXPENSES!D:D, "&gt;="&amp;DATE(2025,1,22), EXPENSES!D:D, "&lt;="&amp;DATE(2025,2,21))</f>
        <v>0.0</v>
      </c>
      <c r="R8" t="inlineStr">
        <is>
          <t/>
        </is>
      </c>
      <c r="S8" s="3" t="n">
        <f>H8 - O8 - Q8</f>
        <v>0.0</v>
      </c>
      <c r="T8" t="inlineStr">
        <is>
          <t/>
        </is>
      </c>
      <c r="U8" t="inlineStr">
        <is>
          <t/>
        </is>
      </c>
      <c r="V8" t="inlineStr">
        <is>
          <t/>
        </is>
      </c>
      <c r="W8" t="inlineStr">
        <is>
          <t/>
        </is>
      </c>
      <c r="X8" t="inlineStr">
        <is>
          <t/>
        </is>
      </c>
      <c r="Y8" s="3" t="n">
        <v>6765.0</v>
      </c>
      <c r="Z8" s="3" t="n">
        <f>S8-Y8</f>
        <v>0.0</v>
      </c>
      <c r="AA8" t="inlineStr">
        <is>
          <t>PAID</t>
        </is>
      </c>
      <c r="AB8" t="inlineStr">
        <is>
          <t>MULTIPLE</t>
        </is>
      </c>
      <c r="AC8" s="2" t="n">
        <v>45982.0</v>
      </c>
    </row>
    <row r="9">
      <c r="A9" t="inlineStr">
        <is>
          <t>LEASE-KH-F-2024</t>
        </is>
      </c>
      <c r="B9" t="inlineStr">
        <is>
          <t>Apartment F - Knighton Hayes Manor</t>
        </is>
      </c>
      <c r="C9" t="inlineStr">
        <is>
          <t>Achal (Delegated for Udayan)</t>
        </is>
      </c>
      <c r="D9" t="inlineStr">
        <is>
          <t>Mr Riaz Hamid, Ismat Tarr-Hamid</t>
        </is>
      </c>
      <c r="E9" s="2" t="n">
        <v>45648.0</v>
      </c>
      <c r="F9" t="n">
        <v>22.0</v>
      </c>
      <c r="G9" s="3" t="n">
        <f>IFERROR(SUMPRODUCT((RENT_DUE!$B$2:$B$1000="LEASE-KH-F-2024")*(RENT_DUE!$D$2:$D$1000&gt;=DATE(2025,1,22))*(RENT_DUE!$D$2:$D$1000&lt;=DATE(2025,2,21))*RENT_DUE!$L$2:$L$1000), 0)</f>
        <v>0.0</v>
      </c>
      <c r="H9" s="3" t="n">
        <f>IFERROR(SUMPRODUCT((RENT_RECEIVED!$B$2:$B$1000="LEASE-KH-F-2024")*(RENT_RECEIVED!$E$2:$E$1000&gt;=DATE(2025,1,22))*(RENT_RECEIVED!$E$2:$E$1000&lt;=DATE(2025,2,21))*RENT_RECEIVED!$O$2:$O$1000), 0)</f>
        <v>0.0</v>
      </c>
      <c r="I9" t="inlineStr">
        <is>
          <t>HIST-2025-03-1473, HIST-2025-03-1474</t>
        </is>
      </c>
      <c r="J9" s="3" t="n">
        <f>IFERROR(SUMIFS(RENT_DUE!$L$2:$L$10000, RENT_DUE!$B$2:$B$10000, "LEASE-KH-F-2024", RENT_DUE!$D$2:$D$10000, "&lt;"&amp;DATE(2025,1,22)), 0) - IFERROR(SUMIFS(RENT_RECEIVED!$O$2:$O$10000, RENT_RECEIVED!$B$2:$B$10000, "LEASE-KH-F-2024", RENT_RECEIVED!$E$2:$E$10000, "&lt;"&amp;DATE(2025,1,22)), 0)</f>
        <v>0.0</v>
      </c>
      <c r="K9" s="3" t="n">
        <f>G9 - H9</f>
        <v>0.0</v>
      </c>
      <c r="L9" s="3" t="n">
        <f>J9 + K9</f>
        <v>0.0</v>
      </c>
      <c r="M9" s="3" t="n">
        <f>H9 * 0.1000</f>
        <v>0.0</v>
      </c>
      <c r="N9" s="3" t="n">
        <f>H9 * 0.0000</f>
        <v>0.0</v>
      </c>
      <c r="O9" s="3" t="n">
        <f>ABS(M9 + N9)</f>
        <v>0.0</v>
      </c>
      <c r="P9" t="inlineStr">
        <is>
          <t/>
        </is>
      </c>
      <c r="Q9" s="3" t="n">
        <f>SUMIFS(EXPENSES!E:E, EXPENSES!B:B, "LEASE-KH-F-2024", EXPENSES!D:D, "&gt;="&amp;DATE(2025,1,22), EXPENSES!D:D, "&lt;="&amp;DATE(2025,2,21))</f>
        <v>0.0</v>
      </c>
      <c r="R9" t="inlineStr">
        <is>
          <t/>
        </is>
      </c>
      <c r="S9" s="3" t="n">
        <f>H9 - O9 - Q9</f>
        <v>0.0</v>
      </c>
      <c r="T9" t="inlineStr">
        <is>
          <t/>
        </is>
      </c>
      <c r="U9" t="inlineStr">
        <is>
          <t/>
        </is>
      </c>
      <c r="V9" t="inlineStr">
        <is>
          <t/>
        </is>
      </c>
      <c r="W9" t="inlineStr">
        <is>
          <t/>
        </is>
      </c>
      <c r="X9" t="inlineStr">
        <is>
          <t/>
        </is>
      </c>
      <c r="Y9" s="3" t="n">
        <v>12150.0</v>
      </c>
      <c r="Z9" s="3" t="n">
        <f>S9-Y9</f>
        <v>0.0</v>
      </c>
      <c r="AA9" t="inlineStr">
        <is>
          <t>PAID</t>
        </is>
      </c>
      <c r="AB9" t="inlineStr">
        <is>
          <t>MULTIPLE</t>
        </is>
      </c>
      <c r="AC9" s="2" t="n">
        <v>45982.0</v>
      </c>
    </row>
    <row r="10">
      <c r="A10" s="5" t="inlineStr">
        <is>
          <t>TOTALS</t>
        </is>
      </c>
      <c r="G10" s="6" t="n">
        <f>SUM(G2:G9)</f>
        <v>0.0</v>
      </c>
      <c r="H10" s="6" t="n">
        <f>SUM(H2:H9)</f>
        <v>0.0</v>
      </c>
      <c r="I10" t="inlineStr">
        <is>
          <t/>
        </is>
      </c>
      <c r="J10" s="6" t="n">
        <f>SUM(J2:J9)</f>
        <v>0.0</v>
      </c>
      <c r="K10" s="6" t="n">
        <f>SUM(K2:K9)</f>
        <v>0.0</v>
      </c>
      <c r="L10" s="6" t="n">
        <f>SUM(L2:L9)</f>
        <v>0.0</v>
      </c>
      <c r="M10" s="6" t="n">
        <f>SUM(M2:M9)</f>
        <v>0.0</v>
      </c>
      <c r="N10" s="6" t="n">
        <f>SUM(N2:N9)</f>
        <v>0.0</v>
      </c>
      <c r="O10" s="6" t="n">
        <f>SUM(O2:O9)</f>
        <v>0.0</v>
      </c>
      <c r="P10" t="inlineStr">
        <is>
          <t/>
        </is>
      </c>
      <c r="Q10" s="6" t="n">
        <f>SUM(Q2:Q9)</f>
        <v>0.0</v>
      </c>
      <c r="R10" t="inlineStr">
        <is>
          <t/>
        </is>
      </c>
      <c r="S10" s="6" t="n">
        <f>SUM(S2:S9)</f>
        <v>0.0</v>
      </c>
      <c r="T10" t="inlineStr">
        <is>
          <t/>
        </is>
      </c>
      <c r="U10" s="6" t="n">
        <f>SUM(U2:U9)</f>
        <v>0.0</v>
      </c>
      <c r="V10" s="6" t="n">
        <f>SUM(V2:V9)</f>
        <v>0.0</v>
      </c>
      <c r="W10" s="6" t="n">
        <f>SUM(W2:W9)</f>
        <v>0.0</v>
      </c>
      <c r="X10" s="6" t="n">
        <f>SUM(X2:X9)</f>
        <v>0.0</v>
      </c>
    </row>
    <row r="12">
      <c r="A12" s="5" t="inlineStr">
        <is>
          <t>PAYMENT RECONCILIATION</t>
        </is>
      </c>
    </row>
    <row r="13">
      <c r="A13" t="inlineStr">
        <is>
          <t>Period: 2025-01-22 to 2025-02-21</t>
        </is>
      </c>
    </row>
    <row r="15">
      <c r="A15" s="5" t="inlineStr">
        <is>
          <t>BROUGHT FORWARD (items from prior periods paid this period)</t>
        </is>
      </c>
    </row>
    <row r="16">
      <c r="A16" t="inlineStr">
        <is>
          <t xml:space="preserve">  Prior Period Income: None</t>
        </is>
      </c>
    </row>
    <row r="17">
      <c r="A17" t="inlineStr">
        <is>
          <t xml:space="preserve">  Prior Period Expenses: None</t>
        </is>
      </c>
    </row>
    <row r="18">
      <c r="A18" s="5" t="inlineStr">
        <is>
          <t xml:space="preserve">  NET B/F (Income - Expenses):</t>
        </is>
      </c>
      <c r="B18" s="6" t="n">
        <v>0.0</v>
      </c>
    </row>
    <row r="20">
      <c r="A20" s="5" t="inlineStr">
        <is>
          <t>THIS PERIOD ACTIVITY (see transactions above for details)</t>
        </is>
      </c>
    </row>
    <row r="21">
      <c r="A21" t="inlineStr">
        <is>
          <t xml:space="preserve">  Period Income (0 transactions)</t>
        </is>
      </c>
      <c r="B21" s="3" t="n">
        <v>0.0</v>
      </c>
    </row>
    <row r="22">
      <c r="A22" t="inlineStr">
        <is>
          <t xml:space="preserve">  Period Expenses (0 transactions)</t>
        </is>
      </c>
      <c r="B22" s="3" t="n">
        <v>0.0</v>
      </c>
    </row>
    <row r="23">
      <c r="A23" s="5" t="inlineStr">
        <is>
          <t xml:space="preserve">  Net Activity (Income - Expenses):</t>
        </is>
      </c>
      <c r="B23" s="6" t="n">
        <v>0.0</v>
      </c>
    </row>
    <row r="25">
      <c r="A25" s="5" t="inlineStr">
        <is>
          <t>PAYMENTS MADE THIS PERIOD</t>
        </is>
      </c>
    </row>
    <row r="26">
      <c r="A26" t="inlineStr">
        <is>
          <t xml:space="preserve">  (No payments made this period)</t>
        </is>
      </c>
    </row>
    <row r="27">
      <c r="A27" s="5" t="inlineStr">
        <is>
          <t xml:space="preserve">  Total Payments Made:</t>
        </is>
      </c>
      <c r="B27" s="6" t="n">
        <v>0.0</v>
      </c>
    </row>
    <row r="28">
      <c r="A28" t="inlineStr">
        <is>
          <t xml:space="preserve">  (See PAYMENT_ALLOCATIONS sheet for full details)</t>
        </is>
      </c>
    </row>
    <row r="30">
      <c r="A30" s="5" t="inlineStr">
        <is>
          <t>SUMMARY</t>
        </is>
      </c>
    </row>
    <row r="31">
      <c r="A31" t="inlineStr">
        <is>
          <t xml:space="preserve">  Total Allocated (Income - Expenses):</t>
        </is>
      </c>
      <c r="B31" s="3" t="n">
        <v>0.0</v>
      </c>
    </row>
    <row r="32">
      <c r="A32" t="inlineStr">
        <is>
          <t xml:space="preserve">  Total Payments Made:</t>
        </is>
      </c>
      <c r="B32" s="3" t="n">
        <v>0.0</v>
      </c>
    </row>
    <row r="33">
      <c r="A33" t="inlineStr">
        <is>
          <t xml:space="preserve">  Unallocated Payment Amounts:</t>
        </is>
      </c>
      <c r="B33" s="3" t="n">
        <v>0.0</v>
      </c>
    </row>
    <row r="35">
      <c r="A35" t="inlineStr">
        <is>
          <t>Check: Allocated 0.00 + Unallocated 0.00 = 0.00 vs Payments 0.00</t>
        </is>
      </c>
    </row>
  </sheetData>
  <pageMargins bottom="0.75" footer="0.3" header="0.3" left="0.7" right="0.7" top="0.75"/>
</worksheet>
</file>

<file path=xl/worksheets/sheet9.xml><?xml version="1.0" encoding="utf-8"?>
<worksheet xmlns="http://schemas.openxmlformats.org/spreadsheetml/2006/main">
  <dimension ref="A1:AC69"/>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IFERROR(SUMPRODUCT((RENT_DUE!$B$2:$B$1000="LEASE-BH-F1-2025")*(RENT_DUE!$D$2:$D$1000&gt;=DATE(2025,2,22))*(RENT_DUE!$D$2:$D$1000&lt;=DATE(2025,3,21))*RENT_DUE!$L$2:$L$1000), 0)</f>
        <v>0.0</v>
      </c>
      <c r="H2" s="3" t="n">
        <f>IFERROR(SUMPRODUCT((RENT_RECEIVED!$B$2:$B$1000="LEASE-BH-F1-2025")*(RENT_RECEIVED!$E$2:$E$1000&gt;=DATE(2025,2,22))*(RENT_RECEIVED!$E$2:$E$1000&lt;=DATE(2025,3,21))*RENT_RECEIVED!$O$2:$O$1000), 0)</f>
        <v>0.0</v>
      </c>
      <c r="I2" t="inlineStr">
        <is>
          <t>HIST-2025-03-1501</t>
        </is>
      </c>
      <c r="J2" s="3" t="n">
        <f>IFERROR(SUMIFS(RENT_DUE!$L$2:$L$10000, RENT_DUE!$B$2:$B$10000, "LEASE-BH-F1-2025", RENT_DUE!$D$2:$D$10000, "&lt;"&amp;DATE(2025,2,22)), 0) - IFERROR(SUMIFS(RENT_RECEIVED!$O$2:$O$10000, RENT_RECEIVED!$B$2:$B$10000, "LEASE-BH-F1-2025", RENT_RECEIVED!$E$2:$E$10000, "&lt;"&amp;DATE(2025,2,22)), 0)</f>
        <v>0.0</v>
      </c>
      <c r="K2" s="3" t="n">
        <f>G2 - H2</f>
        <v>0.0</v>
      </c>
      <c r="L2" s="3" t="n">
        <f>J2 + K2</f>
        <v>0.0</v>
      </c>
      <c r="M2" s="3" t="n">
        <f>H2 * 0.1500</f>
        <v>0.0</v>
      </c>
      <c r="N2" s="3" t="n">
        <f>H2 * 0.0000</f>
        <v>0.0</v>
      </c>
      <c r="O2" s="3" t="n">
        <f>ABS(M2 + N2)</f>
        <v>0.0</v>
      </c>
      <c r="P2" t="inlineStr">
        <is>
          <t/>
        </is>
      </c>
      <c r="Q2" s="3" t="n">
        <f>SUMIFS(EXPENSES!E:E, EXPENSES!B:B, "LEASE-BH-F1-2025", EXPENSES!D:D, "&gt;="&amp;DATE(2025,2,22), EXPENSES!D:D, "&lt;="&amp;DATE(2025,3,21))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IFERROR(SUMPRODUCT((RENT_DUE!$B$2:$B$1000="LEASE-BH-F2-2025")*(RENT_DUE!$D$2:$D$1000&gt;=DATE(2025,2,22))*(RENT_DUE!$D$2:$D$1000&lt;=DATE(2025,3,21))*RENT_DUE!$L$2:$L$1000), 0)</f>
        <v>0.0</v>
      </c>
      <c r="H3" s="3" t="n">
        <f>IFERROR(SUMPRODUCT((RENT_RECEIVED!$B$2:$B$1000="LEASE-BH-F2-2025")*(RENT_RECEIVED!$E$2:$E$1000&gt;=DATE(2025,2,22))*(RENT_RECEIVED!$E$2:$E$1000&lt;=DATE(2025,3,21))*RENT_RECEIVED!$O$2:$O$1000), 0)</f>
        <v>0.0</v>
      </c>
      <c r="I3" t="inlineStr">
        <is>
          <t>HIST-2025-03-1501</t>
        </is>
      </c>
      <c r="J3" s="3" t="n">
        <f>IFERROR(SUMIFS(RENT_DUE!$L$2:$L$10000, RENT_DUE!$B$2:$B$10000, "LEASE-BH-F2-2025", RENT_DUE!$D$2:$D$10000, "&lt;"&amp;DATE(2025,2,22)), 0) - IFERROR(SUMIFS(RENT_RECEIVED!$O$2:$O$10000, RENT_RECEIVED!$B$2:$B$10000, "LEASE-BH-F2-2025", RENT_RECEIVED!$E$2:$E$10000, "&lt;"&amp;DATE(2025,2,22)), 0)</f>
        <v>0.0</v>
      </c>
      <c r="K3" s="3" t="n">
        <f>G3 - H3</f>
        <v>0.0</v>
      </c>
      <c r="L3" s="3" t="n">
        <f>J3 + K3</f>
        <v>0.0</v>
      </c>
      <c r="M3" s="3" t="n">
        <f>H3 * 0.1500</f>
        <v>0.0</v>
      </c>
      <c r="N3" s="3" t="n">
        <f>H3 * 0.0000</f>
        <v>0.0</v>
      </c>
      <c r="O3" s="3" t="n">
        <f>ABS(M3 + N3)</f>
        <v>0.0</v>
      </c>
      <c r="P3" t="inlineStr">
        <is>
          <t/>
        </is>
      </c>
      <c r="Q3" s="3" t="n">
        <f>SUMIFS(EXPENSES!E:E, EXPENSES!B:B, "LEASE-BH-F2-2025", EXPENSES!D:D, "&gt;="&amp;DATE(2025,2,22), EXPENSES!D:D, "&lt;="&amp;DATE(2025,3,21))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IFERROR(SUMPRODUCT((RENT_DUE!$B$2:$B$1000="LEASE-BH-F3-2025")*(RENT_DUE!$D$2:$D$1000&gt;=DATE(2025,2,22))*(RENT_DUE!$D$2:$D$1000&lt;=DATE(2025,3,21))*RENT_DUE!$L$2:$L$1000), 0)</f>
        <v>0.0</v>
      </c>
      <c r="H4" s="3" t="n">
        <f>IFERROR(SUMPRODUCT((RENT_RECEIVED!$B$2:$B$1000="LEASE-BH-F3-2025")*(RENT_RECEIVED!$E$2:$E$1000&gt;=DATE(2025,2,22))*(RENT_RECEIVED!$E$2:$E$1000&lt;=DATE(2025,3,21))*RENT_RECEIVED!$O$2:$O$1000), 0)</f>
        <v>0.0</v>
      </c>
      <c r="I4" t="inlineStr">
        <is>
          <t>HIST-2025-03-1501</t>
        </is>
      </c>
      <c r="J4" s="3" t="n">
        <f>IFERROR(SUMIFS(RENT_DUE!$L$2:$L$10000, RENT_DUE!$B$2:$B$10000, "LEASE-BH-F3-2025", RENT_DUE!$D$2:$D$10000, "&lt;"&amp;DATE(2025,2,22)), 0) - IFERROR(SUMIFS(RENT_RECEIVED!$O$2:$O$10000, RENT_RECEIVED!$B$2:$B$10000, "LEASE-BH-F3-2025", RENT_RECEIVED!$E$2:$E$10000, "&lt;"&amp;DATE(2025,2,22)), 0)</f>
        <v>0.0</v>
      </c>
      <c r="K4" s="3" t="n">
        <f>G4 - H4</f>
        <v>0.0</v>
      </c>
      <c r="L4" s="3" t="n">
        <f>J4 + K4</f>
        <v>0.0</v>
      </c>
      <c r="M4" s="3" t="n">
        <f>H4 * 0.1500</f>
        <v>0.0</v>
      </c>
      <c r="N4" s="3" t="n">
        <f>H4 * 0.0000</f>
        <v>0.0</v>
      </c>
      <c r="O4" s="3" t="n">
        <f>ABS(M4 + N4)</f>
        <v>0.0</v>
      </c>
      <c r="P4" t="inlineStr">
        <is>
          <t/>
        </is>
      </c>
      <c r="Q4" s="3" t="n">
        <f>SUMIFS(EXPENSES!E:E, EXPENSES!B:B, "LEASE-BH-F3-2025", EXPENSES!D:D, "&gt;="&amp;DATE(2025,2,22), EXPENSES!D:D, "&lt;="&amp;DATE(2025,3,21))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IFERROR(SUMPRODUCT((RENT_DUE!$B$2:$B$1000="LEASE-BH-F4-2025")*(RENT_DUE!$D$2:$D$1000&gt;=DATE(2025,2,22))*(RENT_DUE!$D$2:$D$1000&lt;=DATE(2025,3,21))*RENT_DUE!$L$2:$L$1000), 0)</f>
        <v>0.0</v>
      </c>
      <c r="H5" s="3" t="n">
        <f>IFERROR(SUMPRODUCT((RENT_RECEIVED!$B$2:$B$1000="LEASE-BH-F4-2025")*(RENT_RECEIVED!$E$2:$E$1000&gt;=DATE(2025,2,22))*(RENT_RECEIVED!$E$2:$E$1000&lt;=DATE(2025,3,21))*RENT_RECEIVED!$O$2:$O$1000), 0)</f>
        <v>0.0</v>
      </c>
      <c r="I5" t="inlineStr">
        <is>
          <t>HIST-2025-03-1501</t>
        </is>
      </c>
      <c r="J5" s="3" t="n">
        <f>IFERROR(SUMIFS(RENT_DUE!$L$2:$L$10000, RENT_DUE!$B$2:$B$10000, "LEASE-BH-F4-2025", RENT_DUE!$D$2:$D$10000, "&lt;"&amp;DATE(2025,2,22)), 0) - IFERROR(SUMIFS(RENT_RECEIVED!$O$2:$O$10000, RENT_RECEIVED!$B$2:$B$10000, "LEASE-BH-F4-2025", RENT_RECEIVED!$E$2:$E$10000, "&lt;"&amp;DATE(2025,2,22)), 0)</f>
        <v>0.0</v>
      </c>
      <c r="K5" s="3" t="n">
        <f>G5 - H5</f>
        <v>0.0</v>
      </c>
      <c r="L5" s="3" t="n">
        <f>J5 + K5</f>
        <v>0.0</v>
      </c>
      <c r="M5" s="3" t="n">
        <f>H5 * 0.1500</f>
        <v>0.0</v>
      </c>
      <c r="N5" s="3" t="n">
        <f>H5 * 0.0000</f>
        <v>0.0</v>
      </c>
      <c r="O5" s="3" t="n">
        <f>ABS(M5 + N5)</f>
        <v>0.0</v>
      </c>
      <c r="P5" t="inlineStr">
        <is>
          <t/>
        </is>
      </c>
      <c r="Q5" s="3" t="n">
        <f>SUMIFS(EXPENSES!E:E, EXPENSES!B:B, "LEASE-BH-F4-2025", EXPENSES!D:D, "&gt;="&amp;DATE(2025,2,22), EXPENSES!D:D, "&lt;="&amp;DATE(2025,3,21))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IFERROR(SUMPRODUCT((RENT_DUE!$B$2:$B$1000="LEASE-BH-F5-2025")*(RENT_DUE!$D$2:$D$1000&gt;=DATE(2025,2,22))*(RENT_DUE!$D$2:$D$1000&lt;=DATE(2025,3,21))*RENT_DUE!$L$2:$L$1000), 0)</f>
        <v>0.0</v>
      </c>
      <c r="H6" s="3" t="n">
        <f>IFERROR(SUMPRODUCT((RENT_RECEIVED!$B$2:$B$1000="LEASE-BH-F5-2025")*(RENT_RECEIVED!$E$2:$E$1000&gt;=DATE(2025,2,22))*(RENT_RECEIVED!$E$2:$E$1000&lt;=DATE(2025,3,21))*RENT_RECEIVED!$O$2:$O$1000), 0)</f>
        <v>0.0</v>
      </c>
      <c r="I6" t="inlineStr">
        <is>
          <t>HIST-2025-03-1501</t>
        </is>
      </c>
      <c r="J6" s="3" t="n">
        <f>IFERROR(SUMIFS(RENT_DUE!$L$2:$L$10000, RENT_DUE!$B$2:$B$10000, "LEASE-BH-F5-2025", RENT_DUE!$D$2:$D$10000, "&lt;"&amp;DATE(2025,2,22)), 0) - IFERROR(SUMIFS(RENT_RECEIVED!$O$2:$O$10000, RENT_RECEIVED!$B$2:$B$10000, "LEASE-BH-F5-2025", RENT_RECEIVED!$E$2:$E$10000, "&lt;"&amp;DATE(2025,2,22)), 0)</f>
        <v>0.0</v>
      </c>
      <c r="K6" s="3" t="n">
        <f>G6 - H6</f>
        <v>0.0</v>
      </c>
      <c r="L6" s="3" t="n">
        <f>J6 + K6</f>
        <v>0.0</v>
      </c>
      <c r="M6" s="3" t="n">
        <f>H6 * 0.1500</f>
        <v>0.0</v>
      </c>
      <c r="N6" s="3" t="n">
        <f>H6 * 0.0000</f>
        <v>0.0</v>
      </c>
      <c r="O6" s="3" t="n">
        <f>ABS(M6 + N6)</f>
        <v>0.0</v>
      </c>
      <c r="P6" t="inlineStr">
        <is>
          <t/>
        </is>
      </c>
      <c r="Q6" s="3" t="n">
        <f>SUMIFS(EXPENSES!E:E, EXPENSES!B:B, "LEASE-BH-F5-2025", EXPENSES!D:D, "&gt;="&amp;DATE(2025,2,22), EXPENSES!D:D, "&lt;="&amp;DATE(2025,3,21))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LEASE-BH-F7-2025</t>
        </is>
      </c>
      <c r="B7" t="inlineStr">
        <is>
          <t>Flat 7 - 3 West Gate</t>
        </is>
      </c>
      <c r="C7" t="inlineStr">
        <is>
          <t>Achal (Delegated for Udayan)</t>
        </is>
      </c>
      <c r="D7" t="inlineStr">
        <is>
          <t>Mr Chun Hung Tang</t>
        </is>
      </c>
      <c r="E7" s="2" t="n">
        <v>45707.0</v>
      </c>
      <c r="F7" t="n">
        <v>19.0</v>
      </c>
      <c r="G7" s="3" t="n">
        <f>IFERROR(SUMPRODUCT((RENT_DUE!$B$2:$B$1000="LEASE-BH-F7-2025")*(RENT_DUE!$D$2:$D$1000&gt;=DATE(2025,2,22))*(RENT_DUE!$D$2:$D$1000&lt;=DATE(2025,3,21))*RENT_DUE!$L$2:$L$1000), 0)</f>
        <v>0.0</v>
      </c>
      <c r="H7" s="3" t="n">
        <f>IFERROR(SUMPRODUCT((RENT_RECEIVED!$B$2:$B$1000="LEASE-BH-F7-2025")*(RENT_RECEIVED!$E$2:$E$1000&gt;=DATE(2025,2,22))*(RENT_RECEIVED!$E$2:$E$1000&lt;=DATE(2025,3,21))*RENT_RECEIVED!$O$2:$O$1000), 0)</f>
        <v>0.0</v>
      </c>
      <c r="I7" t="inlineStr">
        <is>
          <t>HIST-2025-03-1501</t>
        </is>
      </c>
      <c r="J7" s="3" t="n">
        <f>IFERROR(SUMIFS(RENT_DUE!$L$2:$L$10000, RENT_DUE!$B$2:$B$10000, "LEASE-BH-F7-2025", RENT_DUE!$D$2:$D$10000, "&lt;"&amp;DATE(2025,2,22)), 0) - IFERROR(SUMIFS(RENT_RECEIVED!$O$2:$O$10000, RENT_RECEIVED!$B$2:$B$10000, "LEASE-BH-F7-2025", RENT_RECEIVED!$E$2:$E$10000, "&lt;"&amp;DATE(2025,2,22)), 0)</f>
        <v>0.0</v>
      </c>
      <c r="K7" s="3" t="n">
        <f>G7 - H7</f>
        <v>0.0</v>
      </c>
      <c r="L7" s="3" t="n">
        <f>J7 + K7</f>
        <v>0.0</v>
      </c>
      <c r="M7" s="3" t="n">
        <f>H7 * 0.1500</f>
        <v>0.0</v>
      </c>
      <c r="N7" s="3" t="n">
        <f>H7 * 0.0000</f>
        <v>0.0</v>
      </c>
      <c r="O7" s="3" t="n">
        <f>ABS(M7 + N7)</f>
        <v>0.0</v>
      </c>
      <c r="P7" t="inlineStr">
        <is>
          <t/>
        </is>
      </c>
      <c r="Q7" s="3" t="n">
        <f>SUMIFS(EXPENSES!E:E, EXPENSES!B:B, "LEASE-BH-F7-2025", EXPENSES!D:D, "&gt;="&amp;DATE(2025,2,22), EXPENSES!D:D, "&lt;="&amp;DATE(2025,3,21))</f>
        <v>0.0</v>
      </c>
      <c r="R7" t="inlineStr">
        <is>
          <t/>
        </is>
      </c>
      <c r="S7" s="3" t="n">
        <f>H7 - O7 - Q7</f>
        <v>0.0</v>
      </c>
      <c r="T7" t="inlineStr">
        <is>
          <t/>
        </is>
      </c>
      <c r="U7" t="inlineStr">
        <is>
          <t/>
        </is>
      </c>
      <c r="V7" t="inlineStr">
        <is>
          <t/>
        </is>
      </c>
      <c r="W7" t="inlineStr">
        <is>
          <t/>
        </is>
      </c>
      <c r="X7" t="inlineStr">
        <is>
          <t/>
        </is>
      </c>
      <c r="Y7" s="3" t="n">
        <v>3570.0</v>
      </c>
      <c r="Z7" s="3" t="n">
        <f>S7-Y7</f>
        <v>0.0</v>
      </c>
      <c r="AA7" t="inlineStr">
        <is>
          <t>PAID</t>
        </is>
      </c>
      <c r="AB7" t="inlineStr">
        <is>
          <t>MULTIPLE</t>
        </is>
      </c>
      <c r="AC7" s="2" t="n">
        <v>45861.0</v>
      </c>
    </row>
    <row r="8">
      <c r="A8" t="inlineStr">
        <is>
          <t>LEASE-BH-F8-2025</t>
        </is>
      </c>
      <c r="B8" t="inlineStr">
        <is>
          <t>Flat 8 - 3 West Gate</t>
        </is>
      </c>
      <c r="C8" t="inlineStr">
        <is>
          <t>Achal (Delegated for Udayan)</t>
        </is>
      </c>
      <c r="D8" t="inlineStr">
        <is>
          <t>Mr Shermal Wijesinghage, Mrs Udeshika Dona</t>
        </is>
      </c>
      <c r="E8" s="2" t="n">
        <v>45712.0</v>
      </c>
      <c r="F8" t="n">
        <v>24.0</v>
      </c>
      <c r="G8" s="3" t="n">
        <f>IFERROR(SUMPRODUCT((RENT_DUE!$B$2:$B$1000="LEASE-BH-F8-2025")*(RENT_DUE!$D$2:$D$1000&gt;=DATE(2025,2,22))*(RENT_DUE!$D$2:$D$1000&lt;=DATE(2025,3,21))*RENT_DUE!$L$2:$L$1000), 0)</f>
        <v>0.0</v>
      </c>
      <c r="H8" s="3" t="n">
        <f>IFERROR(SUMPRODUCT((RENT_RECEIVED!$B$2:$B$1000="LEASE-BH-F8-2025")*(RENT_RECEIVED!$E$2:$E$1000&gt;=DATE(2025,2,22))*(RENT_RECEIVED!$E$2:$E$1000&lt;=DATE(2025,3,21))*RENT_RECEIVED!$O$2:$O$1000), 0)</f>
        <v>0.0</v>
      </c>
      <c r="I8" t="inlineStr">
        <is>
          <t>HIST-2025-03-1501</t>
        </is>
      </c>
      <c r="J8" s="3" t="n">
        <f>IFERROR(SUMIFS(RENT_DUE!$L$2:$L$10000, RENT_DUE!$B$2:$B$10000, "LEASE-BH-F8-2025", RENT_DUE!$D$2:$D$10000, "&lt;"&amp;DATE(2025,2,22)), 0) - IFERROR(SUMIFS(RENT_RECEIVED!$O$2:$O$10000, RENT_RECEIVED!$B$2:$B$10000, "LEASE-BH-F8-2025", RENT_RECEIVED!$E$2:$E$10000, "&lt;"&amp;DATE(2025,2,22)), 0)</f>
        <v>0.0</v>
      </c>
      <c r="K8" s="3" t="n">
        <f>G8 - H8</f>
        <v>0.0</v>
      </c>
      <c r="L8" s="3" t="n">
        <f>J8 + K8</f>
        <v>0.0</v>
      </c>
      <c r="M8" s="3" t="n">
        <f>H8 * 0.1500</f>
        <v>0.0</v>
      </c>
      <c r="N8" s="3" t="n">
        <f>H8 * 0.0000</f>
        <v>0.0</v>
      </c>
      <c r="O8" s="3" t="n">
        <f>ABS(M8 + N8)</f>
        <v>0.0</v>
      </c>
      <c r="P8" t="inlineStr">
        <is>
          <t/>
        </is>
      </c>
      <c r="Q8" s="3" t="n">
        <f>SUMIFS(EXPENSES!E:E, EXPENSES!B:B, "LEASE-BH-F8-2025", EXPENSES!D:D, "&gt;="&amp;DATE(2025,2,22), EXPENSES!D:D, "&lt;="&amp;DATE(2025,3,21))</f>
        <v>0.0</v>
      </c>
      <c r="R8" t="inlineStr">
        <is>
          <t/>
        </is>
      </c>
      <c r="S8" s="3" t="n">
        <f>H8 - O8 - Q8</f>
        <v>0.0</v>
      </c>
      <c r="T8" t="inlineStr">
        <is>
          <t/>
        </is>
      </c>
      <c r="U8" t="inlineStr">
        <is>
          <t/>
        </is>
      </c>
      <c r="V8" t="inlineStr">
        <is>
          <t/>
        </is>
      </c>
      <c r="W8" t="inlineStr">
        <is>
          <t/>
        </is>
      </c>
      <c r="X8" t="inlineStr">
        <is>
          <t/>
        </is>
      </c>
      <c r="Y8" s="3" t="n">
        <v>5318.75</v>
      </c>
      <c r="Z8" s="3" t="n">
        <f>S8-Y8</f>
        <v>0.0</v>
      </c>
      <c r="AA8" t="inlineStr">
        <is>
          <t>PAID</t>
        </is>
      </c>
      <c r="AB8" t="inlineStr">
        <is>
          <t>MULTIPLE</t>
        </is>
      </c>
      <c r="AC8" s="2" t="n">
        <v>45982.0</v>
      </c>
    </row>
    <row r="9">
      <c r="A9" t="inlineStr">
        <is>
          <t>LEASE-BH-F9-2025</t>
        </is>
      </c>
      <c r="B9" t="inlineStr">
        <is>
          <t>Flat 9 - 3 West Gate</t>
        </is>
      </c>
      <c r="C9" t="inlineStr">
        <is>
          <t>Achal (Delegated for Udayan)</t>
        </is>
      </c>
      <c r="D9" t="inlineStr">
        <is>
          <t>Mr Scott Warner</t>
        </is>
      </c>
      <c r="E9" s="2" t="n">
        <v>45736.0</v>
      </c>
      <c r="F9" t="n">
        <v>20.0</v>
      </c>
      <c r="G9" s="3" t="n">
        <f>IFERROR(SUMPRODUCT((RENT_DUE!$B$2:$B$1000="LEASE-BH-F9-2025")*(RENT_DUE!$D$2:$D$1000&gt;=DATE(2025,2,22))*(RENT_DUE!$D$2:$D$1000&lt;=DATE(2025,3,21))*RENT_DUE!$L$2:$L$1000), 0)</f>
        <v>0.0</v>
      </c>
      <c r="H9" s="3" t="n">
        <f>IFERROR(SUMPRODUCT((RENT_RECEIVED!$B$2:$B$1000="LEASE-BH-F9-2025")*(RENT_RECEIVED!$E$2:$E$1000&gt;=DATE(2025,2,22))*(RENT_RECEIVED!$E$2:$E$1000&lt;=DATE(2025,3,21))*RENT_RECEIVED!$O$2:$O$1000), 0)</f>
        <v>0.0</v>
      </c>
      <c r="I9" t="inlineStr">
        <is>
          <t>HIST-2025-03-1501</t>
        </is>
      </c>
      <c r="J9" s="3" t="n">
        <f>IFERROR(SUMIFS(RENT_DUE!$L$2:$L$10000, RENT_DUE!$B$2:$B$10000, "LEASE-BH-F9-2025", RENT_DUE!$D$2:$D$10000, "&lt;"&amp;DATE(2025,2,22)), 0) - IFERROR(SUMIFS(RENT_RECEIVED!$O$2:$O$10000, RENT_RECEIVED!$B$2:$B$10000, "LEASE-BH-F9-2025", RENT_RECEIVED!$E$2:$E$10000, "&lt;"&amp;DATE(2025,2,22)), 0)</f>
        <v>0.0</v>
      </c>
      <c r="K9" s="3" t="n">
        <f>G9 - H9</f>
        <v>0.0</v>
      </c>
      <c r="L9" s="3" t="n">
        <f>J9 + K9</f>
        <v>0.0</v>
      </c>
      <c r="M9" s="3" t="n">
        <f>H9 * 0.1500</f>
        <v>0.0</v>
      </c>
      <c r="N9" s="3" t="n">
        <f>H9 * 0.0000</f>
        <v>0.0</v>
      </c>
      <c r="O9" s="3" t="n">
        <f>ABS(M9 + N9)</f>
        <v>0.0</v>
      </c>
      <c r="P9" t="inlineStr">
        <is>
          <t/>
        </is>
      </c>
      <c r="Q9" s="3" t="n">
        <f>SUMIFS(EXPENSES!E:E, EXPENSES!B:B, "LEASE-BH-F9-2025", EXPENSES!D:D, "&gt;="&amp;DATE(2025,2,22), EXPENSES!D:D, "&lt;="&amp;DATE(2025,3,21))</f>
        <v>0.0</v>
      </c>
      <c r="R9" t="inlineStr">
        <is>
          <t/>
        </is>
      </c>
      <c r="S9" s="3" t="n">
        <f>H9 - O9 - Q9</f>
        <v>0.0</v>
      </c>
      <c r="T9" t="inlineStr">
        <is>
          <t/>
        </is>
      </c>
      <c r="U9" t="inlineStr">
        <is>
          <t/>
        </is>
      </c>
      <c r="V9" t="inlineStr">
        <is>
          <t/>
        </is>
      </c>
      <c r="W9" t="inlineStr">
        <is>
          <t/>
        </is>
      </c>
      <c r="X9" t="inlineStr">
        <is>
          <t/>
        </is>
      </c>
      <c r="Y9" s="3" t="n">
        <v>5255.0</v>
      </c>
      <c r="Z9" s="3" t="n">
        <f>S9-Y9</f>
        <v>0.0</v>
      </c>
      <c r="AA9" t="inlineStr">
        <is>
          <t>PAID</t>
        </is>
      </c>
      <c r="AB9" t="inlineStr">
        <is>
          <t>MULTIPLE</t>
        </is>
      </c>
      <c r="AC9" s="2" t="n">
        <v>45982.0</v>
      </c>
    </row>
    <row r="10">
      <c r="A10" t="inlineStr">
        <is>
          <t>LEASE-BH-F10-2025</t>
        </is>
      </c>
      <c r="B10" t="inlineStr">
        <is>
          <t>Flat 10 - 3 West Gate</t>
        </is>
      </c>
      <c r="C10" t="inlineStr">
        <is>
          <t>Achal (Delegated for Udayan)</t>
        </is>
      </c>
      <c r="D10" t="inlineStr">
        <is>
          <t>Mr Ferenc Peter</t>
        </is>
      </c>
      <c r="E10" s="2" t="n">
        <v>45722.0</v>
      </c>
      <c r="F10" t="n">
        <v>6.0</v>
      </c>
      <c r="G10" s="3" t="n">
        <f>IFERROR(SUMPRODUCT((RENT_DUE!$B$2:$B$1000="LEASE-BH-F10-2025")*(RENT_DUE!$D$2:$D$1000&gt;=DATE(2025,2,22))*(RENT_DUE!$D$2:$D$1000&lt;=DATE(2025,3,21))*RENT_DUE!$L$2:$L$1000), 0)</f>
        <v>0.0</v>
      </c>
      <c r="H10" s="3" t="n">
        <f>IFERROR(SUMPRODUCT((RENT_RECEIVED!$B$2:$B$1000="LEASE-BH-F10-2025")*(RENT_RECEIVED!$E$2:$E$1000&gt;=DATE(2025,2,22))*(RENT_RECEIVED!$E$2:$E$1000&lt;=DATE(2025,3,21))*RENT_RECEIVED!$O$2:$O$1000), 0)</f>
        <v>0.0</v>
      </c>
      <c r="I10" t="inlineStr">
        <is>
          <t>HIST-2025-03-1501</t>
        </is>
      </c>
      <c r="J10" s="3" t="n">
        <f>IFERROR(SUMIFS(RENT_DUE!$L$2:$L$10000, RENT_DUE!$B$2:$B$10000, "LEASE-BH-F10-2025", RENT_DUE!$D$2:$D$10000, "&lt;"&amp;DATE(2025,2,22)), 0) - IFERROR(SUMIFS(RENT_RECEIVED!$O$2:$O$10000, RENT_RECEIVED!$B$2:$B$10000, "LEASE-BH-F10-2025", RENT_RECEIVED!$E$2:$E$10000, "&lt;"&amp;DATE(2025,2,22)), 0)</f>
        <v>0.0</v>
      </c>
      <c r="K10" s="3" t="n">
        <f>G10 - H10</f>
        <v>0.0</v>
      </c>
      <c r="L10" s="3" t="n">
        <f>J10 + K10</f>
        <v>0.0</v>
      </c>
      <c r="M10" s="3" t="n">
        <f>H10 * 0.1500</f>
        <v>0.0</v>
      </c>
      <c r="N10" s="3" t="n">
        <f>H10 * 0.0000</f>
        <v>0.0</v>
      </c>
      <c r="O10" s="3" t="n">
        <f>ABS(M10 + N10)</f>
        <v>0.0</v>
      </c>
      <c r="P10" t="inlineStr">
        <is>
          <t/>
        </is>
      </c>
      <c r="Q10" s="3" t="n">
        <f>SUMIFS(EXPENSES!E:E, EXPENSES!B:B, "LEASE-BH-F10-2025", EXPENSES!D:D, "&gt;="&amp;DATE(2025,2,22), EXPENSES!D:D, "&lt;="&amp;DATE(2025,3,21))</f>
        <v>0.0</v>
      </c>
      <c r="R10" t="inlineStr">
        <is>
          <t/>
        </is>
      </c>
      <c r="S10" s="3" t="n">
        <f>H10 - O10 - Q10</f>
        <v>0.0</v>
      </c>
      <c r="T10" t="inlineStr">
        <is>
          <t/>
        </is>
      </c>
      <c r="U10" t="inlineStr">
        <is>
          <t/>
        </is>
      </c>
      <c r="V10" t="inlineStr">
        <is>
          <t/>
        </is>
      </c>
      <c r="W10" t="inlineStr">
        <is>
          <t/>
        </is>
      </c>
      <c r="X10" t="inlineStr">
        <is>
          <t/>
        </is>
      </c>
      <c r="Y10" s="3" t="n">
        <v>3534.47</v>
      </c>
      <c r="Z10" s="3" t="n">
        <f>S10-Y10</f>
        <v>0.0</v>
      </c>
      <c r="AA10" t="inlineStr">
        <is>
          <t>PAID</t>
        </is>
      </c>
      <c r="AB10" t="inlineStr">
        <is>
          <t>MULTIPLE</t>
        </is>
      </c>
      <c r="AC10" s="2" t="n">
        <v>45920.0</v>
      </c>
    </row>
    <row r="11">
      <c r="A11" t="inlineStr">
        <is>
          <t>LEASE-BH-F11-2025</t>
        </is>
      </c>
      <c r="B11" t="inlineStr">
        <is>
          <t>Flat 11 - 3 West Gate</t>
        </is>
      </c>
      <c r="C11" t="inlineStr">
        <is>
          <t>Achal (Delegated for Udayan)</t>
        </is>
      </c>
      <c r="D11" t="inlineStr">
        <is>
          <t>Mr Richard Perrotta</t>
        </is>
      </c>
      <c r="E11" s="2" t="n">
        <v>45722.0</v>
      </c>
      <c r="F11" t="n">
        <v>26.0</v>
      </c>
      <c r="G11" s="3" t="n">
        <f>IFERROR(SUMPRODUCT((RENT_DUE!$B$2:$B$1000="LEASE-BH-F11-2025")*(RENT_DUE!$D$2:$D$1000&gt;=DATE(2025,2,22))*(RENT_DUE!$D$2:$D$1000&lt;=DATE(2025,3,21))*RENT_DUE!$L$2:$L$1000), 0)</f>
        <v>0.0</v>
      </c>
      <c r="H11" s="3" t="n">
        <f>IFERROR(SUMPRODUCT((RENT_RECEIVED!$B$2:$B$1000="LEASE-BH-F11-2025")*(RENT_RECEIVED!$E$2:$E$1000&gt;=DATE(2025,2,22))*(RENT_RECEIVED!$E$2:$E$1000&lt;=DATE(2025,3,21))*RENT_RECEIVED!$O$2:$O$1000), 0)</f>
        <v>0.0</v>
      </c>
      <c r="I11" t="inlineStr">
        <is>
          <t>HIST-2025-03-1501</t>
        </is>
      </c>
      <c r="J11" s="3" t="n">
        <f>IFERROR(SUMIFS(RENT_DUE!$L$2:$L$10000, RENT_DUE!$B$2:$B$10000, "LEASE-BH-F11-2025", RENT_DUE!$D$2:$D$10000, "&lt;"&amp;DATE(2025,2,22)), 0) - IFERROR(SUMIFS(RENT_RECEIVED!$O$2:$O$10000, RENT_RECEIVED!$B$2:$B$10000, "LEASE-BH-F11-2025", RENT_RECEIVED!$E$2:$E$10000, "&lt;"&amp;DATE(2025,2,22)), 0)</f>
        <v>0.0</v>
      </c>
      <c r="K11" s="3" t="n">
        <f>G11 - H11</f>
        <v>0.0</v>
      </c>
      <c r="L11" s="3" t="n">
        <f>J11 + K11</f>
        <v>0.0</v>
      </c>
      <c r="M11" s="3" t="n">
        <f>H11 * 0.1500</f>
        <v>0.0</v>
      </c>
      <c r="N11" s="3" t="n">
        <f>H11 * 0.0000</f>
        <v>0.0</v>
      </c>
      <c r="O11" s="3" t="n">
        <f>ABS(M11 + N11)</f>
        <v>0.0</v>
      </c>
      <c r="P11" t="inlineStr">
        <is>
          <t/>
        </is>
      </c>
      <c r="Q11" s="3" t="n">
        <f>SUMIFS(EXPENSES!E:E, EXPENSES!B:B, "LEASE-BH-F11-2025", EXPENSES!D:D, "&gt;="&amp;DATE(2025,2,22), EXPENSES!D:D, "&lt;="&amp;DATE(2025,3,21))</f>
        <v>0.0</v>
      </c>
      <c r="R11" t="inlineStr">
        <is>
          <t/>
        </is>
      </c>
      <c r="S11" s="3" t="n">
        <f>H11 - O11 - Q11</f>
        <v>0.0</v>
      </c>
      <c r="T11" t="inlineStr">
        <is>
          <t/>
        </is>
      </c>
      <c r="U11" t="inlineStr">
        <is>
          <t/>
        </is>
      </c>
      <c r="V11" t="inlineStr">
        <is>
          <t/>
        </is>
      </c>
      <c r="W11" t="inlineStr">
        <is>
          <t/>
        </is>
      </c>
      <c r="X11" t="inlineStr">
        <is>
          <t/>
        </is>
      </c>
      <c r="Y11" s="3" t="n">
        <v>5979.75</v>
      </c>
      <c r="Z11" s="3" t="n">
        <f>S11-Y11</f>
        <v>0.0</v>
      </c>
      <c r="AA11" t="inlineStr">
        <is>
          <t>PAID</t>
        </is>
      </c>
      <c r="AB11" t="inlineStr">
        <is>
          <t>MULTIPLE</t>
        </is>
      </c>
      <c r="AC11" s="2" t="n">
        <v>45981.0</v>
      </c>
    </row>
    <row r="12">
      <c r="A12" t="inlineStr">
        <is>
          <t>LEASE-BH-F13-2025</t>
        </is>
      </c>
      <c r="B12" t="inlineStr">
        <is>
          <t>Flat 13 - 3 West Gate</t>
        </is>
      </c>
      <c r="C12" t="inlineStr">
        <is>
          <t>Achal (Delegated for Udayan)</t>
        </is>
      </c>
      <c r="D12" t="inlineStr">
        <is>
          <t>Mr Nathan Holland</t>
        </is>
      </c>
      <c r="E12" s="2" t="n">
        <v>45719.0</v>
      </c>
      <c r="F12" t="n">
        <v>3.0</v>
      </c>
      <c r="G12" s="3" t="n">
        <f>IFERROR(SUMPRODUCT((RENT_DUE!$B$2:$B$1000="LEASE-BH-F13-2025")*(RENT_DUE!$D$2:$D$1000&gt;=DATE(2025,2,22))*(RENT_DUE!$D$2:$D$1000&lt;=DATE(2025,3,21))*RENT_DUE!$L$2:$L$1000), 0)</f>
        <v>0.0</v>
      </c>
      <c r="H12" s="3" t="n">
        <f>IFERROR(SUMPRODUCT((RENT_RECEIVED!$B$2:$B$1000="LEASE-BH-F13-2025")*(RENT_RECEIVED!$E$2:$E$1000&gt;=DATE(2025,2,22))*(RENT_RECEIVED!$E$2:$E$1000&lt;=DATE(2025,3,21))*RENT_RECEIVED!$O$2:$O$1000), 0)</f>
        <v>0.0</v>
      </c>
      <c r="I12" t="inlineStr">
        <is>
          <t>HIST-2025-03-1501</t>
        </is>
      </c>
      <c r="J12" s="3" t="n">
        <f>IFERROR(SUMIFS(RENT_DUE!$L$2:$L$10000, RENT_DUE!$B$2:$B$10000, "LEASE-BH-F13-2025", RENT_DUE!$D$2:$D$10000, "&lt;"&amp;DATE(2025,2,22)), 0) - IFERROR(SUMIFS(RENT_RECEIVED!$O$2:$O$10000, RENT_RECEIVED!$B$2:$B$10000, "LEASE-BH-F13-2025", RENT_RECEIVED!$E$2:$E$10000, "&lt;"&amp;DATE(2025,2,22)), 0)</f>
        <v>0.0</v>
      </c>
      <c r="K12" s="3" t="n">
        <f>G12 - H12</f>
        <v>0.0</v>
      </c>
      <c r="L12" s="3" t="n">
        <f>J12 + K12</f>
        <v>0.0</v>
      </c>
      <c r="M12" s="3" t="n">
        <f>H12 * 0.1500</f>
        <v>0.0</v>
      </c>
      <c r="N12" s="3" t="n">
        <f>H12 * 0.0000</f>
        <v>0.0</v>
      </c>
      <c r="O12" s="3" t="n">
        <f>ABS(M12 + N12)</f>
        <v>0.0</v>
      </c>
      <c r="P12" t="inlineStr">
        <is>
          <t/>
        </is>
      </c>
      <c r="Q12" s="3" t="n">
        <f>SUMIFS(EXPENSES!E:E, EXPENSES!B:B, "LEASE-BH-F13-2025", EXPENSES!D:D, "&gt;="&amp;DATE(2025,2,22), EXPENSES!D:D, "&lt;="&amp;DATE(2025,3,21))</f>
        <v>0.0</v>
      </c>
      <c r="R12" t="inlineStr">
        <is>
          <t/>
        </is>
      </c>
      <c r="S12" s="3" t="n">
        <f>H12 - O12 - Q12</f>
        <v>0.0</v>
      </c>
      <c r="T12" t="inlineStr">
        <is>
          <t/>
        </is>
      </c>
      <c r="U12" t="inlineStr">
        <is>
          <t/>
        </is>
      </c>
      <c r="V12" t="inlineStr">
        <is>
          <t/>
        </is>
      </c>
      <c r="W12" t="inlineStr">
        <is>
          <t/>
        </is>
      </c>
      <c r="X12" t="inlineStr">
        <is>
          <t/>
        </is>
      </c>
      <c r="Y12" s="3" t="n">
        <v>5440.0</v>
      </c>
      <c r="Z12" s="3" t="n">
        <f>S12-Y12</f>
        <v>0.0</v>
      </c>
      <c r="AA12" t="inlineStr">
        <is>
          <t>PAID</t>
        </is>
      </c>
      <c r="AB12" t="inlineStr">
        <is>
          <t>MULTIPLE</t>
        </is>
      </c>
      <c r="AC12" s="2" t="n">
        <v>45936.0</v>
      </c>
    </row>
    <row r="13">
      <c r="A13" t="inlineStr">
        <is>
          <t>LEASE-BH-F15-2025</t>
        </is>
      </c>
      <c r="B13" t="inlineStr">
        <is>
          <t>Flat 15 - 3 West Gate</t>
        </is>
      </c>
      <c r="C13" t="inlineStr">
        <is>
          <t>Achal (Delegated for Udayan)</t>
        </is>
      </c>
      <c r="D13" t="inlineStr">
        <is>
          <t>Ms Lucy Cassell</t>
        </is>
      </c>
      <c r="E13" s="2" t="n">
        <v>45703.0</v>
      </c>
      <c r="F13" t="n">
        <v>15.0</v>
      </c>
      <c r="G13" s="3" t="n">
        <f>IFERROR(SUMPRODUCT((RENT_DUE!$B$2:$B$1000="LEASE-BH-F15-2025")*(RENT_DUE!$D$2:$D$1000&gt;=DATE(2025,2,22))*(RENT_DUE!$D$2:$D$1000&lt;=DATE(2025,3,21))*RENT_DUE!$L$2:$L$1000), 0)</f>
        <v>0.0</v>
      </c>
      <c r="H13" s="3" t="n">
        <f>IFERROR(SUMPRODUCT((RENT_RECEIVED!$B$2:$B$1000="LEASE-BH-F15-2025")*(RENT_RECEIVED!$E$2:$E$1000&gt;=DATE(2025,2,22))*(RENT_RECEIVED!$E$2:$E$1000&lt;=DATE(2025,3,21))*RENT_RECEIVED!$O$2:$O$1000), 0)</f>
        <v>0.0</v>
      </c>
      <c r="I13" t="inlineStr">
        <is>
          <t>HIST-2025-03-1501</t>
        </is>
      </c>
      <c r="J13" s="3" t="n">
        <f>IFERROR(SUMIFS(RENT_DUE!$L$2:$L$10000, RENT_DUE!$B$2:$B$10000, "LEASE-BH-F15-2025", RENT_DUE!$D$2:$D$10000, "&lt;"&amp;DATE(2025,2,22)), 0) - IFERROR(SUMIFS(RENT_RECEIVED!$O$2:$O$10000, RENT_RECEIVED!$B$2:$B$10000, "LEASE-BH-F15-2025", RENT_RECEIVED!$E$2:$E$10000, "&lt;"&amp;DATE(2025,2,22)), 0)</f>
        <v>0.0</v>
      </c>
      <c r="K13" s="3" t="n">
        <f>G13 - H13</f>
        <v>0.0</v>
      </c>
      <c r="L13" s="3" t="n">
        <f>J13 + K13</f>
        <v>0.0</v>
      </c>
      <c r="M13" s="3" t="n">
        <f>H13 * 0.1500</f>
        <v>0.0</v>
      </c>
      <c r="N13" s="3" t="n">
        <f>H13 * 0.0000</f>
        <v>0.0</v>
      </c>
      <c r="O13" s="3" t="n">
        <f>ABS(M13 + N13)</f>
        <v>0.0</v>
      </c>
      <c r="P13" t="inlineStr">
        <is>
          <t/>
        </is>
      </c>
      <c r="Q13" s="3" t="n">
        <f>SUMIFS(EXPENSES!E:E, EXPENSES!B:B, "LEASE-BH-F15-2025", EXPENSES!D:D, "&gt;="&amp;DATE(2025,2,22), EXPENSES!D:D, "&lt;="&amp;DATE(2025,3,21))</f>
        <v>0.0</v>
      </c>
      <c r="R13" t="inlineStr">
        <is>
          <t/>
        </is>
      </c>
      <c r="S13" s="3" t="n">
        <f>H13 - O13 - Q13</f>
        <v>0.0</v>
      </c>
      <c r="T13" t="inlineStr">
        <is>
          <t/>
        </is>
      </c>
      <c r="U13" t="inlineStr">
        <is>
          <t/>
        </is>
      </c>
      <c r="V13" t="inlineStr">
        <is>
          <t/>
        </is>
      </c>
      <c r="W13" t="inlineStr">
        <is>
          <t/>
        </is>
      </c>
      <c r="X13" t="inlineStr">
        <is>
          <t/>
        </is>
      </c>
      <c r="Y13" s="3" t="n">
        <v>6170.0</v>
      </c>
      <c r="Z13" s="3" t="n">
        <f>S13-Y13</f>
        <v>0.0</v>
      </c>
      <c r="AA13" t="inlineStr">
        <is>
          <t>PAID</t>
        </is>
      </c>
      <c r="AB13" t="inlineStr">
        <is>
          <t>MULTIPLE</t>
        </is>
      </c>
      <c r="AC13" s="2" t="n">
        <v>45982.0</v>
      </c>
    </row>
    <row r="14">
      <c r="A14" t="inlineStr">
        <is>
          <t>LEASE-BH-F16-2025</t>
        </is>
      </c>
      <c r="B14" t="inlineStr">
        <is>
          <t>Flat 16 - 3 West Gate</t>
        </is>
      </c>
      <c r="C14" t="inlineStr">
        <is>
          <t>Achal (Delegated for Udayan)</t>
        </is>
      </c>
      <c r="D14" t="inlineStr">
        <is>
          <t>Mr Riley Paul Beresford, Ms Gina Louise Judge</t>
        </is>
      </c>
      <c r="E14" s="2" t="n">
        <v>45726.0</v>
      </c>
      <c r="F14" t="n">
        <v>10.0</v>
      </c>
      <c r="G14" s="3" t="n">
        <f>IFERROR(SUMPRODUCT((RENT_DUE!$B$2:$B$1000="LEASE-BH-F16-2025")*(RENT_DUE!$D$2:$D$1000&gt;=DATE(2025,2,22))*(RENT_DUE!$D$2:$D$1000&lt;=DATE(2025,3,21))*RENT_DUE!$L$2:$L$1000), 0)</f>
        <v>0.0</v>
      </c>
      <c r="H14" s="3" t="n">
        <f>IFERROR(SUMPRODUCT((RENT_RECEIVED!$B$2:$B$1000="LEASE-BH-F16-2025")*(RENT_RECEIVED!$E$2:$E$1000&gt;=DATE(2025,2,22))*(RENT_RECEIVED!$E$2:$E$1000&lt;=DATE(2025,3,21))*RENT_RECEIVED!$O$2:$O$1000), 0)</f>
        <v>0.0</v>
      </c>
      <c r="I14" t="inlineStr">
        <is>
          <t>HIST-2025-03-1501</t>
        </is>
      </c>
      <c r="J14" s="3" t="n">
        <f>IFERROR(SUMIFS(RENT_DUE!$L$2:$L$10000, RENT_DUE!$B$2:$B$10000, "LEASE-BH-F16-2025", RENT_DUE!$D$2:$D$10000, "&lt;"&amp;DATE(2025,2,22)), 0) - IFERROR(SUMIFS(RENT_RECEIVED!$O$2:$O$10000, RENT_RECEIVED!$B$2:$B$10000, "LEASE-BH-F16-2025", RENT_RECEIVED!$E$2:$E$10000, "&lt;"&amp;DATE(2025,2,22)), 0)</f>
        <v>0.0</v>
      </c>
      <c r="K14" s="3" t="n">
        <f>G14 - H14</f>
        <v>0.0</v>
      </c>
      <c r="L14" s="3" t="n">
        <f>J14 + K14</f>
        <v>0.0</v>
      </c>
      <c r="M14" s="3" t="n">
        <f>H14 * 0.1500</f>
        <v>0.0</v>
      </c>
      <c r="N14" s="3" t="n">
        <f>H14 * 0.0000</f>
        <v>0.0</v>
      </c>
      <c r="O14" s="3" t="n">
        <f>ABS(M14 + N14)</f>
        <v>0.0</v>
      </c>
      <c r="P14" t="inlineStr">
        <is>
          <t/>
        </is>
      </c>
      <c r="Q14" s="3" t="n">
        <f>SUMIFS(EXPENSES!E:E, EXPENSES!B:B, "LEASE-BH-F16-2025", EXPENSES!D:D, "&gt;="&amp;DATE(2025,2,22), EXPENSES!D:D, "&lt;="&amp;DATE(2025,3,21))</f>
        <v>0.0</v>
      </c>
      <c r="R14" t="inlineStr">
        <is>
          <t/>
        </is>
      </c>
      <c r="S14" s="3" t="n">
        <f>H14 - O14 - Q14</f>
        <v>0.0</v>
      </c>
      <c r="T14" t="inlineStr">
        <is>
          <t/>
        </is>
      </c>
      <c r="U14" t="inlineStr">
        <is>
          <t/>
        </is>
      </c>
      <c r="V14" t="inlineStr">
        <is>
          <t/>
        </is>
      </c>
      <c r="W14" t="inlineStr">
        <is>
          <t/>
        </is>
      </c>
      <c r="X14" t="inlineStr">
        <is>
          <t/>
        </is>
      </c>
      <c r="Y14" s="3" t="n">
        <v>3641.31</v>
      </c>
      <c r="Z14" s="3" t="n">
        <f>S14-Y14</f>
        <v>0.0</v>
      </c>
      <c r="AA14" t="inlineStr">
        <is>
          <t>PAID</t>
        </is>
      </c>
      <c r="AB14" t="inlineStr">
        <is>
          <t>MULTIPLE</t>
        </is>
      </c>
      <c r="AC14" s="2" t="n">
        <v>45891.0</v>
      </c>
    </row>
    <row r="15">
      <c r="A15" t="inlineStr">
        <is>
          <t>LEASE-BH-F17-2025</t>
        </is>
      </c>
      <c r="B15" t="inlineStr">
        <is>
          <t>Flat 17 - 3 West Gate</t>
        </is>
      </c>
      <c r="C15" t="inlineStr">
        <is>
          <t>Achal (Delegated for Udayan)</t>
        </is>
      </c>
      <c r="D15" t="inlineStr">
        <is>
          <t>Mr Harsh Patel</t>
        </is>
      </c>
      <c r="E15" s="2" t="n">
        <v>45705.0</v>
      </c>
      <c r="F15" t="n">
        <v>17.0</v>
      </c>
      <c r="G15" s="3" t="n">
        <f>IFERROR(SUMPRODUCT((RENT_DUE!$B$2:$B$1000="LEASE-BH-F17-2025")*(RENT_DUE!$D$2:$D$1000&gt;=DATE(2025,2,22))*(RENT_DUE!$D$2:$D$1000&lt;=DATE(2025,3,21))*RENT_DUE!$L$2:$L$1000), 0)</f>
        <v>0.0</v>
      </c>
      <c r="H15" s="3" t="n">
        <f>IFERROR(SUMPRODUCT((RENT_RECEIVED!$B$2:$B$1000="LEASE-BH-F17-2025")*(RENT_RECEIVED!$E$2:$E$1000&gt;=DATE(2025,2,22))*(RENT_RECEIVED!$E$2:$E$1000&lt;=DATE(2025,3,21))*RENT_RECEIVED!$O$2:$O$1000), 0)</f>
        <v>0.0</v>
      </c>
      <c r="I15" t="inlineStr">
        <is>
          <t>HIST-2025-03-1501</t>
        </is>
      </c>
      <c r="J15" s="3" t="n">
        <f>IFERROR(SUMIFS(RENT_DUE!$L$2:$L$10000, RENT_DUE!$B$2:$B$10000, "LEASE-BH-F17-2025", RENT_DUE!$D$2:$D$10000, "&lt;"&amp;DATE(2025,2,22)), 0) - IFERROR(SUMIFS(RENT_RECEIVED!$O$2:$O$10000, RENT_RECEIVED!$B$2:$B$10000, "LEASE-BH-F17-2025", RENT_RECEIVED!$E$2:$E$10000, "&lt;"&amp;DATE(2025,2,22)), 0)</f>
        <v>0.0</v>
      </c>
      <c r="K15" s="3" t="n">
        <f>G15 - H15</f>
        <v>0.0</v>
      </c>
      <c r="L15" s="3" t="n">
        <f>J15 + K15</f>
        <v>0.0</v>
      </c>
      <c r="M15" s="3" t="n">
        <f>H15 * 0.1500</f>
        <v>0.0</v>
      </c>
      <c r="N15" s="3" t="n">
        <f>H15 * 0.0000</f>
        <v>0.0</v>
      </c>
      <c r="O15" s="3" t="n">
        <f>ABS(M15 + N15)</f>
        <v>0.0</v>
      </c>
      <c r="P15" t="inlineStr">
        <is>
          <t/>
        </is>
      </c>
      <c r="Q15" s="3" t="n">
        <f>SUMIFS(EXPENSES!E:E, EXPENSES!B:B, "LEASE-BH-F17-2025", EXPENSES!D:D, "&gt;="&amp;DATE(2025,2,22), EXPENSES!D:D, "&lt;="&amp;DATE(2025,3,21))</f>
        <v>0.0</v>
      </c>
      <c r="R15" t="inlineStr">
        <is>
          <t/>
        </is>
      </c>
      <c r="S15" s="3" t="n">
        <f>H15 - O15 - Q15</f>
        <v>0.0</v>
      </c>
      <c r="T15" t="inlineStr">
        <is>
          <t/>
        </is>
      </c>
      <c r="U15" t="inlineStr">
        <is>
          <t/>
        </is>
      </c>
      <c r="V15" t="inlineStr">
        <is>
          <t/>
        </is>
      </c>
      <c r="W15" t="inlineStr">
        <is>
          <t/>
        </is>
      </c>
      <c r="X15" t="inlineStr">
        <is>
          <t/>
        </is>
      </c>
      <c r="Y15" s="3" t="n">
        <v>5800.0</v>
      </c>
      <c r="Z15" s="3" t="n">
        <f>S15-Y15</f>
        <v>0.0</v>
      </c>
      <c r="AA15" t="inlineStr">
        <is>
          <t>PAID</t>
        </is>
      </c>
      <c r="AB15" t="inlineStr">
        <is>
          <t>MULTIPLE</t>
        </is>
      </c>
      <c r="AC15" s="2" t="n">
        <v>45982.0</v>
      </c>
    </row>
    <row r="16">
      <c r="A16" t="inlineStr">
        <is>
          <t>LEASE-BH-F18-2025</t>
        </is>
      </c>
      <c r="B16" t="inlineStr">
        <is>
          <t>Flat 18 - 3 West Gate</t>
        </is>
      </c>
      <c r="C16" t="inlineStr">
        <is>
          <t>Achal (Delegated for Udayan)</t>
        </is>
      </c>
      <c r="D16" t="inlineStr">
        <is>
          <t>Marie Dinko</t>
        </is>
      </c>
      <c r="E16" s="2" t="n">
        <v>45687.0</v>
      </c>
      <c r="F16" t="n">
        <v>30.0</v>
      </c>
      <c r="G16" s="3" t="n">
        <f>IFERROR(SUMPRODUCT((RENT_DUE!$B$2:$B$1000="LEASE-BH-F18-2025")*(RENT_DUE!$D$2:$D$1000&gt;=DATE(2025,2,22))*(RENT_DUE!$D$2:$D$1000&lt;=DATE(2025,3,21))*RENT_DUE!$L$2:$L$1000), 0)</f>
        <v>0.0</v>
      </c>
      <c r="H16" s="3" t="n">
        <f>IFERROR(SUMPRODUCT((RENT_RECEIVED!$B$2:$B$1000="LEASE-BH-F18-2025")*(RENT_RECEIVED!$E$2:$E$1000&gt;=DATE(2025,2,22))*(RENT_RECEIVED!$E$2:$E$1000&lt;=DATE(2025,3,21))*RENT_RECEIVED!$O$2:$O$1000), 0)</f>
        <v>0.0</v>
      </c>
      <c r="I16" t="inlineStr">
        <is>
          <t>HIST-2025-03-1501</t>
        </is>
      </c>
      <c r="J16" s="3" t="n">
        <f>IFERROR(SUMIFS(RENT_DUE!$L$2:$L$10000, RENT_DUE!$B$2:$B$10000, "LEASE-BH-F18-2025", RENT_DUE!$D$2:$D$10000, "&lt;"&amp;DATE(2025,2,22)), 0) - IFERROR(SUMIFS(RENT_RECEIVED!$O$2:$O$10000, RENT_RECEIVED!$B$2:$B$10000, "LEASE-BH-F18-2025", RENT_RECEIVED!$E$2:$E$10000, "&lt;"&amp;DATE(2025,2,22)), 0)</f>
        <v>0.0</v>
      </c>
      <c r="K16" s="3" t="n">
        <f>G16 - H16</f>
        <v>0.0</v>
      </c>
      <c r="L16" s="3" t="n">
        <f>J16 + K16</f>
        <v>0.0</v>
      </c>
      <c r="M16" s="3" t="n">
        <f>H16 * 0.1500</f>
        <v>0.0</v>
      </c>
      <c r="N16" s="3" t="n">
        <f>H16 * 0.0000</f>
        <v>0.0</v>
      </c>
      <c r="O16" s="3" t="n">
        <f>ABS(M16 + N16)</f>
        <v>0.0</v>
      </c>
      <c r="P16" t="inlineStr">
        <is>
          <t/>
        </is>
      </c>
      <c r="Q16" s="3" t="n">
        <f>SUMIFS(EXPENSES!E:E, EXPENSES!B:B, "LEASE-BH-F18-2025", EXPENSES!D:D, "&gt;="&amp;DATE(2025,2,22), EXPENSES!D:D, "&lt;="&amp;DATE(2025,3,21))</f>
        <v>0.0</v>
      </c>
      <c r="R16" t="inlineStr">
        <is>
          <t/>
        </is>
      </c>
      <c r="S16" s="3" t="n">
        <f>H16 - O16 - Q16</f>
        <v>0.0</v>
      </c>
      <c r="T16" t="inlineStr">
        <is>
          <t/>
        </is>
      </c>
      <c r="U16" t="inlineStr">
        <is>
          <t/>
        </is>
      </c>
      <c r="V16" t="inlineStr">
        <is>
          <t/>
        </is>
      </c>
      <c r="W16" t="inlineStr">
        <is>
          <t/>
        </is>
      </c>
      <c r="X16" t="inlineStr">
        <is>
          <t/>
        </is>
      </c>
      <c r="Y16" s="3" t="n">
        <v>2044.25</v>
      </c>
      <c r="Z16" s="3" t="n">
        <f>S16-Y16</f>
        <v>0.0</v>
      </c>
      <c r="AA16" t="inlineStr">
        <is>
          <t>PAID</t>
        </is>
      </c>
      <c r="AB16" t="inlineStr">
        <is>
          <t>MULTIPLE</t>
        </is>
      </c>
      <c r="AC16" s="2" t="n">
        <v>45804.0</v>
      </c>
    </row>
    <row r="17">
      <c r="A17" t="inlineStr">
        <is>
          <t>LEASE-BH-F19-2025</t>
        </is>
      </c>
      <c r="B17" t="inlineStr">
        <is>
          <t>Flat 19 - 3 West Gate</t>
        </is>
      </c>
      <c r="C17" t="inlineStr">
        <is>
          <t>Achal (Delegated for Udayan)</t>
        </is>
      </c>
      <c r="D17" t="inlineStr">
        <is>
          <t>Mr Joshua Banks, Miss Layla Middlemass</t>
        </is>
      </c>
      <c r="E17" s="2" t="n">
        <v>45730.0</v>
      </c>
      <c r="F17" t="n">
        <v>14.0</v>
      </c>
      <c r="G17" s="3" t="n">
        <f>IFERROR(SUMPRODUCT((RENT_DUE!$B$2:$B$1000="LEASE-BH-F19-2025")*(RENT_DUE!$D$2:$D$1000&gt;=DATE(2025,2,22))*(RENT_DUE!$D$2:$D$1000&lt;=DATE(2025,3,21))*RENT_DUE!$L$2:$L$1000), 0)</f>
        <v>0.0</v>
      </c>
      <c r="H17" s="3" t="n">
        <f>IFERROR(SUMPRODUCT((RENT_RECEIVED!$B$2:$B$1000="LEASE-BH-F19-2025")*(RENT_RECEIVED!$E$2:$E$1000&gt;=DATE(2025,2,22))*(RENT_RECEIVED!$E$2:$E$1000&lt;=DATE(2025,3,21))*RENT_RECEIVED!$O$2:$O$1000), 0)</f>
        <v>0.0</v>
      </c>
      <c r="I17" t="inlineStr">
        <is>
          <t>HIST-2025-03-1501</t>
        </is>
      </c>
      <c r="J17" s="3" t="n">
        <f>IFERROR(SUMIFS(RENT_DUE!$L$2:$L$10000, RENT_DUE!$B$2:$B$10000, "LEASE-BH-F19-2025", RENT_DUE!$D$2:$D$10000, "&lt;"&amp;DATE(2025,2,22)), 0) - IFERROR(SUMIFS(RENT_RECEIVED!$O$2:$O$10000, RENT_RECEIVED!$B$2:$B$10000, "LEASE-BH-F19-2025", RENT_RECEIVED!$E$2:$E$10000, "&lt;"&amp;DATE(2025,2,22)), 0)</f>
        <v>0.0</v>
      </c>
      <c r="K17" s="3" t="n">
        <f>G17 - H17</f>
        <v>0.0</v>
      </c>
      <c r="L17" s="3" t="n">
        <f>J17 + K17</f>
        <v>0.0</v>
      </c>
      <c r="M17" s="3" t="n">
        <f>H17 * 0.1500</f>
        <v>0.0</v>
      </c>
      <c r="N17" s="3" t="n">
        <f>H17 * 0.0000</f>
        <v>0.0</v>
      </c>
      <c r="O17" s="3" t="n">
        <f>ABS(M17 + N17)</f>
        <v>0.0</v>
      </c>
      <c r="P17" t="inlineStr">
        <is>
          <t/>
        </is>
      </c>
      <c r="Q17" s="3" t="n">
        <f>SUMIFS(EXPENSES!E:E, EXPENSES!B:B, "LEASE-BH-F19-2025", EXPENSES!D:D, "&gt;="&amp;DATE(2025,2,22), EXPENSES!D:D, "&lt;="&amp;DATE(2025,3,21))</f>
        <v>0.0</v>
      </c>
      <c r="R17" t="inlineStr">
        <is>
          <t/>
        </is>
      </c>
      <c r="S17" s="3" t="n">
        <f>H17 - O17 - Q17</f>
        <v>0.0</v>
      </c>
      <c r="T17" t="inlineStr">
        <is>
          <t/>
        </is>
      </c>
      <c r="U17" t="inlineStr">
        <is>
          <t/>
        </is>
      </c>
      <c r="V17" t="inlineStr">
        <is>
          <t/>
        </is>
      </c>
      <c r="W17" t="inlineStr">
        <is>
          <t/>
        </is>
      </c>
      <c r="X17" t="inlineStr">
        <is>
          <t/>
        </is>
      </c>
      <c r="Y17" s="3" t="n">
        <v>2888.3</v>
      </c>
      <c r="Z17" s="3" t="n">
        <f>S17-Y17</f>
        <v>0.0</v>
      </c>
      <c r="AA17" t="inlineStr">
        <is>
          <t>PAID</t>
        </is>
      </c>
      <c r="AB17" t="inlineStr">
        <is>
          <t>MULTIPLE</t>
        </is>
      </c>
      <c r="AC17" s="2" t="n">
        <v>45846.0</v>
      </c>
    </row>
    <row r="18">
      <c r="A18" t="inlineStr">
        <is>
          <t>LEASE-BH-F20-2025</t>
        </is>
      </c>
      <c r="B18" t="inlineStr">
        <is>
          <t>Flat 20 - 3 West Gate</t>
        </is>
      </c>
      <c r="C18" t="inlineStr">
        <is>
          <t>Achal (Delegated for Udayan)</t>
        </is>
      </c>
      <c r="D18" t="inlineStr">
        <is>
          <t>Mr James Kay</t>
        </is>
      </c>
      <c r="E18" s="2" t="n">
        <v>45732.0</v>
      </c>
      <c r="F18" t="n">
        <v>16.0</v>
      </c>
      <c r="G18" s="3" t="n">
        <f>IFERROR(SUMPRODUCT((RENT_DUE!$B$2:$B$1000="LEASE-BH-F20-2025")*(RENT_DUE!$D$2:$D$1000&gt;=DATE(2025,2,22))*(RENT_DUE!$D$2:$D$1000&lt;=DATE(2025,3,21))*RENT_DUE!$L$2:$L$1000), 0)</f>
        <v>0.0</v>
      </c>
      <c r="H18" s="3" t="n">
        <f>IFERROR(SUMPRODUCT((RENT_RECEIVED!$B$2:$B$1000="LEASE-BH-F20-2025")*(RENT_RECEIVED!$E$2:$E$1000&gt;=DATE(2025,2,22))*(RENT_RECEIVED!$E$2:$E$1000&lt;=DATE(2025,3,21))*RENT_RECEIVED!$O$2:$O$1000), 0)</f>
        <v>0.0</v>
      </c>
      <c r="I18" t="inlineStr">
        <is>
          <t>HIST-2025-03-1501</t>
        </is>
      </c>
      <c r="J18" s="3" t="n">
        <f>IFERROR(SUMIFS(RENT_DUE!$L$2:$L$10000, RENT_DUE!$B$2:$B$10000, "LEASE-BH-F20-2025", RENT_DUE!$D$2:$D$10000, "&lt;"&amp;DATE(2025,2,22)), 0) - IFERROR(SUMIFS(RENT_RECEIVED!$O$2:$O$10000, RENT_RECEIVED!$B$2:$B$10000, "LEASE-BH-F20-2025", RENT_RECEIVED!$E$2:$E$10000, "&lt;"&amp;DATE(2025,2,22)), 0)</f>
        <v>0.0</v>
      </c>
      <c r="K18" s="3" t="n">
        <f>G18 - H18</f>
        <v>0.0</v>
      </c>
      <c r="L18" s="3" t="n">
        <f>J18 + K18</f>
        <v>0.0</v>
      </c>
      <c r="M18" s="3" t="n">
        <f>H18 * 0.1500</f>
        <v>0.0</v>
      </c>
      <c r="N18" s="3" t="n">
        <f>H18 * 0.0000</f>
        <v>0.0</v>
      </c>
      <c r="O18" s="3" t="n">
        <f>ABS(M18 + N18)</f>
        <v>0.0</v>
      </c>
      <c r="P18" t="inlineStr">
        <is>
          <t/>
        </is>
      </c>
      <c r="Q18" s="3" t="n">
        <f>SUMIFS(EXPENSES!E:E, EXPENSES!B:B, "LEASE-BH-F20-2025", EXPENSES!D:D, "&gt;="&amp;DATE(2025,2,22), EXPENSES!D:D, "&lt;="&amp;DATE(2025,3,21))</f>
        <v>0.0</v>
      </c>
      <c r="R18" t="inlineStr">
        <is>
          <t/>
        </is>
      </c>
      <c r="S18" s="3" t="n">
        <f>H18 - O18 - Q18</f>
        <v>0.0</v>
      </c>
      <c r="T18" t="inlineStr">
        <is>
          <t/>
        </is>
      </c>
      <c r="U18" t="inlineStr">
        <is>
          <t/>
        </is>
      </c>
      <c r="V18" t="inlineStr">
        <is>
          <t/>
        </is>
      </c>
      <c r="W18" t="inlineStr">
        <is>
          <t/>
        </is>
      </c>
      <c r="X18" t="inlineStr">
        <is>
          <t/>
        </is>
      </c>
      <c r="Y18" s="3" t="n">
        <v>5255.0</v>
      </c>
      <c r="Z18" s="3" t="n">
        <f>S18-Y18</f>
        <v>0.0</v>
      </c>
      <c r="AA18" t="inlineStr">
        <is>
          <t>PAID</t>
        </is>
      </c>
      <c r="AB18" t="inlineStr">
        <is>
          <t>MULTIPLE</t>
        </is>
      </c>
      <c r="AC18" s="2" t="n">
        <v>45982.0</v>
      </c>
    </row>
    <row r="19">
      <c r="A19" t="inlineStr">
        <is>
          <t>LEASE-BH-F21-2025</t>
        </is>
      </c>
      <c r="B19" t="inlineStr">
        <is>
          <t>Flat 21 - 3 West Gate</t>
        </is>
      </c>
      <c r="C19" t="inlineStr">
        <is>
          <t>Achal (Delegated for Udayan)</t>
        </is>
      </c>
      <c r="D19" t="inlineStr">
        <is>
          <t>Mr Felwin Francis</t>
        </is>
      </c>
      <c r="E19" s="2" t="n">
        <v>45687.0</v>
      </c>
      <c r="F19" t="n">
        <v>30.0</v>
      </c>
      <c r="G19" s="3" t="n">
        <f>IFERROR(SUMPRODUCT((RENT_DUE!$B$2:$B$1000="LEASE-BH-F21-2025")*(RENT_DUE!$D$2:$D$1000&gt;=DATE(2025,2,22))*(RENT_DUE!$D$2:$D$1000&lt;=DATE(2025,3,21))*RENT_DUE!$L$2:$L$1000), 0)</f>
        <v>0.0</v>
      </c>
      <c r="H19" s="3" t="n">
        <f>IFERROR(SUMPRODUCT((RENT_RECEIVED!$B$2:$B$1000="LEASE-BH-F21-2025")*(RENT_RECEIVED!$E$2:$E$1000&gt;=DATE(2025,2,22))*(RENT_RECEIVED!$E$2:$E$1000&lt;=DATE(2025,3,21))*RENT_RECEIVED!$O$2:$O$1000), 0)</f>
        <v>0.0</v>
      </c>
      <c r="I19" t="inlineStr">
        <is>
          <t>HIST-2025-03-1501</t>
        </is>
      </c>
      <c r="J19" s="3" t="n">
        <f>IFERROR(SUMIFS(RENT_DUE!$L$2:$L$10000, RENT_DUE!$B$2:$B$10000, "LEASE-BH-F21-2025", RENT_DUE!$D$2:$D$10000, "&lt;"&amp;DATE(2025,2,22)), 0) - IFERROR(SUMIFS(RENT_RECEIVED!$O$2:$O$10000, RENT_RECEIVED!$B$2:$B$10000, "LEASE-BH-F21-2025", RENT_RECEIVED!$E$2:$E$10000, "&lt;"&amp;DATE(2025,2,22)), 0)</f>
        <v>0.0</v>
      </c>
      <c r="K19" s="3" t="n">
        <f>G19 - H19</f>
        <v>0.0</v>
      </c>
      <c r="L19" s="3" t="n">
        <f>J19 + K19</f>
        <v>0.0</v>
      </c>
      <c r="M19" s="3" t="n">
        <f>H19 * 0.1500</f>
        <v>0.0</v>
      </c>
      <c r="N19" s="3" t="n">
        <f>H19 * 0.0000</f>
        <v>0.0</v>
      </c>
      <c r="O19" s="3" t="n">
        <f>ABS(M19 + N19)</f>
        <v>0.0</v>
      </c>
      <c r="P19" t="inlineStr">
        <is>
          <t/>
        </is>
      </c>
      <c r="Q19" s="3" t="n">
        <f>SUMIFS(EXPENSES!E:E, EXPENSES!B:B, "LEASE-BH-F21-2025", EXPENSES!D:D, "&gt;="&amp;DATE(2025,2,22), EXPENSES!D:D, "&lt;="&amp;DATE(2025,3,21))</f>
        <v>0.0</v>
      </c>
      <c r="R19" t="inlineStr">
        <is>
          <t/>
        </is>
      </c>
      <c r="S19" s="3" t="n">
        <f>H19 - O19 - Q19</f>
        <v>0.0</v>
      </c>
      <c r="T19" t="inlineStr">
        <is>
          <t/>
        </is>
      </c>
      <c r="U19" t="inlineStr">
        <is>
          <t/>
        </is>
      </c>
      <c r="V19" t="inlineStr">
        <is>
          <t/>
        </is>
      </c>
      <c r="W19" t="inlineStr">
        <is>
          <t/>
        </is>
      </c>
      <c r="X19" t="inlineStr">
        <is>
          <t/>
        </is>
      </c>
      <c r="Y19" s="3" t="n">
        <v>6637.5</v>
      </c>
      <c r="Z19" s="3" t="n">
        <f>S19-Y19</f>
        <v>0.0</v>
      </c>
      <c r="AA19" t="inlineStr">
        <is>
          <t>PAID</t>
        </is>
      </c>
      <c r="AB19" t="inlineStr">
        <is>
          <t>MULTIPLE</t>
        </is>
      </c>
      <c r="AC19" s="2" t="n">
        <v>45982.0</v>
      </c>
    </row>
    <row r="20">
      <c r="A20" t="inlineStr">
        <is>
          <t>LEASE-BH-F22-2025</t>
        </is>
      </c>
      <c r="B20" t="inlineStr">
        <is>
          <t>Flat 22 - 3 West Gate</t>
        </is>
      </c>
      <c r="C20" t="inlineStr">
        <is>
          <t>Achal (Delegated for Udayan)</t>
        </is>
      </c>
      <c r="D20" t="inlineStr">
        <is>
          <t>Mr Brian Lowe</t>
        </is>
      </c>
      <c r="E20" s="2" t="n">
        <v>45717.0</v>
      </c>
      <c r="F20" t="n">
        <v>1.0</v>
      </c>
      <c r="G20" s="3" t="n">
        <f>IFERROR(SUMPRODUCT((RENT_DUE!$B$2:$B$1000="LEASE-BH-F22-2025")*(RENT_DUE!$D$2:$D$1000&gt;=DATE(2025,2,22))*(RENT_DUE!$D$2:$D$1000&lt;=DATE(2025,3,21))*RENT_DUE!$L$2:$L$1000), 0)</f>
        <v>0.0</v>
      </c>
      <c r="H20" s="3" t="n">
        <f>IFERROR(SUMPRODUCT((RENT_RECEIVED!$B$2:$B$1000="LEASE-BH-F22-2025")*(RENT_RECEIVED!$E$2:$E$1000&gt;=DATE(2025,2,22))*(RENT_RECEIVED!$E$2:$E$1000&lt;=DATE(2025,3,21))*RENT_RECEIVED!$O$2:$O$1000), 0)</f>
        <v>0.0</v>
      </c>
      <c r="I20" t="inlineStr">
        <is>
          <t>HIST-2025-03-1501</t>
        </is>
      </c>
      <c r="J20" s="3" t="n">
        <f>IFERROR(SUMIFS(RENT_DUE!$L$2:$L$10000, RENT_DUE!$B$2:$B$10000, "LEASE-BH-F22-2025", RENT_DUE!$D$2:$D$10000, "&lt;"&amp;DATE(2025,2,22)), 0) - IFERROR(SUMIFS(RENT_RECEIVED!$O$2:$O$10000, RENT_RECEIVED!$B$2:$B$10000, "LEASE-BH-F22-2025", RENT_RECEIVED!$E$2:$E$10000, "&lt;"&amp;DATE(2025,2,22)), 0)</f>
        <v>0.0</v>
      </c>
      <c r="K20" s="3" t="n">
        <f>G20 - H20</f>
        <v>0.0</v>
      </c>
      <c r="L20" s="3" t="n">
        <f>J20 + K20</f>
        <v>0.0</v>
      </c>
      <c r="M20" s="3" t="n">
        <f>H20 * 0.1500</f>
        <v>0.0</v>
      </c>
      <c r="N20" s="3" t="n">
        <f>H20 * 0.0000</f>
        <v>0.0</v>
      </c>
      <c r="O20" s="3" t="n">
        <f>ABS(M20 + N20)</f>
        <v>0.0</v>
      </c>
      <c r="P20" t="inlineStr">
        <is>
          <t/>
        </is>
      </c>
      <c r="Q20" s="3" t="n">
        <f>SUMIFS(EXPENSES!E:E, EXPENSES!B:B, "LEASE-BH-F22-2025", EXPENSES!D:D, "&gt;="&amp;DATE(2025,2,22), EXPENSES!D:D, "&lt;="&amp;DATE(2025,3,21))</f>
        <v>0.0</v>
      </c>
      <c r="R20" t="inlineStr">
        <is>
          <t/>
        </is>
      </c>
      <c r="S20" s="3" t="n">
        <f>H20 - O20 - Q20</f>
        <v>0.0</v>
      </c>
      <c r="T20" t="inlineStr">
        <is>
          <t/>
        </is>
      </c>
      <c r="U20" t="inlineStr">
        <is>
          <t/>
        </is>
      </c>
      <c r="V20" t="inlineStr">
        <is>
          <t/>
        </is>
      </c>
      <c r="W20" t="inlineStr">
        <is>
          <t/>
        </is>
      </c>
      <c r="X20" t="inlineStr">
        <is>
          <t/>
        </is>
      </c>
      <c r="Y20" s="3" t="n">
        <v>5661.0</v>
      </c>
      <c r="Z20" s="3" t="n">
        <f>S20-Y20</f>
        <v>0.0</v>
      </c>
      <c r="AA20" t="inlineStr">
        <is>
          <t>PAID</t>
        </is>
      </c>
      <c r="AB20" t="inlineStr">
        <is>
          <t>MULTIPLE</t>
        </is>
      </c>
      <c r="AC20" s="2" t="n">
        <v>45982.0</v>
      </c>
    </row>
    <row r="21">
      <c r="A21" t="inlineStr">
        <is>
          <t>LEASE-BH-F24-2025</t>
        </is>
      </c>
      <c r="B21" t="inlineStr">
        <is>
          <t>Flat 24 - 3 West Gate</t>
        </is>
      </c>
      <c r="C21" t="inlineStr">
        <is>
          <t>Achal (Delegated for Udayan)</t>
        </is>
      </c>
      <c r="D21" t="inlineStr">
        <is>
          <t>Mr Ethan Maloney, Miss Soraya Fearon</t>
        </is>
      </c>
      <c r="E21" s="2" t="n">
        <v>45700.0</v>
      </c>
      <c r="F21" t="n">
        <v>12.0</v>
      </c>
      <c r="G21" s="3" t="n">
        <f>IFERROR(SUMPRODUCT((RENT_DUE!$B$2:$B$1000="LEASE-BH-F24-2025")*(RENT_DUE!$D$2:$D$1000&gt;=DATE(2025,2,22))*(RENT_DUE!$D$2:$D$1000&lt;=DATE(2025,3,21))*RENT_DUE!$L$2:$L$1000), 0)</f>
        <v>0.0</v>
      </c>
      <c r="H21" s="3" t="n">
        <f>IFERROR(SUMPRODUCT((RENT_RECEIVED!$B$2:$B$1000="LEASE-BH-F24-2025")*(RENT_RECEIVED!$E$2:$E$1000&gt;=DATE(2025,2,22))*(RENT_RECEIVED!$E$2:$E$1000&lt;=DATE(2025,3,21))*RENT_RECEIVED!$O$2:$O$1000), 0)</f>
        <v>0.0</v>
      </c>
      <c r="I21" t="inlineStr">
        <is>
          <t>HIST-2025-03-1501</t>
        </is>
      </c>
      <c r="J21" s="3" t="n">
        <f>IFERROR(SUMIFS(RENT_DUE!$L$2:$L$10000, RENT_DUE!$B$2:$B$10000, "LEASE-BH-F24-2025", RENT_DUE!$D$2:$D$10000, "&lt;"&amp;DATE(2025,2,22)), 0) - IFERROR(SUMIFS(RENT_RECEIVED!$O$2:$O$10000, RENT_RECEIVED!$B$2:$B$10000, "LEASE-BH-F24-2025", RENT_RECEIVED!$E$2:$E$10000, "&lt;"&amp;DATE(2025,2,22)), 0)</f>
        <v>0.0</v>
      </c>
      <c r="K21" s="3" t="n">
        <f>G21 - H21</f>
        <v>0.0</v>
      </c>
      <c r="L21" s="3" t="n">
        <f>J21 + K21</f>
        <v>0.0</v>
      </c>
      <c r="M21" s="3" t="n">
        <f>H21 * 0.1500</f>
        <v>0.0</v>
      </c>
      <c r="N21" s="3" t="n">
        <f>H21 * 0.0000</f>
        <v>0.0</v>
      </c>
      <c r="O21" s="3" t="n">
        <f>ABS(M21 + N21)</f>
        <v>0.0</v>
      </c>
      <c r="P21" t="inlineStr">
        <is>
          <t/>
        </is>
      </c>
      <c r="Q21" s="3" t="n">
        <f>SUMIFS(EXPENSES!E:E, EXPENSES!B:B, "LEASE-BH-F24-2025", EXPENSES!D:D, "&gt;="&amp;DATE(2025,2,22), EXPENSES!D:D, "&lt;="&amp;DATE(2025,3,21))</f>
        <v>0.0</v>
      </c>
      <c r="R21" t="inlineStr">
        <is>
          <t/>
        </is>
      </c>
      <c r="S21" s="3" t="n">
        <f>H21 - O21 - Q21</f>
        <v>0.0</v>
      </c>
      <c r="T21" t="inlineStr">
        <is>
          <t/>
        </is>
      </c>
      <c r="U21" t="inlineStr">
        <is>
          <t/>
        </is>
      </c>
      <c r="V21" t="inlineStr">
        <is>
          <t/>
        </is>
      </c>
      <c r="W21" t="inlineStr">
        <is>
          <t/>
        </is>
      </c>
      <c r="X21" t="inlineStr">
        <is>
          <t/>
        </is>
      </c>
      <c r="Y21" s="3" t="n">
        <v>6765.0</v>
      </c>
      <c r="Z21" s="3" t="n">
        <f>S21-Y21</f>
        <v>0.0</v>
      </c>
      <c r="AA21" t="inlineStr">
        <is>
          <t>PAID</t>
        </is>
      </c>
      <c r="AB21" t="inlineStr">
        <is>
          <t>MULTIPLE</t>
        </is>
      </c>
      <c r="AC21" s="2" t="n">
        <v>45982.0</v>
      </c>
    </row>
    <row r="22">
      <c r="A22" t="inlineStr">
        <is>
          <t>LEASE-BH-F26-2025</t>
        </is>
      </c>
      <c r="B22" t="inlineStr">
        <is>
          <t>Flat 26 - 3 West Gate</t>
        </is>
      </c>
      <c r="C22" t="inlineStr">
        <is>
          <t>Achal (Delegated for Udayan)</t>
        </is>
      </c>
      <c r="D22" t="inlineStr">
        <is>
          <t>Mr Louis Scotting</t>
        </is>
      </c>
      <c r="E22" s="2" t="n">
        <v>45730.0</v>
      </c>
      <c r="F22" t="n">
        <v>14.0</v>
      </c>
      <c r="G22" s="3" t="n">
        <f>IFERROR(SUMPRODUCT((RENT_DUE!$B$2:$B$1000="LEASE-BH-F26-2025")*(RENT_DUE!$D$2:$D$1000&gt;=DATE(2025,2,22))*(RENT_DUE!$D$2:$D$1000&lt;=DATE(2025,3,21))*RENT_DUE!$L$2:$L$1000), 0)</f>
        <v>0.0</v>
      </c>
      <c r="H22" s="3" t="n">
        <f>IFERROR(SUMPRODUCT((RENT_RECEIVED!$B$2:$B$1000="LEASE-BH-F26-2025")*(RENT_RECEIVED!$E$2:$E$1000&gt;=DATE(2025,2,22))*(RENT_RECEIVED!$E$2:$E$1000&lt;=DATE(2025,3,21))*RENT_RECEIVED!$O$2:$O$1000), 0)</f>
        <v>0.0</v>
      </c>
      <c r="I22" t="inlineStr">
        <is>
          <t>HIST-2025-03-1501</t>
        </is>
      </c>
      <c r="J22" s="3" t="n">
        <f>IFERROR(SUMIFS(RENT_DUE!$L$2:$L$10000, RENT_DUE!$B$2:$B$10000, "LEASE-BH-F26-2025", RENT_DUE!$D$2:$D$10000, "&lt;"&amp;DATE(2025,2,22)), 0) - IFERROR(SUMIFS(RENT_RECEIVED!$O$2:$O$10000, RENT_RECEIVED!$B$2:$B$10000, "LEASE-BH-F26-2025", RENT_RECEIVED!$E$2:$E$10000, "&lt;"&amp;DATE(2025,2,22)), 0)</f>
        <v>0.0</v>
      </c>
      <c r="K22" s="3" t="n">
        <f>G22 - H22</f>
        <v>0.0</v>
      </c>
      <c r="L22" s="3" t="n">
        <f>J22 + K22</f>
        <v>0.0</v>
      </c>
      <c r="M22" s="3" t="n">
        <f>H22 * 0.1500</f>
        <v>0.0</v>
      </c>
      <c r="N22" s="3" t="n">
        <f>H22 * 0.0000</f>
        <v>0.0</v>
      </c>
      <c r="O22" s="3" t="n">
        <f>ABS(M22 + N22)</f>
        <v>0.0</v>
      </c>
      <c r="P22" t="inlineStr">
        <is>
          <t/>
        </is>
      </c>
      <c r="Q22" s="3" t="n">
        <f>SUMIFS(EXPENSES!E:E, EXPENSES!B:B, "LEASE-BH-F26-2025", EXPENSES!D:D, "&gt;="&amp;DATE(2025,2,22), EXPENSES!D:D, "&lt;="&amp;DATE(2025,3,21))</f>
        <v>0.0</v>
      </c>
      <c r="R22" t="inlineStr">
        <is>
          <t/>
        </is>
      </c>
      <c r="S22" s="3" t="n">
        <f>H22 - O22 - Q22</f>
        <v>0.0</v>
      </c>
      <c r="T22" t="inlineStr">
        <is>
          <t/>
        </is>
      </c>
      <c r="U22" t="inlineStr">
        <is>
          <t/>
        </is>
      </c>
      <c r="V22" t="inlineStr">
        <is>
          <t/>
        </is>
      </c>
      <c r="W22" t="inlineStr">
        <is>
          <t/>
        </is>
      </c>
      <c r="X22" t="inlineStr">
        <is>
          <t/>
        </is>
      </c>
      <c r="Y22" s="3" t="n">
        <v>5163.75</v>
      </c>
      <c r="Z22" s="3" t="n">
        <f>S22-Y22</f>
        <v>0.0</v>
      </c>
      <c r="AA22" t="inlineStr">
        <is>
          <t>PAID</t>
        </is>
      </c>
      <c r="AB22" t="inlineStr">
        <is>
          <t>MULTIPLE</t>
        </is>
      </c>
      <c r="AC22" s="2" t="n">
        <v>45992.0</v>
      </c>
    </row>
    <row r="23">
      <c r="A23" t="inlineStr">
        <is>
          <t>LEASE-BH-F27-2025</t>
        </is>
      </c>
      <c r="B23" t="inlineStr">
        <is>
          <t>Flat 27 - 3 West Gate</t>
        </is>
      </c>
      <c r="C23" t="inlineStr">
        <is>
          <t>Achal (Delegated for Udayan)</t>
        </is>
      </c>
      <c r="D23" t="inlineStr">
        <is>
          <t>Miss Sophie Murray</t>
        </is>
      </c>
      <c r="E23" s="2" t="n">
        <v>45716.0</v>
      </c>
      <c r="F23" t="n">
        <v>30.0</v>
      </c>
      <c r="G23" s="3" t="n">
        <f>IFERROR(SUMPRODUCT((RENT_DUE!$B$2:$B$1000="LEASE-BH-F27-2025")*(RENT_DUE!$D$2:$D$1000&gt;=DATE(2025,2,22))*(RENT_DUE!$D$2:$D$1000&lt;=DATE(2025,3,21))*RENT_DUE!$L$2:$L$1000), 0)</f>
        <v>0.0</v>
      </c>
      <c r="H23" s="3" t="n">
        <f>IFERROR(SUMPRODUCT((RENT_RECEIVED!$B$2:$B$1000="LEASE-BH-F27-2025")*(RENT_RECEIVED!$E$2:$E$1000&gt;=DATE(2025,2,22))*(RENT_RECEIVED!$E$2:$E$1000&lt;=DATE(2025,3,21))*RENT_RECEIVED!$O$2:$O$1000), 0)</f>
        <v>0.0</v>
      </c>
      <c r="I23" t="inlineStr">
        <is>
          <t>HIST-2025-03-1501</t>
        </is>
      </c>
      <c r="J23" s="3" t="n">
        <f>IFERROR(SUMIFS(RENT_DUE!$L$2:$L$10000, RENT_DUE!$B$2:$B$10000, "LEASE-BH-F27-2025", RENT_DUE!$D$2:$D$10000, "&lt;"&amp;DATE(2025,2,22)), 0) - IFERROR(SUMIFS(RENT_RECEIVED!$O$2:$O$10000, RENT_RECEIVED!$B$2:$B$10000, "LEASE-BH-F27-2025", RENT_RECEIVED!$E$2:$E$10000, "&lt;"&amp;DATE(2025,2,22)), 0)</f>
        <v>0.0</v>
      </c>
      <c r="K23" s="3" t="n">
        <f>G23 - H23</f>
        <v>0.0</v>
      </c>
      <c r="L23" s="3" t="n">
        <f>J23 + K23</f>
        <v>0.0</v>
      </c>
      <c r="M23" s="3" t="n">
        <f>H23 * 0.1500</f>
        <v>0.0</v>
      </c>
      <c r="N23" s="3" t="n">
        <f>H23 * 0.0000</f>
        <v>0.0</v>
      </c>
      <c r="O23" s="3" t="n">
        <f>ABS(M23 + N23)</f>
        <v>0.0</v>
      </c>
      <c r="P23" t="inlineStr">
        <is>
          <t/>
        </is>
      </c>
      <c r="Q23" s="3" t="n">
        <f>SUMIFS(EXPENSES!E:E, EXPENSES!B:B, "LEASE-BH-F27-2025", EXPENSES!D:D, "&gt;="&amp;DATE(2025,2,22), EXPENSES!D:D, "&lt;="&amp;DATE(2025,3,21))</f>
        <v>0.0</v>
      </c>
      <c r="R23" t="inlineStr">
        <is>
          <t/>
        </is>
      </c>
      <c r="S23" s="3" t="n">
        <f>H23 - O23 - Q23</f>
        <v>0.0</v>
      </c>
      <c r="T23" t="inlineStr">
        <is>
          <t/>
        </is>
      </c>
      <c r="U23" t="inlineStr">
        <is>
          <t/>
        </is>
      </c>
      <c r="V23" t="inlineStr">
        <is>
          <t/>
        </is>
      </c>
      <c r="W23" t="inlineStr">
        <is>
          <t/>
        </is>
      </c>
      <c r="X23" t="inlineStr">
        <is>
          <t/>
        </is>
      </c>
      <c r="Y23" s="3" t="n">
        <v>5355.0</v>
      </c>
      <c r="Z23" s="3" t="n">
        <f>S23-Y23</f>
        <v>0.0</v>
      </c>
      <c r="AA23" t="inlineStr">
        <is>
          <t>PAID</t>
        </is>
      </c>
      <c r="AB23" t="inlineStr">
        <is>
          <t>MULTIPLE</t>
        </is>
      </c>
      <c r="AC23" s="2" t="n">
        <v>45982.0</v>
      </c>
    </row>
    <row r="24">
      <c r="A24" t="inlineStr">
        <is>
          <t>LEASE-BH-F29-2025</t>
        </is>
      </c>
      <c r="B24" t="inlineStr">
        <is>
          <t>Flat 29 - 3 West Gate</t>
        </is>
      </c>
      <c r="C24" t="inlineStr">
        <is>
          <t>Achal (Delegated for Udayan)</t>
        </is>
      </c>
      <c r="D24" t="inlineStr">
        <is>
          <t>Mrs Margaret Fritchley</t>
        </is>
      </c>
      <c r="E24" s="2" t="n">
        <v>45715.0</v>
      </c>
      <c r="F24" t="n">
        <v>27.0</v>
      </c>
      <c r="G24" s="3" t="n">
        <f>IFERROR(SUMPRODUCT((RENT_DUE!$B$2:$B$1000="LEASE-BH-F29-2025")*(RENT_DUE!$D$2:$D$1000&gt;=DATE(2025,2,22))*(RENT_DUE!$D$2:$D$1000&lt;=DATE(2025,3,21))*RENT_DUE!$L$2:$L$1000), 0)</f>
        <v>0.0</v>
      </c>
      <c r="H24" s="3" t="n">
        <f>IFERROR(SUMPRODUCT((RENT_RECEIVED!$B$2:$B$1000="LEASE-BH-F29-2025")*(RENT_RECEIVED!$E$2:$E$1000&gt;=DATE(2025,2,22))*(RENT_RECEIVED!$E$2:$E$1000&lt;=DATE(2025,3,21))*RENT_RECEIVED!$O$2:$O$1000), 0)</f>
        <v>0.0</v>
      </c>
      <c r="I24" t="inlineStr">
        <is>
          <t>HIST-2025-03-1501</t>
        </is>
      </c>
      <c r="J24" s="3" t="n">
        <f>IFERROR(SUMIFS(RENT_DUE!$L$2:$L$10000, RENT_DUE!$B$2:$B$10000, "LEASE-BH-F29-2025", RENT_DUE!$D$2:$D$10000, "&lt;"&amp;DATE(2025,2,22)), 0) - IFERROR(SUMIFS(RENT_RECEIVED!$O$2:$O$10000, RENT_RECEIVED!$B$2:$B$10000, "LEASE-BH-F29-2025", RENT_RECEIVED!$E$2:$E$10000, "&lt;"&amp;DATE(2025,2,22)), 0)</f>
        <v>0.0</v>
      </c>
      <c r="K24" s="3" t="n">
        <f>G24 - H24</f>
        <v>0.0</v>
      </c>
      <c r="L24" s="3" t="n">
        <f>J24 + K24</f>
        <v>0.0</v>
      </c>
      <c r="M24" s="3" t="n">
        <f>H24 * 0.1500</f>
        <v>0.0</v>
      </c>
      <c r="N24" s="3" t="n">
        <f>H24 * 0.0000</f>
        <v>0.0</v>
      </c>
      <c r="O24" s="3" t="n">
        <f>ABS(M24 + N24)</f>
        <v>0.0</v>
      </c>
      <c r="P24" t="inlineStr">
        <is>
          <t/>
        </is>
      </c>
      <c r="Q24" s="3" t="n">
        <f>SUMIFS(EXPENSES!E:E, EXPENSES!B:B, "LEASE-BH-F29-2025", EXPENSES!D:D, "&gt;="&amp;DATE(2025,2,22), EXPENSES!D:D, "&lt;="&amp;DATE(2025,3,21))</f>
        <v>0.0</v>
      </c>
      <c r="R24" t="inlineStr">
        <is>
          <t/>
        </is>
      </c>
      <c r="S24" s="3" t="n">
        <f>H24 - O24 - Q24</f>
        <v>0.0</v>
      </c>
      <c r="T24" t="inlineStr">
        <is>
          <t/>
        </is>
      </c>
      <c r="U24" t="inlineStr">
        <is>
          <t/>
        </is>
      </c>
      <c r="V24" t="inlineStr">
        <is>
          <t/>
        </is>
      </c>
      <c r="W24" t="inlineStr">
        <is>
          <t/>
        </is>
      </c>
      <c r="X24" t="inlineStr">
        <is>
          <t/>
        </is>
      </c>
      <c r="Y24" s="3" t="n">
        <v>5541.0</v>
      </c>
      <c r="Z24" s="3" t="n">
        <f>S24-Y24</f>
        <v>0.0</v>
      </c>
      <c r="AA24" t="inlineStr">
        <is>
          <t>PAID</t>
        </is>
      </c>
      <c r="AB24" t="inlineStr">
        <is>
          <t>MULTIPLE</t>
        </is>
      </c>
      <c r="AC24" s="2" t="n">
        <v>45982.0</v>
      </c>
    </row>
    <row r="25">
      <c r="A25" t="inlineStr">
        <is>
          <t>LEASE-BH-F30-2025</t>
        </is>
      </c>
      <c r="B25" t="inlineStr">
        <is>
          <t>Flat 30 - 3 West Gate</t>
        </is>
      </c>
      <c r="C25" t="inlineStr">
        <is>
          <t>Achal (Delegated for Udayan)</t>
        </is>
      </c>
      <c r="D25" t="inlineStr">
        <is>
          <t>Mr Joel Bryan</t>
        </is>
      </c>
      <c r="E25" s="2" t="n">
        <v>45722.0</v>
      </c>
      <c r="F25" t="n">
        <v>6.0</v>
      </c>
      <c r="G25" s="3" t="n">
        <f>IFERROR(SUMPRODUCT((RENT_DUE!$B$2:$B$1000="LEASE-BH-F30-2025")*(RENT_DUE!$D$2:$D$1000&gt;=DATE(2025,2,22))*(RENT_DUE!$D$2:$D$1000&lt;=DATE(2025,3,21))*RENT_DUE!$L$2:$L$1000), 0)</f>
        <v>0.0</v>
      </c>
      <c r="H25" s="3" t="n">
        <f>IFERROR(SUMPRODUCT((RENT_RECEIVED!$B$2:$B$1000="LEASE-BH-F30-2025")*(RENT_RECEIVED!$E$2:$E$1000&gt;=DATE(2025,2,22))*(RENT_RECEIVED!$E$2:$E$1000&lt;=DATE(2025,3,21))*RENT_RECEIVED!$O$2:$O$1000), 0)</f>
        <v>0.0</v>
      </c>
      <c r="I25" t="inlineStr">
        <is>
          <t>HIST-2025-03-1501</t>
        </is>
      </c>
      <c r="J25" s="3" t="n">
        <f>IFERROR(SUMIFS(RENT_DUE!$L$2:$L$10000, RENT_DUE!$B$2:$B$10000, "LEASE-BH-F30-2025", RENT_DUE!$D$2:$D$10000, "&lt;"&amp;DATE(2025,2,22)), 0) - IFERROR(SUMIFS(RENT_RECEIVED!$O$2:$O$10000, RENT_RECEIVED!$B$2:$B$10000, "LEASE-BH-F30-2025", RENT_RECEIVED!$E$2:$E$10000, "&lt;"&amp;DATE(2025,2,22)), 0)</f>
        <v>0.0</v>
      </c>
      <c r="K25" s="3" t="n">
        <f>G25 - H25</f>
        <v>0.0</v>
      </c>
      <c r="L25" s="3" t="n">
        <f>J25 + K25</f>
        <v>0.0</v>
      </c>
      <c r="M25" s="3" t="n">
        <f>H25 * 0.1500</f>
        <v>0.0</v>
      </c>
      <c r="N25" s="3" t="n">
        <f>H25 * 0.0000</f>
        <v>0.0</v>
      </c>
      <c r="O25" s="3" t="n">
        <f>ABS(M25 + N25)</f>
        <v>0.0</v>
      </c>
      <c r="P25" t="inlineStr">
        <is>
          <t/>
        </is>
      </c>
      <c r="Q25" s="3" t="n">
        <f>SUMIFS(EXPENSES!E:E, EXPENSES!B:B, "LEASE-BH-F30-2025", EXPENSES!D:D, "&gt;="&amp;DATE(2025,2,22), EXPENSES!D:D, "&lt;="&amp;DATE(2025,3,21))</f>
        <v>0.0</v>
      </c>
      <c r="R25" t="inlineStr">
        <is>
          <t/>
        </is>
      </c>
      <c r="S25" s="3" t="n">
        <f>H25 - O25 - Q25</f>
        <v>0.0</v>
      </c>
      <c r="T25" t="inlineStr">
        <is>
          <t/>
        </is>
      </c>
      <c r="U25" t="inlineStr">
        <is>
          <t/>
        </is>
      </c>
      <c r="V25" t="inlineStr">
        <is>
          <t/>
        </is>
      </c>
      <c r="W25" t="inlineStr">
        <is>
          <t/>
        </is>
      </c>
      <c r="X25" t="inlineStr">
        <is>
          <t/>
        </is>
      </c>
      <c r="Y25" s="3" t="n">
        <v>5032.0</v>
      </c>
      <c r="Z25" s="3" t="n">
        <f>S25-Y25</f>
        <v>0.0</v>
      </c>
      <c r="AA25" t="inlineStr">
        <is>
          <t>PAID</t>
        </is>
      </c>
      <c r="AB25" t="inlineStr">
        <is>
          <t>MULTIPLE</t>
        </is>
      </c>
      <c r="AC25" s="2" t="n">
        <v>45992.0</v>
      </c>
    </row>
    <row r="26">
      <c r="A26" t="inlineStr">
        <is>
          <t>LEASE-KH-F-2024</t>
        </is>
      </c>
      <c r="B26" t="inlineStr">
        <is>
          <t>Apartment F - Knighton Hayes Manor</t>
        </is>
      </c>
      <c r="C26" t="inlineStr">
        <is>
          <t>Achal (Delegated for Udayan)</t>
        </is>
      </c>
      <c r="D26" t="inlineStr">
        <is>
          <t>Mr Riaz Hamid, Ismat Tarr-Hamid</t>
        </is>
      </c>
      <c r="E26" s="2" t="n">
        <v>45648.0</v>
      </c>
      <c r="F26" t="n">
        <v>22.0</v>
      </c>
      <c r="G26" s="3" t="n">
        <f>IFERROR(SUMPRODUCT((RENT_DUE!$B$2:$B$1000="LEASE-KH-F-2024")*(RENT_DUE!$D$2:$D$1000&gt;=DATE(2025,2,22))*(RENT_DUE!$D$2:$D$1000&lt;=DATE(2025,3,21))*RENT_DUE!$L$2:$L$1000), 0)</f>
        <v>0.0</v>
      </c>
      <c r="H26" s="3" t="n">
        <f>IFERROR(SUMPRODUCT((RENT_RECEIVED!$B$2:$B$1000="LEASE-KH-F-2024")*(RENT_RECEIVED!$E$2:$E$1000&gt;=DATE(2025,2,22))*(RENT_RECEIVED!$E$2:$E$1000&lt;=DATE(2025,3,21))*RENT_RECEIVED!$O$2:$O$1000), 0)</f>
        <v>0.0</v>
      </c>
      <c r="I26" t="inlineStr">
        <is>
          <t>HIST-2025-03-1501, HIST-2025-03-1502</t>
        </is>
      </c>
      <c r="J26" s="3" t="n">
        <f>IFERROR(SUMIFS(RENT_DUE!$L$2:$L$10000, RENT_DUE!$B$2:$B$10000, "LEASE-KH-F-2024", RENT_DUE!$D$2:$D$10000, "&lt;"&amp;DATE(2025,2,22)), 0) - IFERROR(SUMIFS(RENT_RECEIVED!$O$2:$O$10000, RENT_RECEIVED!$B$2:$B$10000, "LEASE-KH-F-2024", RENT_RECEIVED!$E$2:$E$10000, "&lt;"&amp;DATE(2025,2,22)), 0)</f>
        <v>0.0</v>
      </c>
      <c r="K26" s="3" t="n">
        <f>G26 - H26</f>
        <v>0.0</v>
      </c>
      <c r="L26" s="3" t="n">
        <f>J26 + K26</f>
        <v>0.0</v>
      </c>
      <c r="M26" s="3" t="n">
        <f>H26 * 0.1000</f>
        <v>0.0</v>
      </c>
      <c r="N26" s="3" t="n">
        <f>H26 * 0.0000</f>
        <v>0.0</v>
      </c>
      <c r="O26" s="3" t="n">
        <f>ABS(M26 + N26)</f>
        <v>0.0</v>
      </c>
      <c r="P26" t="inlineStr">
        <is>
          <t/>
        </is>
      </c>
      <c r="Q26" s="3" t="n">
        <f>SUMIFS(EXPENSES!E:E, EXPENSES!B:B, "LEASE-KH-F-2024", EXPENSES!D:D, "&gt;="&amp;DATE(2025,2,22), EXPENSES!D:D, "&lt;="&amp;DATE(2025,3,21))</f>
        <v>0.0</v>
      </c>
      <c r="R26" t="inlineStr">
        <is>
          <t/>
        </is>
      </c>
      <c r="S26" s="3" t="n">
        <f>H26 - O26 - Q26</f>
        <v>0.0</v>
      </c>
      <c r="T26" t="inlineStr">
        <is>
          <t/>
        </is>
      </c>
      <c r="U26" t="inlineStr">
        <is>
          <t/>
        </is>
      </c>
      <c r="V26" t="inlineStr">
        <is>
          <t/>
        </is>
      </c>
      <c r="W26" t="inlineStr">
        <is>
          <t/>
        </is>
      </c>
      <c r="X26" t="inlineStr">
        <is>
          <t/>
        </is>
      </c>
      <c r="Y26" s="3" t="n">
        <v>12150.0</v>
      </c>
      <c r="Z26" s="3" t="n">
        <f>S26-Y26</f>
        <v>0.0</v>
      </c>
      <c r="AA26" t="inlineStr">
        <is>
          <t>PAID</t>
        </is>
      </c>
      <c r="AB26" t="inlineStr">
        <is>
          <t>MULTIPLE</t>
        </is>
      </c>
      <c r="AC26" s="2" t="n">
        <v>45982.0</v>
      </c>
    </row>
    <row r="27">
      <c r="A27" t="inlineStr">
        <is>
          <t>BODEN-BLOCK-2025</t>
        </is>
      </c>
      <c r="B27" t="inlineStr">
        <is>
          <t>Boden House Block - Block Property</t>
        </is>
      </c>
      <c r="C27" t="inlineStr">
        <is>
          <t>Achal (Delegated for Udayan)</t>
        </is>
      </c>
      <c r="D27" t="inlineStr">
        <is>
          <t>Prestvale Properties Limited</t>
        </is>
      </c>
      <c r="E27" s="2" t="n">
        <v>45717.0</v>
      </c>
      <c r="F27" t="n">
        <v>1.0</v>
      </c>
      <c r="G27" s="3" t="n">
        <f>IFERROR(SUMPRODUCT((RENT_DUE!$B$2:$B$1000="BODEN-BLOCK-2025")*(RENT_DUE!$D$2:$D$1000&gt;=DATE(2025,2,22))*(RENT_DUE!$D$2:$D$1000&lt;=DATE(2025,3,21))*RENT_DUE!$L$2:$L$1000), 0)</f>
        <v>0.0</v>
      </c>
      <c r="H27" s="3" t="n">
        <f>IFERROR(SUMPRODUCT((RENT_RECEIVED!$B$2:$B$1000="BODEN-BLOCK-2025")*(RENT_RECEIVED!$E$2:$E$1000&gt;=DATE(2025,2,22))*(RENT_RECEIVED!$E$2:$E$1000&lt;=DATE(2025,3,21))*RENT_RECEIVED!$O$2:$O$1000), 0)</f>
        <v>0.0</v>
      </c>
      <c r="I27" t="inlineStr">
        <is>
          <t/>
        </is>
      </c>
      <c r="J27" s="3" t="n">
        <f>IFERROR(SUMIFS(RENT_DUE!$L$2:$L$10000, RENT_DUE!$B$2:$B$10000, "BODEN-BLOCK-2025", RENT_DUE!$D$2:$D$10000, "&lt;"&amp;DATE(2025,2,22)), 0) - IFERROR(SUMIFS(RENT_RECEIVED!$O$2:$O$10000, RENT_RECEIVED!$B$2:$B$10000, "BODEN-BLOCK-2025", RENT_RECEIVED!$E$2:$E$10000, "&lt;"&amp;DATE(2025,2,22)), 0)</f>
        <v>0.0</v>
      </c>
      <c r="K27" s="3" t="n">
        <f>G27 - H27</f>
        <v>0.0</v>
      </c>
      <c r="L27" s="3" t="n">
        <f>J27 + K27</f>
        <v>0.0</v>
      </c>
      <c r="M27" s="3" t="n">
        <f>H27 * 0.0000</f>
        <v>0.0</v>
      </c>
      <c r="N27" s="3" t="n">
        <f>H27 * 0.0500</f>
        <v>0.0</v>
      </c>
      <c r="O27" s="3" t="n">
        <f>ABS(M27 + N27)</f>
        <v>0.0</v>
      </c>
      <c r="P27" t="inlineStr">
        <is>
          <t>HIST-2025-03-1501</t>
        </is>
      </c>
      <c r="Q27" s="3" t="n">
        <f>SUMIFS(EXPENSES!E:E, EXPENSES!B:B, "BODEN-BLOCK-2025", EXPENSES!D:D, "&gt;="&amp;DATE(2025,2,22), EXPENSES!D:D, "&lt;="&amp;DATE(2025,3,21))</f>
        <v>0.0</v>
      </c>
      <c r="R27" t="inlineStr">
        <is>
          <t/>
        </is>
      </c>
      <c r="S27" s="3" t="n">
        <f>H27 - O27 - Q27</f>
        <v>0.0</v>
      </c>
      <c r="T27" t="inlineStr">
        <is>
          <t>Boden House NG10</t>
        </is>
      </c>
      <c r="U27" s="3" t="n">
        <f>IFERROR(SUMIFS(PROPERTY_ACCOUNT!D:D, PROPERTY_ACCOUNT!A:A, T27, PROPERTY_ACCOUNT!B:B, "opening"), 0)</f>
        <v>0.0</v>
      </c>
      <c r="V27" s="3" t="n">
        <f>IFERROR(SUMIFS(PROPERTY_ACCOUNT!D:D, PROPERTY_ACCOUNT!A:A, T27, PROPERTY_ACCOUNT!B:B, "in"), 0)</f>
        <v>0.0</v>
      </c>
      <c r="W27" s="3" t="n">
        <f>IFERROR(SUMIFS(PROPERTY_ACCOUNT!D:D, PROPERTY_ACCOUNT!A:A, T27, PROPERTY_ACCOUNT!B:B, "out"), 0)</f>
        <v>0.0</v>
      </c>
      <c r="X27" s="3" t="n">
        <f>U27 + V27 - W27</f>
        <v>0.0</v>
      </c>
      <c r="Y27" s="3" t="n">
        <v>0.0</v>
      </c>
      <c r="Z27" s="3" t="n">
        <f>S27-Y27</f>
        <v>0.0</v>
      </c>
      <c r="AA27" t="inlineStr">
        <is>
          <t>PAID</t>
        </is>
      </c>
      <c r="AB27" t="inlineStr">
        <is>
          <t>MULTIPLE</t>
        </is>
      </c>
      <c r="AC27" s="2" t="n">
        <v>45993.0</v>
      </c>
    </row>
    <row r="28">
      <c r="A28" s="5" t="inlineStr">
        <is>
          <t>TOTALS</t>
        </is>
      </c>
      <c r="G28" s="6" t="n">
        <f>SUM(G2:G27)</f>
        <v>0.0</v>
      </c>
      <c r="H28" s="6" t="n">
        <f>SUM(H2:H27)</f>
        <v>0.0</v>
      </c>
      <c r="I28" t="inlineStr">
        <is>
          <t/>
        </is>
      </c>
      <c r="J28" s="6" t="n">
        <f>SUM(J2:J27)</f>
        <v>0.0</v>
      </c>
      <c r="K28" s="6" t="n">
        <f>SUM(K2:K27)</f>
        <v>0.0</v>
      </c>
      <c r="L28" s="6" t="n">
        <f>SUM(L2:L27)</f>
        <v>0.0</v>
      </c>
      <c r="M28" s="6" t="n">
        <f>SUM(M2:M27)</f>
        <v>0.0</v>
      </c>
      <c r="N28" s="6" t="n">
        <f>SUM(N2:N27)</f>
        <v>0.0</v>
      </c>
      <c r="O28" s="6" t="n">
        <f>SUM(O2:O27)</f>
        <v>0.0</v>
      </c>
      <c r="P28" t="inlineStr">
        <is>
          <t/>
        </is>
      </c>
      <c r="Q28" s="6" t="n">
        <f>SUM(Q2:Q27)</f>
        <v>0.0</v>
      </c>
      <c r="R28" t="inlineStr">
        <is>
          <t/>
        </is>
      </c>
      <c r="S28" s="6" t="n">
        <f>SUM(S2:S27)</f>
        <v>0.0</v>
      </c>
      <c r="T28" t="inlineStr">
        <is>
          <t/>
        </is>
      </c>
      <c r="U28" s="6" t="n">
        <f>SUM(U2:U27)</f>
        <v>0.0</v>
      </c>
      <c r="V28" s="6" t="n">
        <f>SUM(V2:V27)</f>
        <v>0.0</v>
      </c>
      <c r="W28" s="6" t="n">
        <f>SUM(W2:W27)</f>
        <v>0.0</v>
      </c>
      <c r="X28" s="6" t="n">
        <f>SUM(X2:X27)</f>
        <v>0.0</v>
      </c>
    </row>
    <row r="30">
      <c r="A30" s="5" t="inlineStr">
        <is>
          <t>PAYMENT RECONCILIATION</t>
        </is>
      </c>
    </row>
    <row r="31">
      <c r="A31" t="inlineStr">
        <is>
          <t>Period: 2025-02-22 to 2025-03-21</t>
        </is>
      </c>
    </row>
    <row r="33">
      <c r="A33" s="5" t="inlineStr">
        <is>
          <t>BROUGHT FORWARD (items from prior periods paid this period)</t>
        </is>
      </c>
    </row>
    <row r="34">
      <c r="A34" t="inlineStr">
        <is>
          <t xml:space="preserve">  Prior Period Income:</t>
        </is>
      </c>
    </row>
    <row r="35">
      <c r="A35" t="inlineStr">
        <is>
          <t xml:space="preserve">    2025-02-15 | Flat 21 - 3 West Gate | rent</t>
        </is>
      </c>
      <c r="B35" s="3" t="n">
        <v>488.5</v>
      </c>
    </row>
    <row r="36">
      <c r="A36" t="inlineStr">
        <is>
          <t xml:space="preserve">    2025-02-17 | Flat 5 - 3 West Gate | rent</t>
        </is>
      </c>
      <c r="B36" s="3" t="n">
        <v>629.0</v>
      </c>
    </row>
    <row r="37">
      <c r="A37" t="inlineStr">
        <is>
          <t xml:space="preserve">    2025-02-19 | Flat 15 - 3 West Gate | rent</t>
        </is>
      </c>
      <c r="B37" s="3" t="n">
        <v>398.5</v>
      </c>
    </row>
    <row r="38">
      <c r="A38" t="inlineStr">
        <is>
          <t xml:space="preserve">    2025-02-19 | Flat 7 - 3 West Gate | rent</t>
        </is>
      </c>
      <c r="B38" s="3" t="n">
        <v>595.0</v>
      </c>
    </row>
    <row r="39">
      <c r="A39" t="inlineStr">
        <is>
          <t xml:space="preserve">    2025-01-28 | Apartment F - Knighton Hayes Manor | rent</t>
        </is>
      </c>
      <c r="B39" s="3" t="n">
        <v>1012.5</v>
      </c>
    </row>
    <row r="40">
      <c r="A40" t="inlineStr">
        <is>
          <t xml:space="preserve">    2025-01-28 | Apartment F - Knighton Hayes Manor | rent</t>
        </is>
      </c>
      <c r="B40" s="3" t="n">
        <v>1012.5</v>
      </c>
    </row>
    <row r="41">
      <c r="A41" t="inlineStr">
        <is>
          <t xml:space="preserve">    2025-02-15 | Flat 18 - 3 West Gate | rent</t>
        </is>
      </c>
      <c r="B41" s="3" t="n">
        <v>629.0</v>
      </c>
    </row>
    <row r="42">
      <c r="A42" t="inlineStr">
        <is>
          <t xml:space="preserve">    2025-02-15 | Flat 21 - 3 West Gate | rent</t>
        </is>
      </c>
      <c r="B42" s="3" t="n">
        <v>187.25</v>
      </c>
    </row>
    <row r="43">
      <c r="A43" s="5" t="inlineStr">
        <is>
          <t xml:space="preserve">  Prior Period Income Total (8 items):</t>
        </is>
      </c>
      <c r="B43" s="6" t="n">
        <v>4952.25</v>
      </c>
    </row>
    <row r="44">
      <c r="A44" t="inlineStr">
        <is>
          <t xml:space="preserve">  Prior Period Expenses: None</t>
        </is>
      </c>
    </row>
    <row r="45">
      <c r="A45" s="5" t="inlineStr">
        <is>
          <t xml:space="preserve">  NET B/F (Income - Expenses):</t>
        </is>
      </c>
      <c r="B45" s="6" t="n">
        <v>4952.25</v>
      </c>
    </row>
    <row r="47">
      <c r="A47" s="5" t="inlineStr">
        <is>
          <t>THIS PERIOD ACTIVITY (see transactions above for details)</t>
        </is>
      </c>
    </row>
    <row r="48">
      <c r="A48" t="inlineStr">
        <is>
          <t xml:space="preserve">  Period Income (0 transactions)</t>
        </is>
      </c>
      <c r="B48" s="3" t="n">
        <v>0.0</v>
      </c>
    </row>
    <row r="49">
      <c r="A49" t="inlineStr">
        <is>
          <t xml:space="preserve">  Period Expenses (0 transactions)</t>
        </is>
      </c>
      <c r="B49" s="3" t="n">
        <v>0.0</v>
      </c>
    </row>
    <row r="50">
      <c r="A50" s="5" t="inlineStr">
        <is>
          <t xml:space="preserve">  Net Activity (Income - Expenses):</t>
        </is>
      </c>
      <c r="B50" s="6" t="n">
        <v>0.0</v>
      </c>
    </row>
    <row r="52">
      <c r="A52" s="5" t="inlineStr">
        <is>
          <t>PAYMENTS MADE THIS PERIOD</t>
        </is>
      </c>
    </row>
    <row r="53">
      <c r="A53" t="inlineStr">
        <is>
          <t xml:space="preserve">  HIST-2025-03-1472 (2025-03-06)</t>
        </is>
      </c>
      <c r="B53" s="6" t="n">
        <v>2111.0</v>
      </c>
    </row>
    <row r="54">
      <c r="A54" t="inlineStr">
        <is>
          <t xml:space="preserve">    Covers: 4 income (£2111.00) = £2111.00</t>
        </is>
      </c>
    </row>
    <row r="55">
      <c r="A55" t="inlineStr">
        <is>
          <t xml:space="preserve">  HIST-2025-03-1473 (2025-03-06)</t>
        </is>
      </c>
      <c r="B55" s="6" t="n">
        <v>1012.5</v>
      </c>
    </row>
    <row r="56">
      <c r="A56" t="inlineStr">
        <is>
          <t xml:space="preserve">    Covers: 1 income (£1012.50) = £1012.50</t>
        </is>
      </c>
    </row>
    <row r="57">
      <c r="A57" t="inlineStr">
        <is>
          <t xml:space="preserve">  HIST-2025-03-1474 (2025-03-06)</t>
        </is>
      </c>
      <c r="B57" s="6" t="n">
        <v>1012.5</v>
      </c>
    </row>
    <row r="58">
      <c r="A58" t="inlineStr">
        <is>
          <t xml:space="preserve">    Covers: 1 income (£1012.50) = £1012.50</t>
        </is>
      </c>
    </row>
    <row r="59">
      <c r="A59" t="inlineStr">
        <is>
          <t xml:space="preserve">  HIST-2025-03-1475 (2025-03-06)</t>
        </is>
      </c>
      <c r="B59" s="6" t="n">
        <v>816.25</v>
      </c>
    </row>
    <row r="60">
      <c r="A60" t="inlineStr">
        <is>
          <t xml:space="preserve">    Covers: 2 income (£816.25) = £816.25</t>
        </is>
      </c>
    </row>
    <row r="61">
      <c r="A61" s="5" t="inlineStr">
        <is>
          <t xml:space="preserve">  Total Payments Made:</t>
        </is>
      </c>
      <c r="B61" s="6" t="n">
        <v>4952.25</v>
      </c>
    </row>
    <row r="62">
      <c r="A62" t="inlineStr">
        <is>
          <t xml:space="preserve">  (See PAYMENT_ALLOCATIONS sheet for full details)</t>
        </is>
      </c>
    </row>
    <row r="64">
      <c r="A64" s="5" t="inlineStr">
        <is>
          <t>SUMMARY</t>
        </is>
      </c>
    </row>
    <row r="65">
      <c r="A65" t="inlineStr">
        <is>
          <t xml:space="preserve">  Total Allocated (Income - Expenses):</t>
        </is>
      </c>
      <c r="B65" s="3" t="n">
        <v>4952.25</v>
      </c>
    </row>
    <row r="66">
      <c r="A66" t="inlineStr">
        <is>
          <t xml:space="preserve">  Total Payments Made:</t>
        </is>
      </c>
      <c r="B66" s="3" t="n">
        <v>4952.25</v>
      </c>
    </row>
    <row r="67">
      <c r="A67" t="inlineStr">
        <is>
          <t xml:space="preserve">  Unallocated Payment Amounts:</t>
        </is>
      </c>
      <c r="B67" s="3" t="n">
        <v>0.0</v>
      </c>
    </row>
    <row r="69">
      <c r="A69" t="inlineStr">
        <is>
          <t>Check: Allocated 4952.25 + Unallocated 0.00 = 4952.25 vs Payments 4952.25</t>
        </is>
      </c>
    </row>
  </sheetData>
  <pageMargins bottom="0.75" footer="0.3" header="0.3" left="0.7" right="0.7" top="0.75"/>
</worksheet>
</file>

<file path=xl/worksheets/sheet10.xml><?xml version="1.0" encoding="utf-8"?>
<worksheet xmlns="http://schemas.openxmlformats.org/spreadsheetml/2006/main">
  <dimension ref="A1:AC93"/>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IFERROR(SUMPRODUCT((RENT_DUE!$B$2:$B$1000="LEASE-BH-F1-2025")*(RENT_DUE!$D$2:$D$1000&gt;=DATE(2025,3,22))*(RENT_DUE!$D$2:$D$1000&lt;=DATE(2025,4,21))*RENT_DUE!$L$2:$L$1000), 0)</f>
        <v>0.0</v>
      </c>
      <c r="H2" s="3" t="n">
        <f>IFERROR(SUMPRODUCT((RENT_RECEIVED!$B$2:$B$1000="LEASE-BH-F1-2025")*(RENT_RECEIVED!$E$2:$E$1000&gt;=DATE(2025,3,22))*(RENT_RECEIVED!$E$2:$E$1000&lt;=DATE(2025,4,21))*RENT_RECEIVED!$O$2:$O$1000), 0)</f>
        <v>0.0</v>
      </c>
      <c r="I2" t="inlineStr">
        <is>
          <t>HIST-2025-04-1532</t>
        </is>
      </c>
      <c r="J2" s="3" t="n">
        <f>IFERROR(SUMIFS(RENT_DUE!$L$2:$L$10000, RENT_DUE!$B$2:$B$10000, "LEASE-BH-F1-2025", RENT_DUE!$D$2:$D$10000, "&lt;"&amp;DATE(2025,3,22)), 0) - IFERROR(SUMIFS(RENT_RECEIVED!$O$2:$O$10000, RENT_RECEIVED!$B$2:$B$10000, "LEASE-BH-F1-2025", RENT_RECEIVED!$E$2:$E$10000, "&lt;"&amp;DATE(2025,3,22)), 0)</f>
        <v>0.0</v>
      </c>
      <c r="K2" s="3" t="n">
        <f>G2 - H2</f>
        <v>0.0</v>
      </c>
      <c r="L2" s="3" t="n">
        <f>J2 + K2</f>
        <v>0.0</v>
      </c>
      <c r="M2" s="3" t="n">
        <f>H2 * 0.1500</f>
        <v>0.0</v>
      </c>
      <c r="N2" s="3" t="n">
        <f>H2 * 0.0000</f>
        <v>0.0</v>
      </c>
      <c r="O2" s="3" t="n">
        <f>ABS(M2 + N2)</f>
        <v>0.0</v>
      </c>
      <c r="P2" t="inlineStr">
        <is>
          <t/>
        </is>
      </c>
      <c r="Q2" s="3" t="n">
        <f>SUMIFS(EXPENSES!E:E, EXPENSES!B:B, "LEASE-BH-F1-2025", EXPENSES!D:D, "&gt;="&amp;DATE(2025,3,22), EXPENSES!D:D, "&lt;="&amp;DATE(2025,4,21))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IFERROR(SUMPRODUCT((RENT_DUE!$B$2:$B$1000="LEASE-BH-F2-2025")*(RENT_DUE!$D$2:$D$1000&gt;=DATE(2025,3,22))*(RENT_DUE!$D$2:$D$1000&lt;=DATE(2025,4,21))*RENT_DUE!$L$2:$L$1000), 0)</f>
        <v>0.0</v>
      </c>
      <c r="H3" s="3" t="n">
        <f>IFERROR(SUMPRODUCT((RENT_RECEIVED!$B$2:$B$1000="LEASE-BH-F2-2025")*(RENT_RECEIVED!$E$2:$E$1000&gt;=DATE(2025,3,22))*(RENT_RECEIVED!$E$2:$E$1000&lt;=DATE(2025,4,21))*RENT_RECEIVED!$O$2:$O$1000), 0)</f>
        <v>0.0</v>
      </c>
      <c r="I3" t="inlineStr">
        <is>
          <t>HIST-2025-04-1532</t>
        </is>
      </c>
      <c r="J3" s="3" t="n">
        <f>IFERROR(SUMIFS(RENT_DUE!$L$2:$L$10000, RENT_DUE!$B$2:$B$10000, "LEASE-BH-F2-2025", RENT_DUE!$D$2:$D$10000, "&lt;"&amp;DATE(2025,3,22)), 0) - IFERROR(SUMIFS(RENT_RECEIVED!$O$2:$O$10000, RENT_RECEIVED!$B$2:$B$10000, "LEASE-BH-F2-2025", RENT_RECEIVED!$E$2:$E$10000, "&lt;"&amp;DATE(2025,3,22)), 0)</f>
        <v>0.0</v>
      </c>
      <c r="K3" s="3" t="n">
        <f>G3 - H3</f>
        <v>0.0</v>
      </c>
      <c r="L3" s="3" t="n">
        <f>J3 + K3</f>
        <v>0.0</v>
      </c>
      <c r="M3" s="3" t="n">
        <f>H3 * 0.1500</f>
        <v>0.0</v>
      </c>
      <c r="N3" s="3" t="n">
        <f>H3 * 0.0000</f>
        <v>0.0</v>
      </c>
      <c r="O3" s="3" t="n">
        <f>ABS(M3 + N3)</f>
        <v>0.0</v>
      </c>
      <c r="P3" t="inlineStr">
        <is>
          <t/>
        </is>
      </c>
      <c r="Q3" s="3" t="n">
        <f>SUMIFS(EXPENSES!E:E, EXPENSES!B:B, "LEASE-BH-F2-2025", EXPENSES!D:D, "&gt;="&amp;DATE(2025,3,22), EXPENSES!D:D, "&lt;="&amp;DATE(2025,4,21))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IFERROR(SUMPRODUCT((RENT_DUE!$B$2:$B$1000="LEASE-BH-F3-2025")*(RENT_DUE!$D$2:$D$1000&gt;=DATE(2025,3,22))*(RENT_DUE!$D$2:$D$1000&lt;=DATE(2025,4,21))*RENT_DUE!$L$2:$L$1000), 0)</f>
        <v>0.0</v>
      </c>
      <c r="H4" s="3" t="n">
        <f>IFERROR(SUMPRODUCT((RENT_RECEIVED!$B$2:$B$1000="LEASE-BH-F3-2025")*(RENT_RECEIVED!$E$2:$E$1000&gt;=DATE(2025,3,22))*(RENT_RECEIVED!$E$2:$E$1000&lt;=DATE(2025,4,21))*RENT_RECEIVED!$O$2:$O$1000), 0)</f>
        <v>0.0</v>
      </c>
      <c r="I4" t="inlineStr">
        <is>
          <t>HIST-2025-04-1532</t>
        </is>
      </c>
      <c r="J4" s="3" t="n">
        <f>IFERROR(SUMIFS(RENT_DUE!$L$2:$L$10000, RENT_DUE!$B$2:$B$10000, "LEASE-BH-F3-2025", RENT_DUE!$D$2:$D$10000, "&lt;"&amp;DATE(2025,3,22)), 0) - IFERROR(SUMIFS(RENT_RECEIVED!$O$2:$O$10000, RENT_RECEIVED!$B$2:$B$10000, "LEASE-BH-F3-2025", RENT_RECEIVED!$E$2:$E$10000, "&lt;"&amp;DATE(2025,3,22)), 0)</f>
        <v>0.0</v>
      </c>
      <c r="K4" s="3" t="n">
        <f>G4 - H4</f>
        <v>0.0</v>
      </c>
      <c r="L4" s="3" t="n">
        <f>J4 + K4</f>
        <v>0.0</v>
      </c>
      <c r="M4" s="3" t="n">
        <f>H4 * 0.1500</f>
        <v>0.0</v>
      </c>
      <c r="N4" s="3" t="n">
        <f>H4 * 0.0000</f>
        <v>0.0</v>
      </c>
      <c r="O4" s="3" t="n">
        <f>ABS(M4 + N4)</f>
        <v>0.0</v>
      </c>
      <c r="P4" t="inlineStr">
        <is>
          <t/>
        </is>
      </c>
      <c r="Q4" s="3" t="n">
        <f>SUMIFS(EXPENSES!E:E, EXPENSES!B:B, "LEASE-BH-F3-2025", EXPENSES!D:D, "&gt;="&amp;DATE(2025,3,22), EXPENSES!D:D, "&lt;="&amp;DATE(2025,4,21))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IFERROR(SUMPRODUCT((RENT_DUE!$B$2:$B$1000="LEASE-BH-F4-2025")*(RENT_DUE!$D$2:$D$1000&gt;=DATE(2025,3,22))*(RENT_DUE!$D$2:$D$1000&lt;=DATE(2025,4,21))*RENT_DUE!$L$2:$L$1000), 0)</f>
        <v>0.0</v>
      </c>
      <c r="H5" s="3" t="n">
        <f>IFERROR(SUMPRODUCT((RENT_RECEIVED!$B$2:$B$1000="LEASE-BH-F4-2025")*(RENT_RECEIVED!$E$2:$E$1000&gt;=DATE(2025,3,22))*(RENT_RECEIVED!$E$2:$E$1000&lt;=DATE(2025,4,21))*RENT_RECEIVED!$O$2:$O$1000), 0)</f>
        <v>0.0</v>
      </c>
      <c r="I5" t="inlineStr">
        <is>
          <t>HIST-2025-04-1532</t>
        </is>
      </c>
      <c r="J5" s="3" t="n">
        <f>IFERROR(SUMIFS(RENT_DUE!$L$2:$L$10000, RENT_DUE!$B$2:$B$10000, "LEASE-BH-F4-2025", RENT_DUE!$D$2:$D$10000, "&lt;"&amp;DATE(2025,3,22)), 0) - IFERROR(SUMIFS(RENT_RECEIVED!$O$2:$O$10000, RENT_RECEIVED!$B$2:$B$10000, "LEASE-BH-F4-2025", RENT_RECEIVED!$E$2:$E$10000, "&lt;"&amp;DATE(2025,3,22)), 0)</f>
        <v>0.0</v>
      </c>
      <c r="K5" s="3" t="n">
        <f>G5 - H5</f>
        <v>0.0</v>
      </c>
      <c r="L5" s="3" t="n">
        <f>J5 + K5</f>
        <v>0.0</v>
      </c>
      <c r="M5" s="3" t="n">
        <f>H5 * 0.1500</f>
        <v>0.0</v>
      </c>
      <c r="N5" s="3" t="n">
        <f>H5 * 0.0000</f>
        <v>0.0</v>
      </c>
      <c r="O5" s="3" t="n">
        <f>ABS(M5 + N5)</f>
        <v>0.0</v>
      </c>
      <c r="P5" t="inlineStr">
        <is>
          <t/>
        </is>
      </c>
      <c r="Q5" s="3" t="n">
        <f>SUMIFS(EXPENSES!E:E, EXPENSES!B:B, "LEASE-BH-F4-2025", EXPENSES!D:D, "&gt;="&amp;DATE(2025,3,22), EXPENSES!D:D, "&lt;="&amp;DATE(2025,4,21))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IFERROR(SUMPRODUCT((RENT_DUE!$B$2:$B$1000="LEASE-BH-F5-2025")*(RENT_DUE!$D$2:$D$1000&gt;=DATE(2025,3,22))*(RENT_DUE!$D$2:$D$1000&lt;=DATE(2025,4,21))*RENT_DUE!$L$2:$L$1000), 0)</f>
        <v>0.0</v>
      </c>
      <c r="H6" s="3" t="n">
        <f>IFERROR(SUMPRODUCT((RENT_RECEIVED!$B$2:$B$1000="LEASE-BH-F5-2025")*(RENT_RECEIVED!$E$2:$E$1000&gt;=DATE(2025,3,22))*(RENT_RECEIVED!$E$2:$E$1000&lt;=DATE(2025,4,21))*RENT_RECEIVED!$O$2:$O$1000), 0)</f>
        <v>0.0</v>
      </c>
      <c r="I6" t="inlineStr">
        <is>
          <t>HIST-2025-04-1532</t>
        </is>
      </c>
      <c r="J6" s="3" t="n">
        <f>IFERROR(SUMIFS(RENT_DUE!$L$2:$L$10000, RENT_DUE!$B$2:$B$10000, "LEASE-BH-F5-2025", RENT_DUE!$D$2:$D$10000, "&lt;"&amp;DATE(2025,3,22)), 0) - IFERROR(SUMIFS(RENT_RECEIVED!$O$2:$O$10000, RENT_RECEIVED!$B$2:$B$10000, "LEASE-BH-F5-2025", RENT_RECEIVED!$E$2:$E$10000, "&lt;"&amp;DATE(2025,3,22)), 0)</f>
        <v>0.0</v>
      </c>
      <c r="K6" s="3" t="n">
        <f>G6 - H6</f>
        <v>0.0</v>
      </c>
      <c r="L6" s="3" t="n">
        <f>J6 + K6</f>
        <v>0.0</v>
      </c>
      <c r="M6" s="3" t="n">
        <f>H6 * 0.1500</f>
        <v>0.0</v>
      </c>
      <c r="N6" s="3" t="n">
        <f>H6 * 0.0000</f>
        <v>0.0</v>
      </c>
      <c r="O6" s="3" t="n">
        <f>ABS(M6 + N6)</f>
        <v>0.0</v>
      </c>
      <c r="P6" t="inlineStr">
        <is>
          <t/>
        </is>
      </c>
      <c r="Q6" s="3" t="n">
        <f>SUMIFS(EXPENSES!E:E, EXPENSES!B:B, "LEASE-BH-F5-2025", EXPENSES!D:D, "&gt;="&amp;DATE(2025,3,22), EXPENSES!D:D, "&lt;="&amp;DATE(2025,4,21))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IFERROR(SUMPRODUCT((RENT_DUE!$B$2:$B$1000="LEASE-BH-F6-2025")*(RENT_DUE!$D$2:$D$1000&gt;=DATE(2025,3,22))*(RENT_DUE!$D$2:$D$1000&lt;=DATE(2025,4,21))*RENT_DUE!$L$2:$L$1000), 0)</f>
        <v>0.0</v>
      </c>
      <c r="H7" s="3" t="n">
        <f>IFERROR(SUMPRODUCT((RENT_RECEIVED!$B$2:$B$1000="LEASE-BH-F6-2025")*(RENT_RECEIVED!$E$2:$E$1000&gt;=DATE(2025,3,22))*(RENT_RECEIVED!$E$2:$E$1000&lt;=DATE(2025,4,21))*RENT_RECEIVED!$O$2:$O$1000), 0)</f>
        <v>0.0</v>
      </c>
      <c r="I7" t="inlineStr">
        <is>
          <t>HIST-2025-04-1532</t>
        </is>
      </c>
      <c r="J7" s="3" t="n">
        <f>IFERROR(SUMIFS(RENT_DUE!$L$2:$L$10000, RENT_DUE!$B$2:$B$10000, "LEASE-BH-F6-2025", RENT_DUE!$D$2:$D$10000, "&lt;"&amp;DATE(2025,3,22)), 0) - IFERROR(SUMIFS(RENT_RECEIVED!$O$2:$O$10000, RENT_RECEIVED!$B$2:$B$10000, "LEASE-BH-F6-2025", RENT_RECEIVED!$E$2:$E$10000, "&lt;"&amp;DATE(2025,3,22)), 0)</f>
        <v>0.0</v>
      </c>
      <c r="K7" s="3" t="n">
        <f>G7 - H7</f>
        <v>0.0</v>
      </c>
      <c r="L7" s="3" t="n">
        <f>J7 + K7</f>
        <v>0.0</v>
      </c>
      <c r="M7" s="3" t="n">
        <f>H7 * 0.1500</f>
        <v>0.0</v>
      </c>
      <c r="N7" s="3" t="n">
        <f>H7 * 0.0000</f>
        <v>0.0</v>
      </c>
      <c r="O7" s="3" t="n">
        <f>ABS(M7 + N7)</f>
        <v>0.0</v>
      </c>
      <c r="P7" t="inlineStr">
        <is>
          <t/>
        </is>
      </c>
      <c r="Q7" s="3" t="n">
        <f>SUMIFS(EXPENSES!E:E, EXPENSES!B:B, "LEASE-BH-F6-2025", EXPENSES!D:D, "&gt;="&amp;DATE(2025,3,22), EXPENSES!D:D, "&lt;="&amp;DATE(2025,4,21))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f>IFERROR(SUMPRODUCT((RENT_DUE!$B$2:$B$1000="LEASE-BH-F7-2025")*(RENT_DUE!$D$2:$D$1000&gt;=DATE(2025,3,22))*(RENT_DUE!$D$2:$D$1000&lt;=DATE(2025,4,21))*RENT_DUE!$L$2:$L$1000), 0)</f>
        <v>0.0</v>
      </c>
      <c r="H8" s="3" t="n">
        <f>IFERROR(SUMPRODUCT((RENT_RECEIVED!$B$2:$B$1000="LEASE-BH-F7-2025")*(RENT_RECEIVED!$E$2:$E$1000&gt;=DATE(2025,3,22))*(RENT_RECEIVED!$E$2:$E$1000&lt;=DATE(2025,4,21))*RENT_RECEIVED!$O$2:$O$1000), 0)</f>
        <v>0.0</v>
      </c>
      <c r="I8" t="inlineStr">
        <is>
          <t/>
        </is>
      </c>
      <c r="J8" s="3" t="n">
        <f>IFERROR(SUMIFS(RENT_DUE!$L$2:$L$10000, RENT_DUE!$B$2:$B$10000, "LEASE-BH-F7-2025", RENT_DUE!$D$2:$D$10000, "&lt;"&amp;DATE(2025,3,22)), 0) - IFERROR(SUMIFS(RENT_RECEIVED!$O$2:$O$10000, RENT_RECEIVED!$B$2:$B$10000, "LEASE-BH-F7-2025", RENT_RECEIVED!$E$2:$E$10000, "&lt;"&amp;DATE(2025,3,22)), 0)</f>
        <v>0.0</v>
      </c>
      <c r="K8" s="3" t="n">
        <f>G8 - H8</f>
        <v>0.0</v>
      </c>
      <c r="L8" s="3" t="n">
        <f>J8 + K8</f>
        <v>0.0</v>
      </c>
      <c r="M8" s="3" t="n">
        <f>H8 * 0.1500</f>
        <v>0.0</v>
      </c>
      <c r="N8" s="3" t="n">
        <f>H8 * 0.0000</f>
        <v>0.0</v>
      </c>
      <c r="O8" s="3" t="n">
        <f>ABS(M8 + N8)</f>
        <v>0.0</v>
      </c>
      <c r="P8" t="inlineStr">
        <is>
          <t/>
        </is>
      </c>
      <c r="Q8" s="3" t="n">
        <f>SUMIFS(EXPENSES!E:E, EXPENSES!B:B, "LEASE-BH-F7-2025", EXPENSES!D:D, "&gt;="&amp;DATE(2025,3,22), EXPENSES!D:D, "&lt;="&amp;DATE(2025,4,21))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IFERROR(SUMPRODUCT((RENT_DUE!$B$2:$B$1000="LEASE-BH-F8-2025")*(RENT_DUE!$D$2:$D$1000&gt;=DATE(2025,3,22))*(RENT_DUE!$D$2:$D$1000&lt;=DATE(2025,4,21))*RENT_DUE!$L$2:$L$1000), 0)</f>
        <v>0.0</v>
      </c>
      <c r="H9" s="3" t="n">
        <f>IFERROR(SUMPRODUCT((RENT_RECEIVED!$B$2:$B$1000="LEASE-BH-F8-2025")*(RENT_RECEIVED!$E$2:$E$1000&gt;=DATE(2025,3,22))*(RENT_RECEIVED!$E$2:$E$1000&lt;=DATE(2025,4,21))*RENT_RECEIVED!$O$2:$O$1000), 0)</f>
        <v>0.0</v>
      </c>
      <c r="I9" t="inlineStr">
        <is>
          <t>HIST-2025-04-1532</t>
        </is>
      </c>
      <c r="J9" s="3" t="n">
        <f>IFERROR(SUMIFS(RENT_DUE!$L$2:$L$10000, RENT_DUE!$B$2:$B$10000, "LEASE-BH-F8-2025", RENT_DUE!$D$2:$D$10000, "&lt;"&amp;DATE(2025,3,22)), 0) - IFERROR(SUMIFS(RENT_RECEIVED!$O$2:$O$10000, RENT_RECEIVED!$B$2:$B$10000, "LEASE-BH-F8-2025", RENT_RECEIVED!$E$2:$E$10000, "&lt;"&amp;DATE(2025,3,22)), 0)</f>
        <v>0.0</v>
      </c>
      <c r="K9" s="3" t="n">
        <f>G9 - H9</f>
        <v>0.0</v>
      </c>
      <c r="L9" s="3" t="n">
        <f>J9 + K9</f>
        <v>0.0</v>
      </c>
      <c r="M9" s="3" t="n">
        <f>H9 * 0.1500</f>
        <v>0.0</v>
      </c>
      <c r="N9" s="3" t="n">
        <f>H9 * 0.0000</f>
        <v>0.0</v>
      </c>
      <c r="O9" s="3" t="n">
        <f>ABS(M9 + N9)</f>
        <v>0.0</v>
      </c>
      <c r="P9" t="inlineStr">
        <is>
          <t/>
        </is>
      </c>
      <c r="Q9" s="3" t="n">
        <f>SUMIFS(EXPENSES!E:E, EXPENSES!B:B, "LEASE-BH-F8-2025", EXPENSES!D:D, "&gt;="&amp;DATE(2025,3,22), EXPENSES!D:D, "&lt;="&amp;DATE(2025,4,21))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IFERROR(SUMPRODUCT((RENT_DUE!$B$2:$B$1000="LEASE-BH-F9-2025")*(RENT_DUE!$D$2:$D$1000&gt;=DATE(2025,3,22))*(RENT_DUE!$D$2:$D$1000&lt;=DATE(2025,4,21))*RENT_DUE!$L$2:$L$1000), 0)</f>
        <v>0.0</v>
      </c>
      <c r="H10" s="3" t="n">
        <f>IFERROR(SUMPRODUCT((RENT_RECEIVED!$B$2:$B$1000="LEASE-BH-F9-2025")*(RENT_RECEIVED!$E$2:$E$1000&gt;=DATE(2025,3,22))*(RENT_RECEIVED!$E$2:$E$1000&lt;=DATE(2025,4,21))*RENT_RECEIVED!$O$2:$O$1000), 0)</f>
        <v>0.0</v>
      </c>
      <c r="I10" t="inlineStr">
        <is>
          <t>HIST-2025-04-1532</t>
        </is>
      </c>
      <c r="J10" s="3" t="n">
        <f>IFERROR(SUMIFS(RENT_DUE!$L$2:$L$10000, RENT_DUE!$B$2:$B$10000, "LEASE-BH-F9-2025", RENT_DUE!$D$2:$D$10000, "&lt;"&amp;DATE(2025,3,22)), 0) - IFERROR(SUMIFS(RENT_RECEIVED!$O$2:$O$10000, RENT_RECEIVED!$B$2:$B$10000, "LEASE-BH-F9-2025", RENT_RECEIVED!$E$2:$E$10000, "&lt;"&amp;DATE(2025,3,22)),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"&gt;="&amp;DATE(2025,3,22), EXPENSES!D:D, "&lt;="&amp;DATE(2025,4,21))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f>IFERROR(SUMPRODUCT((RENT_DUE!$B$2:$B$1000="LEASE-BH-F10-2025")*(RENT_DUE!$D$2:$D$1000&gt;=DATE(2025,3,22))*(RENT_DUE!$D$2:$D$1000&lt;=DATE(2025,4,21))*RENT_DUE!$L$2:$L$1000), 0)</f>
        <v>0.0</v>
      </c>
      <c r="H11" s="3" t="n">
        <f>IFERROR(SUMPRODUCT((RENT_RECEIVED!$B$2:$B$1000="LEASE-BH-F10-2025")*(RENT_RECEIVED!$E$2:$E$1000&gt;=DATE(2025,3,22))*(RENT_RECEIVED!$E$2:$E$1000&lt;=DATE(2025,4,21))*RENT_RECEIVED!$O$2:$O$1000), 0)</f>
        <v>0.0</v>
      </c>
      <c r="I11" t="inlineStr">
        <is>
          <t>HIST-2025-04-1532</t>
        </is>
      </c>
      <c r="J11" s="3" t="n">
        <f>IFERROR(SUMIFS(RENT_DUE!$L$2:$L$10000, RENT_DUE!$B$2:$B$10000, "LEASE-BH-F10-2025", RENT_DUE!$D$2:$D$10000, "&lt;"&amp;DATE(2025,3,22)), 0) - IFERROR(SUMIFS(RENT_RECEIVED!$O$2:$O$10000, RENT_RECEIVED!$B$2:$B$10000, "LEASE-BH-F10-2025", RENT_RECEIVED!$E$2:$E$10000, "&lt;"&amp;DATE(2025,3,22)),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"&gt;="&amp;DATE(2025,3,22), EXPENSES!D:D, "&lt;="&amp;DATE(2025,4,21))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LEASE-BH-F11-2025</t>
        </is>
      </c>
      <c r="B12" t="inlineStr">
        <is>
          <t>Flat 11 - 3 West Gate</t>
        </is>
      </c>
      <c r="C12" t="inlineStr">
        <is>
          <t>Achal (Delegated for Udayan)</t>
        </is>
      </c>
      <c r="D12" t="inlineStr">
        <is>
          <t>Mr Richard Perrotta</t>
        </is>
      </c>
      <c r="E12" s="2" t="n">
        <v>45722.0</v>
      </c>
      <c r="F12" t="n">
        <v>26.0</v>
      </c>
      <c r="G12" s="3" t="n">
        <f>IFERROR(SUMPRODUCT((RENT_DUE!$B$2:$B$1000="LEASE-BH-F11-2025")*(RENT_DUE!$D$2:$D$1000&gt;=DATE(2025,3,22))*(RENT_DUE!$D$2:$D$1000&lt;=DATE(2025,4,21))*RENT_DUE!$L$2:$L$1000), 0)</f>
        <v>0.0</v>
      </c>
      <c r="H12" s="3" t="n">
        <f>IFERROR(SUMPRODUCT((RENT_RECEIVED!$B$2:$B$1000="LEASE-BH-F11-2025")*(RENT_RECEIVED!$E$2:$E$1000&gt;=DATE(2025,3,22))*(RENT_RECEIVED!$E$2:$E$1000&lt;=DATE(2025,4,21))*RENT_RECEIVED!$O$2:$O$1000), 0)</f>
        <v>0.0</v>
      </c>
      <c r="I12" t="inlineStr">
        <is>
          <t>HIST-2025-04-1532</t>
        </is>
      </c>
      <c r="J12" s="3" t="n">
        <f>IFERROR(SUMIFS(RENT_DUE!$L$2:$L$10000, RENT_DUE!$B$2:$B$10000, "LEASE-BH-F11-2025", RENT_DUE!$D$2:$D$10000, "&lt;"&amp;DATE(2025,3,22)), 0) - IFERROR(SUMIFS(RENT_RECEIVED!$O$2:$O$10000, RENT_RECEIVED!$B$2:$B$10000, "LEASE-BH-F11-2025", RENT_RECEIVED!$E$2:$E$10000, "&lt;"&amp;DATE(2025,3,22)), 0)</f>
        <v>0.0</v>
      </c>
      <c r="K12" s="3" t="n">
        <f>G12 - H12</f>
        <v>0.0</v>
      </c>
      <c r="L12" s="3" t="n">
        <f>J12 + K12</f>
        <v>0.0</v>
      </c>
      <c r="M12" s="3" t="n">
        <f>H12 * 0.1500</f>
        <v>0.0</v>
      </c>
      <c r="N12" s="3" t="n">
        <f>H12 * 0.0000</f>
        <v>0.0</v>
      </c>
      <c r="O12" s="3" t="n">
        <f>ABS(M12 + N12)</f>
        <v>0.0</v>
      </c>
      <c r="P12" t="inlineStr">
        <is>
          <t/>
        </is>
      </c>
      <c r="Q12" s="3" t="n">
        <f>SUMIFS(EXPENSES!E:E, EXPENSES!B:B, "LEASE-BH-F11-2025", EXPENSES!D:D, "&gt;="&amp;DATE(2025,3,22), EXPENSES!D:D, "&lt;="&amp;DATE(2025,4,21))</f>
        <v>0.0</v>
      </c>
      <c r="R12" t="inlineStr">
        <is>
          <t/>
        </is>
      </c>
      <c r="S12" s="3" t="n">
        <f>H12 - O12 - Q12</f>
        <v>0.0</v>
      </c>
      <c r="T12" t="inlineStr">
        <is>
          <t/>
        </is>
      </c>
      <c r="U12" t="inlineStr">
        <is>
          <t/>
        </is>
      </c>
      <c r="V12" t="inlineStr">
        <is>
          <t/>
        </is>
      </c>
      <c r="W12" t="inlineStr">
        <is>
          <t/>
        </is>
      </c>
      <c r="X12" t="inlineStr">
        <is>
          <t/>
        </is>
      </c>
      <c r="Y12" s="3" t="n">
        <v>5979.75</v>
      </c>
      <c r="Z12" s="3" t="n">
        <f>S12-Y12</f>
        <v>0.0</v>
      </c>
      <c r="AA12" t="inlineStr">
        <is>
          <t>PAID</t>
        </is>
      </c>
      <c r="AB12" t="inlineStr">
        <is>
          <t>MULTIPLE</t>
        </is>
      </c>
      <c r="AC12" s="2" t="n">
        <v>45981.0</v>
      </c>
    </row>
    <row r="13">
      <c r="A13" t="inlineStr">
        <is>
          <t>LEASE-BH-F12-2025</t>
        </is>
      </c>
      <c r="B13" t="inlineStr">
        <is>
          <t>Flat 12 - 3 West Gate</t>
        </is>
      </c>
      <c r="C13" t="inlineStr">
        <is>
          <t>Achal (Delegated for Udayan)</t>
        </is>
      </c>
      <c r="D13" t="inlineStr">
        <is>
          <t>MR J SOOPIYADAKATH THEKKE PURAYIL &amp; MS S</t>
        </is>
      </c>
      <c r="E13" s="2" t="n">
        <v>45754.0</v>
      </c>
      <c r="F13" t="n">
        <v>7.0</v>
      </c>
      <c r="G13" s="3" t="n">
        <f>IFERROR(SUMPRODUCT((RENT_DUE!$B$2:$B$1000="LEASE-BH-F12-2025")*(RENT_DUE!$D$2:$D$1000&gt;=DATE(2025,3,22))*(RENT_DUE!$D$2:$D$1000&lt;=DATE(2025,4,21))*RENT_DUE!$L$2:$L$1000), 0)</f>
        <v>0.0</v>
      </c>
      <c r="H13" s="3" t="n">
        <f>IFERROR(SUMPRODUCT((RENT_RECEIVED!$B$2:$B$1000="LEASE-BH-F12-2025")*(RENT_RECEIVED!$E$2:$E$1000&gt;=DATE(2025,3,22))*(RENT_RECEIVED!$E$2:$E$1000&lt;=DATE(2025,4,21))*RENT_RECEIVED!$O$2:$O$1000), 0)</f>
        <v>0.0</v>
      </c>
      <c r="I13" t="inlineStr">
        <is>
          <t>HIST-2025-04-1532</t>
        </is>
      </c>
      <c r="J13" s="3" t="n">
        <f>IFERROR(SUMIFS(RENT_DUE!$L$2:$L$10000, RENT_DUE!$B$2:$B$10000, "LEASE-BH-F12-2025", RENT_DUE!$D$2:$D$10000, "&lt;"&amp;DATE(2025,3,22)), 0) - IFERROR(SUMIFS(RENT_RECEIVED!$O$2:$O$10000, RENT_RECEIVED!$B$2:$B$10000, "LEASE-BH-F12-2025", RENT_RECEIVED!$E$2:$E$10000, "&lt;"&amp;DATE(2025,3,22)), 0)</f>
        <v>0.0</v>
      </c>
      <c r="K13" s="3" t="n">
        <f>G13 - H13</f>
        <v>0.0</v>
      </c>
      <c r="L13" s="3" t="n">
        <f>J13 + K13</f>
        <v>0.0</v>
      </c>
      <c r="M13" s="3" t="n">
        <f>H13 * 0.1500</f>
        <v>0.0</v>
      </c>
      <c r="N13" s="3" t="n">
        <f>H13 * 0.0000</f>
        <v>0.0</v>
      </c>
      <c r="O13" s="3" t="n">
        <f>ABS(M13 + N13)</f>
        <v>0.0</v>
      </c>
      <c r="P13" t="inlineStr">
        <is>
          <t/>
        </is>
      </c>
      <c r="Q13" s="3" t="n">
        <f>SUMIFS(EXPENSES!E:E, EXPENSES!B:B, "LEASE-BH-F12-2025", EXPENSES!D:D, "&gt;="&amp;DATE(2025,3,22), EXPENSES!D:D, "&lt;="&amp;DATE(2025,4,21))</f>
        <v>0.0</v>
      </c>
      <c r="R13" t="inlineStr">
        <is>
          <t/>
        </is>
      </c>
      <c r="S13" s="3" t="n">
        <f>H13 - O13 - Q13</f>
        <v>0.0</v>
      </c>
      <c r="T13" t="inlineStr">
        <is>
          <t/>
        </is>
      </c>
      <c r="U13" t="inlineStr">
        <is>
          <t/>
        </is>
      </c>
      <c r="V13" t="inlineStr">
        <is>
          <t/>
        </is>
      </c>
      <c r="W13" t="inlineStr">
        <is>
          <t/>
        </is>
      </c>
      <c r="X13" t="inlineStr">
        <is>
          <t/>
        </is>
      </c>
      <c r="Y13" s="3" t="n">
        <v>1147.5</v>
      </c>
      <c r="Z13" s="3" t="n">
        <f>S13-Y13</f>
        <v>0.0</v>
      </c>
      <c r="AA13" t="inlineStr">
        <is>
          <t>PAID</t>
        </is>
      </c>
      <c r="AB13" t="inlineStr">
        <is>
          <t>MULTIPLE</t>
        </is>
      </c>
      <c r="AC13" s="2" t="n">
        <v>45804.0</v>
      </c>
    </row>
    <row r="14">
      <c r="A14" t="inlineStr">
        <is>
          <t>LEASE-BH-F13-2025</t>
        </is>
      </c>
      <c r="B14" t="inlineStr">
        <is>
          <t>Flat 13 - 3 West Gate</t>
        </is>
      </c>
      <c r="C14" t="inlineStr">
        <is>
          <t>Achal (Delegated for Udayan)</t>
        </is>
      </c>
      <c r="D14" t="inlineStr">
        <is>
          <t>Mr Nathan Holland</t>
        </is>
      </c>
      <c r="E14" s="2" t="n">
        <v>45719.0</v>
      </c>
      <c r="F14" t="n">
        <v>3.0</v>
      </c>
      <c r="G14" s="3" t="n">
        <f>IFERROR(SUMPRODUCT((RENT_DUE!$B$2:$B$1000="LEASE-BH-F13-2025")*(RENT_DUE!$D$2:$D$1000&gt;=DATE(2025,3,22))*(RENT_DUE!$D$2:$D$1000&lt;=DATE(2025,4,21))*RENT_DUE!$L$2:$L$1000), 0)</f>
        <v>0.0</v>
      </c>
      <c r="H14" s="3" t="n">
        <f>IFERROR(SUMPRODUCT((RENT_RECEIVED!$B$2:$B$1000="LEASE-BH-F13-2025")*(RENT_RECEIVED!$E$2:$E$1000&gt;=DATE(2025,3,22))*(RENT_RECEIVED!$E$2:$E$1000&lt;=DATE(2025,4,21))*RENT_RECEIVED!$O$2:$O$1000), 0)</f>
        <v>0.0</v>
      </c>
      <c r="I14" t="inlineStr">
        <is>
          <t>HIST-2025-04-1532</t>
        </is>
      </c>
      <c r="J14" s="3" t="n">
        <f>IFERROR(SUMIFS(RENT_DUE!$L$2:$L$10000, RENT_DUE!$B$2:$B$10000, "LEASE-BH-F13-2025", RENT_DUE!$D$2:$D$10000, "&lt;"&amp;DATE(2025,3,22)), 0) - IFERROR(SUMIFS(RENT_RECEIVED!$O$2:$O$10000, RENT_RECEIVED!$B$2:$B$10000, "LEASE-BH-F13-2025", RENT_RECEIVED!$E$2:$E$10000, "&lt;"&amp;DATE(2025,3,22)), 0)</f>
        <v>0.0</v>
      </c>
      <c r="K14" s="3" t="n">
        <f>G14 - H14</f>
        <v>0.0</v>
      </c>
      <c r="L14" s="3" t="n">
        <f>J14 + K14</f>
        <v>0.0</v>
      </c>
      <c r="M14" s="3" t="n">
        <f>H14 * 0.1500</f>
        <v>0.0</v>
      </c>
      <c r="N14" s="3" t="n">
        <f>H14 * 0.0000</f>
        <v>0.0</v>
      </c>
      <c r="O14" s="3" t="n">
        <f>ABS(M14 + N14)</f>
        <v>0.0</v>
      </c>
      <c r="P14" t="inlineStr">
        <is>
          <t/>
        </is>
      </c>
      <c r="Q14" s="3" t="n">
        <f>SUMIFS(EXPENSES!E:E, EXPENSES!B:B, "LEASE-BH-F13-2025", EXPENSES!D:D, "&gt;="&amp;DATE(2025,3,22), EXPENSES!D:D, "&lt;="&amp;DATE(2025,4,21))</f>
        <v>0.0</v>
      </c>
      <c r="R14" t="inlineStr">
        <is>
          <t/>
        </is>
      </c>
      <c r="S14" s="3" t="n">
        <f>H14 - O14 - Q14</f>
        <v>0.0</v>
      </c>
      <c r="T14" t="inlineStr">
        <is>
          <t/>
        </is>
      </c>
      <c r="U14" t="inlineStr">
        <is>
          <t/>
        </is>
      </c>
      <c r="V14" t="inlineStr">
        <is>
          <t/>
        </is>
      </c>
      <c r="W14" t="inlineStr">
        <is>
          <t/>
        </is>
      </c>
      <c r="X14" t="inlineStr">
        <is>
          <t/>
        </is>
      </c>
      <c r="Y14" s="3" t="n">
        <v>5440.0</v>
      </c>
      <c r="Z14" s="3" t="n">
        <f>S14-Y14</f>
        <v>0.0</v>
      </c>
      <c r="AA14" t="inlineStr">
        <is>
          <t>PAID</t>
        </is>
      </c>
      <c r="AB14" t="inlineStr">
        <is>
          <t>MULTIPLE</t>
        </is>
      </c>
      <c r="AC14" s="2" t="n">
        <v>45936.0</v>
      </c>
    </row>
    <row r="15">
      <c r="A15" t="inlineStr">
        <is>
          <t>LEASE-BH-F14-2025</t>
        </is>
      </c>
      <c r="B15" t="inlineStr">
        <is>
          <t>Flat 14 - 3 West Gate</t>
        </is>
      </c>
      <c r="C15" t="inlineStr">
        <is>
          <t>Achal (Delegated for Udayan)</t>
        </is>
      </c>
      <c r="D15" t="inlineStr">
        <is>
          <t>Ms Sarah Buckle, Mr Matthew Lewsley</t>
        </is>
      </c>
      <c r="E15" s="2" t="n">
        <v>45744.0</v>
      </c>
      <c r="F15" t="n">
        <v>28.0</v>
      </c>
      <c r="G15" s="3" t="n">
        <f>IFERROR(SUMPRODUCT((RENT_DUE!$B$2:$B$1000="LEASE-BH-F14-2025")*(RENT_DUE!$D$2:$D$1000&gt;=DATE(2025,3,22))*(RENT_DUE!$D$2:$D$1000&lt;=DATE(2025,4,21))*RENT_DUE!$L$2:$L$1000), 0)</f>
        <v>0.0</v>
      </c>
      <c r="H15" s="3" t="n">
        <f>IFERROR(SUMPRODUCT((RENT_RECEIVED!$B$2:$B$1000="LEASE-BH-F14-2025")*(RENT_RECEIVED!$E$2:$E$1000&gt;=DATE(2025,3,22))*(RENT_RECEIVED!$E$2:$E$1000&lt;=DATE(2025,4,21))*RENT_RECEIVED!$O$2:$O$1000), 0)</f>
        <v>0.0</v>
      </c>
      <c r="I15" t="inlineStr">
        <is>
          <t>HIST-2025-04-1533</t>
        </is>
      </c>
      <c r="J15" s="3" t="n">
        <f>IFERROR(SUMIFS(RENT_DUE!$L$2:$L$10000, RENT_DUE!$B$2:$B$10000, "LEASE-BH-F14-2025", RENT_DUE!$D$2:$D$10000, "&lt;"&amp;DATE(2025,3,22)), 0) - IFERROR(SUMIFS(RENT_RECEIVED!$O$2:$O$10000, RENT_RECEIVED!$B$2:$B$10000, "LEASE-BH-F14-2025", RENT_RECEIVED!$E$2:$E$10000, "&lt;"&amp;DATE(2025,3,22)), 0)</f>
        <v>0.0</v>
      </c>
      <c r="K15" s="3" t="n">
        <f>G15 - H15</f>
        <v>0.0</v>
      </c>
      <c r="L15" s="3" t="n">
        <f>J15 + K15</f>
        <v>0.0</v>
      </c>
      <c r="M15" s="3" t="n">
        <f>H15 * 0.1500</f>
        <v>0.0</v>
      </c>
      <c r="N15" s="3" t="n">
        <f>H15 * 0.0000</f>
        <v>0.0</v>
      </c>
      <c r="O15" s="3" t="n">
        <f>ABS(M15 + N15)</f>
        <v>0.0</v>
      </c>
      <c r="P15" t="inlineStr">
        <is>
          <t/>
        </is>
      </c>
      <c r="Q15" s="3" t="n">
        <f>SUMIFS(EXPENSES!E:E, EXPENSES!B:B, "LEASE-BH-F14-2025", EXPENSES!D:D, "&gt;="&amp;DATE(2025,3,22), EXPENSES!D:D, "&lt;="&amp;DATE(2025,4,21))</f>
        <v>0.0</v>
      </c>
      <c r="R15" t="inlineStr">
        <is>
          <t/>
        </is>
      </c>
      <c r="S15" s="3" t="n">
        <f>H15 - O15 - Q15</f>
        <v>0.0</v>
      </c>
      <c r="T15" t="inlineStr">
        <is>
          <t/>
        </is>
      </c>
      <c r="U15" t="inlineStr">
        <is>
          <t/>
        </is>
      </c>
      <c r="V15" t="inlineStr">
        <is>
          <t/>
        </is>
      </c>
      <c r="W15" t="inlineStr">
        <is>
          <t/>
        </is>
      </c>
      <c r="X15" t="inlineStr">
        <is>
          <t/>
        </is>
      </c>
      <c r="Y15" s="3" t="n">
        <v>5410.25</v>
      </c>
      <c r="Z15" s="3" t="n">
        <f>S15-Y15</f>
        <v>0.0</v>
      </c>
      <c r="AA15" t="inlineStr">
        <is>
          <t>PAID</t>
        </is>
      </c>
      <c r="AB15" t="inlineStr">
        <is>
          <t>MULTIPLE</t>
        </is>
      </c>
      <c r="AC15" s="2" t="n">
        <v>45992.0</v>
      </c>
    </row>
    <row r="16">
      <c r="A16" t="inlineStr">
        <is>
          <t>LEASE-BH-F15-2025</t>
        </is>
      </c>
      <c r="B16" t="inlineStr">
        <is>
          <t>Flat 15 - 3 West Gate</t>
        </is>
      </c>
      <c r="C16" t="inlineStr">
        <is>
          <t>Achal (Delegated for Udayan)</t>
        </is>
      </c>
      <c r="D16" t="inlineStr">
        <is>
          <t>Ms Lucy Cassell</t>
        </is>
      </c>
      <c r="E16" s="2" t="n">
        <v>45703.0</v>
      </c>
      <c r="F16" t="n">
        <v>15.0</v>
      </c>
      <c r="G16" s="3" t="n">
        <f>IFERROR(SUMPRODUCT((RENT_DUE!$B$2:$B$1000="LEASE-BH-F15-2025")*(RENT_DUE!$D$2:$D$1000&gt;=DATE(2025,3,22))*(RENT_DUE!$D$2:$D$1000&lt;=DATE(2025,4,21))*RENT_DUE!$L$2:$L$1000), 0)</f>
        <v>0.0</v>
      </c>
      <c r="H16" s="3" t="n">
        <f>IFERROR(SUMPRODUCT((RENT_RECEIVED!$B$2:$B$1000="LEASE-BH-F15-2025")*(RENT_RECEIVED!$E$2:$E$1000&gt;=DATE(2025,3,22))*(RENT_RECEIVED!$E$2:$E$1000&lt;=DATE(2025,4,21))*RENT_RECEIVED!$O$2:$O$1000), 0)</f>
        <v>0.0</v>
      </c>
      <c r="I16" t="inlineStr">
        <is>
          <t/>
        </is>
      </c>
      <c r="J16" s="3" t="n">
        <f>IFERROR(SUMIFS(RENT_DUE!$L$2:$L$10000, RENT_DUE!$B$2:$B$10000, "LEASE-BH-F15-2025", RENT_DUE!$D$2:$D$10000, "&lt;"&amp;DATE(2025,3,22)), 0) - IFERROR(SUMIFS(RENT_RECEIVED!$O$2:$O$10000, RENT_RECEIVED!$B$2:$B$10000, "LEASE-BH-F15-2025", RENT_RECEIVED!$E$2:$E$10000, "&lt;"&amp;DATE(2025,3,22)), 0)</f>
        <v>0.0</v>
      </c>
      <c r="K16" s="3" t="n">
        <f>G16 - H16</f>
        <v>0.0</v>
      </c>
      <c r="L16" s="3" t="n">
        <f>J16 + K16</f>
        <v>0.0</v>
      </c>
      <c r="M16" s="3" t="n">
        <f>H16 * 0.1500</f>
        <v>0.0</v>
      </c>
      <c r="N16" s="3" t="n">
        <f>H16 * 0.0000</f>
        <v>0.0</v>
      </c>
      <c r="O16" s="3" t="n">
        <f>ABS(M16 + N16)</f>
        <v>0.0</v>
      </c>
      <c r="P16" t="inlineStr">
        <is>
          <t/>
        </is>
      </c>
      <c r="Q16" s="3" t="n">
        <f>SUMIFS(EXPENSES!E:E, EXPENSES!B:B, "LEASE-BH-F15-2025", EXPENSES!D:D, "&gt;="&amp;DATE(2025,3,22), EXPENSES!D:D, "&lt;="&amp;DATE(2025,4,21))</f>
        <v>0.0</v>
      </c>
      <c r="R16" t="inlineStr">
        <is>
          <t/>
        </is>
      </c>
      <c r="S16" s="3" t="n">
        <f>H16 - O16 - Q16</f>
        <v>0.0</v>
      </c>
      <c r="T16" t="inlineStr">
        <is>
          <t/>
        </is>
      </c>
      <c r="U16" t="inlineStr">
        <is>
          <t/>
        </is>
      </c>
      <c r="V16" t="inlineStr">
        <is>
          <t/>
        </is>
      </c>
      <c r="W16" t="inlineStr">
        <is>
          <t/>
        </is>
      </c>
      <c r="X16" t="inlineStr">
        <is>
          <t/>
        </is>
      </c>
      <c r="Y16" s="3" t="n">
        <v>6170.0</v>
      </c>
      <c r="Z16" s="3" t="n">
        <f>S16-Y16</f>
        <v>0.0</v>
      </c>
      <c r="AA16" t="inlineStr">
        <is>
          <t>PAID</t>
        </is>
      </c>
      <c r="AB16" t="inlineStr">
        <is>
          <t>MULTIPLE</t>
        </is>
      </c>
      <c r="AC16" s="2" t="n">
        <v>45982.0</v>
      </c>
    </row>
    <row r="17">
      <c r="A17" t="inlineStr">
        <is>
          <t>LEASE-BH-F16-2025</t>
        </is>
      </c>
      <c r="B17" t="inlineStr">
        <is>
          <t>Flat 16 - 3 West Gate</t>
        </is>
      </c>
      <c r="C17" t="inlineStr">
        <is>
          <t>Achal (Delegated for Udayan)</t>
        </is>
      </c>
      <c r="D17" t="inlineStr">
        <is>
          <t>Mr Riley Paul Beresford, Ms Gina Louise Judge</t>
        </is>
      </c>
      <c r="E17" s="2" t="n">
        <v>45726.0</v>
      </c>
      <c r="F17" t="n">
        <v>10.0</v>
      </c>
      <c r="G17" s="3" t="n">
        <f>IFERROR(SUMPRODUCT((RENT_DUE!$B$2:$B$1000="LEASE-BH-F16-2025")*(RENT_DUE!$D$2:$D$1000&gt;=DATE(2025,3,22))*(RENT_DUE!$D$2:$D$1000&lt;=DATE(2025,4,21))*RENT_DUE!$L$2:$L$1000), 0)</f>
        <v>0.0</v>
      </c>
      <c r="H17" s="3" t="n">
        <f>IFERROR(SUMPRODUCT((RENT_RECEIVED!$B$2:$B$1000="LEASE-BH-F16-2025")*(RENT_RECEIVED!$E$2:$E$1000&gt;=DATE(2025,3,22))*(RENT_RECEIVED!$E$2:$E$1000&lt;=DATE(2025,4,21))*RENT_RECEIVED!$O$2:$O$1000), 0)</f>
        <v>0.0</v>
      </c>
      <c r="I17" t="inlineStr">
        <is>
          <t>HIST-2025-04-1532</t>
        </is>
      </c>
      <c r="J17" s="3" t="n">
        <f>IFERROR(SUMIFS(RENT_DUE!$L$2:$L$10000, RENT_DUE!$B$2:$B$10000, "LEASE-BH-F16-2025", RENT_DUE!$D$2:$D$10000, "&lt;"&amp;DATE(2025,3,22)), 0) - IFERROR(SUMIFS(RENT_RECEIVED!$O$2:$O$10000, RENT_RECEIVED!$B$2:$B$10000, "LEASE-BH-F16-2025", RENT_RECEIVED!$E$2:$E$10000, "&lt;"&amp;DATE(2025,3,22)), 0)</f>
        <v>0.0</v>
      </c>
      <c r="K17" s="3" t="n">
        <f>G17 - H17</f>
        <v>0.0</v>
      </c>
      <c r="L17" s="3" t="n">
        <f>J17 + K17</f>
        <v>0.0</v>
      </c>
      <c r="M17" s="3" t="n">
        <f>H17 * 0.1500</f>
        <v>0.0</v>
      </c>
      <c r="N17" s="3" t="n">
        <f>H17 * 0.0000</f>
        <v>0.0</v>
      </c>
      <c r="O17" s="3" t="n">
        <f>ABS(M17 + N17)</f>
        <v>0.0</v>
      </c>
      <c r="P17" t="inlineStr">
        <is>
          <t/>
        </is>
      </c>
      <c r="Q17" s="3" t="n">
        <f>SUMIFS(EXPENSES!E:E, EXPENSES!B:B, "LEASE-BH-F16-2025", EXPENSES!D:D, "&gt;="&amp;DATE(2025,3,22), EXPENSES!D:D, "&lt;="&amp;DATE(2025,4,21))</f>
        <v>0.0</v>
      </c>
      <c r="R17" t="inlineStr">
        <is>
          <t/>
        </is>
      </c>
      <c r="S17" s="3" t="n">
        <f>H17 - O17 - Q17</f>
        <v>0.0</v>
      </c>
      <c r="T17" t="inlineStr">
        <is>
          <t/>
        </is>
      </c>
      <c r="U17" t="inlineStr">
        <is>
          <t/>
        </is>
      </c>
      <c r="V17" t="inlineStr">
        <is>
          <t/>
        </is>
      </c>
      <c r="W17" t="inlineStr">
        <is>
          <t/>
        </is>
      </c>
      <c r="X17" t="inlineStr">
        <is>
          <t/>
        </is>
      </c>
      <c r="Y17" s="3" t="n">
        <v>3641.31</v>
      </c>
      <c r="Z17" s="3" t="n">
        <f>S17-Y17</f>
        <v>0.0</v>
      </c>
      <c r="AA17" t="inlineStr">
        <is>
          <t>PAID</t>
        </is>
      </c>
      <c r="AB17" t="inlineStr">
        <is>
          <t>MULTIPLE</t>
        </is>
      </c>
      <c r="AC17" s="2" t="n">
        <v>45891.0</v>
      </c>
    </row>
    <row r="18">
      <c r="A18" t="inlineStr">
        <is>
          <t>LEASE-BH-F17-2025</t>
        </is>
      </c>
      <c r="B18" t="inlineStr">
        <is>
          <t>Flat 17 - 3 West Gate</t>
        </is>
      </c>
      <c r="C18" t="inlineStr">
        <is>
          <t>Achal (Delegated for Udayan)</t>
        </is>
      </c>
      <c r="D18" t="inlineStr">
        <is>
          <t>Mr Harsh Patel</t>
        </is>
      </c>
      <c r="E18" s="2" t="n">
        <v>45705.0</v>
      </c>
      <c r="F18" t="n">
        <v>17.0</v>
      </c>
      <c r="G18" s="3" t="n">
        <f>IFERROR(SUMPRODUCT((RENT_DUE!$B$2:$B$1000="LEASE-BH-F17-2025")*(RENT_DUE!$D$2:$D$1000&gt;=DATE(2025,3,22))*(RENT_DUE!$D$2:$D$1000&lt;=DATE(2025,4,21))*RENT_DUE!$L$2:$L$1000), 0)</f>
        <v>0.0</v>
      </c>
      <c r="H18" s="3" t="n">
        <f>IFERROR(SUMPRODUCT((RENT_RECEIVED!$B$2:$B$1000="LEASE-BH-F17-2025")*(RENT_RECEIVED!$E$2:$E$1000&gt;=DATE(2025,3,22))*(RENT_RECEIVED!$E$2:$E$1000&lt;=DATE(2025,4,21))*RENT_RECEIVED!$O$2:$O$1000), 0)</f>
        <v>0.0</v>
      </c>
      <c r="I18" t="inlineStr">
        <is>
          <t>HIST-2025-04-1532</t>
        </is>
      </c>
      <c r="J18" s="3" t="n">
        <f>IFERROR(SUMIFS(RENT_DUE!$L$2:$L$10000, RENT_DUE!$B$2:$B$10000, "LEASE-BH-F17-2025", RENT_DUE!$D$2:$D$10000, "&lt;"&amp;DATE(2025,3,22)), 0) - IFERROR(SUMIFS(RENT_RECEIVED!$O$2:$O$10000, RENT_RECEIVED!$B$2:$B$10000, "LEASE-BH-F17-2025", RENT_RECEIVED!$E$2:$E$10000, "&lt;"&amp;DATE(2025,3,22)), 0)</f>
        <v>0.0</v>
      </c>
      <c r="K18" s="3" t="n">
        <f>G18 - H18</f>
        <v>0.0</v>
      </c>
      <c r="L18" s="3" t="n">
        <f>J18 + K18</f>
        <v>0.0</v>
      </c>
      <c r="M18" s="3" t="n">
        <f>H18 * 0.1500</f>
        <v>0.0</v>
      </c>
      <c r="N18" s="3" t="n">
        <f>H18 * 0.0000</f>
        <v>0.0</v>
      </c>
      <c r="O18" s="3" t="n">
        <f>ABS(M18 + N18)</f>
        <v>0.0</v>
      </c>
      <c r="P18" t="inlineStr">
        <is>
          <t/>
        </is>
      </c>
      <c r="Q18" s="3" t="n">
        <f>SUMIFS(EXPENSES!E:E, EXPENSES!B:B, "LEASE-BH-F17-2025", EXPENSES!D:D, "&gt;="&amp;DATE(2025,3,22), EXPENSES!D:D, "&lt;="&amp;DATE(2025,4,21))</f>
        <v>0.0</v>
      </c>
      <c r="R18" t="inlineStr">
        <is>
          <t/>
        </is>
      </c>
      <c r="S18" s="3" t="n">
        <f>H18 - O18 - Q18</f>
        <v>0.0</v>
      </c>
      <c r="T18" t="inlineStr">
        <is>
          <t/>
        </is>
      </c>
      <c r="U18" t="inlineStr">
        <is>
          <t/>
        </is>
      </c>
      <c r="V18" t="inlineStr">
        <is>
          <t/>
        </is>
      </c>
      <c r="W18" t="inlineStr">
        <is>
          <t/>
        </is>
      </c>
      <c r="X18" t="inlineStr">
        <is>
          <t/>
        </is>
      </c>
      <c r="Y18" s="3" t="n">
        <v>5800.0</v>
      </c>
      <c r="Z18" s="3" t="n">
        <f>S18-Y18</f>
        <v>0.0</v>
      </c>
      <c r="AA18" t="inlineStr">
        <is>
          <t>PAID</t>
        </is>
      </c>
      <c r="AB18" t="inlineStr">
        <is>
          <t>MULTIPLE</t>
        </is>
      </c>
      <c r="AC18" s="2" t="n">
        <v>45982.0</v>
      </c>
    </row>
    <row r="19">
      <c r="A19" t="inlineStr">
        <is>
          <t>LEASE-BH-F18-2025</t>
        </is>
      </c>
      <c r="B19" t="inlineStr">
        <is>
          <t>Flat 18 - 3 West Gate</t>
        </is>
      </c>
      <c r="C19" t="inlineStr">
        <is>
          <t>Achal (Delegated for Udayan)</t>
        </is>
      </c>
      <c r="D19" t="inlineStr">
        <is>
          <t>Marie Dinko</t>
        </is>
      </c>
      <c r="E19" s="2" t="n">
        <v>45687.0</v>
      </c>
      <c r="F19" t="n">
        <v>30.0</v>
      </c>
      <c r="G19" s="3" t="n">
        <f>IFERROR(SUMPRODUCT((RENT_DUE!$B$2:$B$1000="LEASE-BH-F18-2025")*(RENT_DUE!$D$2:$D$1000&gt;=DATE(2025,3,22))*(RENT_DUE!$D$2:$D$1000&lt;=DATE(2025,4,21))*RENT_DUE!$L$2:$L$1000), 0)</f>
        <v>0.0</v>
      </c>
      <c r="H19" s="3" t="n">
        <f>IFERROR(SUMPRODUCT((RENT_RECEIVED!$B$2:$B$1000="LEASE-BH-F18-2025")*(RENT_RECEIVED!$E$2:$E$1000&gt;=DATE(2025,3,22))*(RENT_RECEIVED!$E$2:$E$1000&lt;=DATE(2025,4,21))*RENT_RECEIVED!$O$2:$O$1000), 0)</f>
        <v>0.0</v>
      </c>
      <c r="I19" t="inlineStr">
        <is>
          <t>HIST-2025-04-1532</t>
        </is>
      </c>
      <c r="J19" s="3" t="n">
        <f>IFERROR(SUMIFS(RENT_DUE!$L$2:$L$10000, RENT_DUE!$B$2:$B$10000, "LEASE-BH-F18-2025", RENT_DUE!$D$2:$D$10000, "&lt;"&amp;DATE(2025,3,22)), 0) - IFERROR(SUMIFS(RENT_RECEIVED!$O$2:$O$10000, RENT_RECEIVED!$B$2:$B$10000, "LEASE-BH-F18-2025", RENT_RECEIVED!$E$2:$E$10000, "&lt;"&amp;DATE(2025,3,22)), 0)</f>
        <v>0.0</v>
      </c>
      <c r="K19" s="3" t="n">
        <f>G19 - H19</f>
        <v>0.0</v>
      </c>
      <c r="L19" s="3" t="n">
        <f>J19 + K19</f>
        <v>0.0</v>
      </c>
      <c r="M19" s="3" t="n">
        <f>H19 * 0.1500</f>
        <v>0.0</v>
      </c>
      <c r="N19" s="3" t="n">
        <f>H19 * 0.0000</f>
        <v>0.0</v>
      </c>
      <c r="O19" s="3" t="n">
        <f>ABS(M19 + N19)</f>
        <v>0.0</v>
      </c>
      <c r="P19" t="inlineStr">
        <is>
          <t/>
        </is>
      </c>
      <c r="Q19" s="3" t="n">
        <f>SUMIFS(EXPENSES!E:E, EXPENSES!B:B, "LEASE-BH-F18-2025", EXPENSES!D:D, "&gt;="&amp;DATE(2025,3,22), EXPENSES!D:D, "&lt;="&amp;DATE(2025,4,21))</f>
        <v>0.0</v>
      </c>
      <c r="R19" t="inlineStr">
        <is>
          <t/>
        </is>
      </c>
      <c r="S19" s="3" t="n">
        <f>H19 - O19 - Q19</f>
        <v>0.0</v>
      </c>
      <c r="T19" t="inlineStr">
        <is>
          <t/>
        </is>
      </c>
      <c r="U19" t="inlineStr">
        <is>
          <t/>
        </is>
      </c>
      <c r="V19" t="inlineStr">
        <is>
          <t/>
        </is>
      </c>
      <c r="W19" t="inlineStr">
        <is>
          <t/>
        </is>
      </c>
      <c r="X19" t="inlineStr">
        <is>
          <t/>
        </is>
      </c>
      <c r="Y19" s="3" t="n">
        <v>2044.25</v>
      </c>
      <c r="Z19" s="3" t="n">
        <f>S19-Y19</f>
        <v>0.0</v>
      </c>
      <c r="AA19" t="inlineStr">
        <is>
          <t>PAID</t>
        </is>
      </c>
      <c r="AB19" t="inlineStr">
        <is>
          <t>MULTIPLE</t>
        </is>
      </c>
      <c r="AC19" s="2" t="n">
        <v>45804.0</v>
      </c>
    </row>
    <row r="20">
      <c r="A20" t="inlineStr">
        <is>
          <t>LEASE-BH-F19-2025</t>
        </is>
      </c>
      <c r="B20" t="inlineStr">
        <is>
          <t>Flat 19 - 3 West Gate</t>
        </is>
      </c>
      <c r="C20" t="inlineStr">
        <is>
          <t>Achal (Delegated for Udayan)</t>
        </is>
      </c>
      <c r="D20" t="inlineStr">
        <is>
          <t>Mr Joshua Banks, Miss Layla Middlemass</t>
        </is>
      </c>
      <c r="E20" s="2" t="n">
        <v>45730.0</v>
      </c>
      <c r="F20" t="n">
        <v>14.0</v>
      </c>
      <c r="G20" s="3" t="n">
        <f>IFERROR(SUMPRODUCT((RENT_DUE!$B$2:$B$1000="LEASE-BH-F19-2025")*(RENT_DUE!$D$2:$D$1000&gt;=DATE(2025,3,22))*(RENT_DUE!$D$2:$D$1000&lt;=DATE(2025,4,21))*RENT_DUE!$L$2:$L$1000), 0)</f>
        <v>0.0</v>
      </c>
      <c r="H20" s="3" t="n">
        <f>IFERROR(SUMPRODUCT((RENT_RECEIVED!$B$2:$B$1000="LEASE-BH-F19-2025")*(RENT_RECEIVED!$E$2:$E$1000&gt;=DATE(2025,3,22))*(RENT_RECEIVED!$E$2:$E$1000&lt;=DATE(2025,4,21))*RENT_RECEIVED!$O$2:$O$1000), 0)</f>
        <v>0.0</v>
      </c>
      <c r="I20" t="inlineStr">
        <is>
          <t>HIST-2025-04-1532</t>
        </is>
      </c>
      <c r="J20" s="3" t="n">
        <f>IFERROR(SUMIFS(RENT_DUE!$L$2:$L$10000, RENT_DUE!$B$2:$B$10000, "LEASE-BH-F19-2025", RENT_DUE!$D$2:$D$10000, "&lt;"&amp;DATE(2025,3,22)), 0) - IFERROR(SUMIFS(RENT_RECEIVED!$O$2:$O$10000, RENT_RECEIVED!$B$2:$B$10000, "LEASE-BH-F19-2025", RENT_RECEIVED!$E$2:$E$10000, "&lt;"&amp;DATE(2025,3,22)), 0)</f>
        <v>0.0</v>
      </c>
      <c r="K20" s="3" t="n">
        <f>G20 - H20</f>
        <v>0.0</v>
      </c>
      <c r="L20" s="3" t="n">
        <f>J20 + K20</f>
        <v>0.0</v>
      </c>
      <c r="M20" s="3" t="n">
        <f>H20 * 0.1500</f>
        <v>0.0</v>
      </c>
      <c r="N20" s="3" t="n">
        <f>H20 * 0.0000</f>
        <v>0.0</v>
      </c>
      <c r="O20" s="3" t="n">
        <f>ABS(M20 + N20)</f>
        <v>0.0</v>
      </c>
      <c r="P20" t="inlineStr">
        <is>
          <t/>
        </is>
      </c>
      <c r="Q20" s="3" t="n">
        <f>SUMIFS(EXPENSES!E:E, EXPENSES!B:B, "LEASE-BH-F19-2025", EXPENSES!D:D, "&gt;="&amp;DATE(2025,3,22), EXPENSES!D:D, "&lt;="&amp;DATE(2025,4,21))</f>
        <v>0.0</v>
      </c>
      <c r="R20" t="inlineStr">
        <is>
          <t/>
        </is>
      </c>
      <c r="S20" s="3" t="n">
        <f>H20 - O20 - Q20</f>
        <v>0.0</v>
      </c>
      <c r="T20" t="inlineStr">
        <is>
          <t/>
        </is>
      </c>
      <c r="U20" t="inlineStr">
        <is>
          <t/>
        </is>
      </c>
      <c r="V20" t="inlineStr">
        <is>
          <t/>
        </is>
      </c>
      <c r="W20" t="inlineStr">
        <is>
          <t/>
        </is>
      </c>
      <c r="X20" t="inlineStr">
        <is>
          <t/>
        </is>
      </c>
      <c r="Y20" s="3" t="n">
        <v>2888.3</v>
      </c>
      <c r="Z20" s="3" t="n">
        <f>S20-Y20</f>
        <v>0.0</v>
      </c>
      <c r="AA20" t="inlineStr">
        <is>
          <t>PAID</t>
        </is>
      </c>
      <c r="AB20" t="inlineStr">
        <is>
          <t>MULTIPLE</t>
        </is>
      </c>
      <c r="AC20" s="2" t="n">
        <v>45846.0</v>
      </c>
    </row>
    <row r="21">
      <c r="A21" t="inlineStr">
        <is>
          <t>LEASE-BH-F20-2025</t>
        </is>
      </c>
      <c r="B21" t="inlineStr">
        <is>
          <t>Flat 20 - 3 West Gate</t>
        </is>
      </c>
      <c r="C21" t="inlineStr">
        <is>
          <t>Achal (Delegated for Udayan)</t>
        </is>
      </c>
      <c r="D21" t="inlineStr">
        <is>
          <t>Mr James Kay</t>
        </is>
      </c>
      <c r="E21" s="2" t="n">
        <v>45732.0</v>
      </c>
      <c r="F21" t="n">
        <v>16.0</v>
      </c>
      <c r="G21" s="3" t="n">
        <f>IFERROR(SUMPRODUCT((RENT_DUE!$B$2:$B$1000="LEASE-BH-F20-2025")*(RENT_DUE!$D$2:$D$1000&gt;=DATE(2025,3,22))*(RENT_DUE!$D$2:$D$1000&lt;=DATE(2025,4,21))*RENT_DUE!$L$2:$L$1000), 0)</f>
        <v>0.0</v>
      </c>
      <c r="H21" s="3" t="n">
        <f>IFERROR(SUMPRODUCT((RENT_RECEIVED!$B$2:$B$1000="LEASE-BH-F20-2025")*(RENT_RECEIVED!$E$2:$E$1000&gt;=DATE(2025,3,22))*(RENT_RECEIVED!$E$2:$E$1000&lt;=DATE(2025,4,21))*RENT_RECEIVED!$O$2:$O$1000), 0)</f>
        <v>0.0</v>
      </c>
      <c r="I21" t="inlineStr">
        <is>
          <t>HIST-2025-04-1532</t>
        </is>
      </c>
      <c r="J21" s="3" t="n">
        <f>IFERROR(SUMIFS(RENT_DUE!$L$2:$L$10000, RENT_DUE!$B$2:$B$10000, "LEASE-BH-F20-2025", RENT_DUE!$D$2:$D$10000, "&lt;"&amp;DATE(2025,3,22)), 0) - IFERROR(SUMIFS(RENT_RECEIVED!$O$2:$O$10000, RENT_RECEIVED!$B$2:$B$10000, "LEASE-BH-F20-2025", RENT_RECEIVED!$E$2:$E$10000, "&lt;"&amp;DATE(2025,3,22)), 0)</f>
        <v>0.0</v>
      </c>
      <c r="K21" s="3" t="n">
        <f>G21 - H21</f>
        <v>0.0</v>
      </c>
      <c r="L21" s="3" t="n">
        <f>J21 + K21</f>
        <v>0.0</v>
      </c>
      <c r="M21" s="3" t="n">
        <f>H21 * 0.1500</f>
        <v>0.0</v>
      </c>
      <c r="N21" s="3" t="n">
        <f>H21 * 0.0000</f>
        <v>0.0</v>
      </c>
      <c r="O21" s="3" t="n">
        <f>ABS(M21 + N21)</f>
        <v>0.0</v>
      </c>
      <c r="P21" t="inlineStr">
        <is>
          <t/>
        </is>
      </c>
      <c r="Q21" s="3" t="n">
        <f>SUMIFS(EXPENSES!E:E, EXPENSES!B:B, "LEASE-BH-F20-2025", EXPENSES!D:D, "&gt;="&amp;DATE(2025,3,22), EXPENSES!D:D, "&lt;="&amp;DATE(2025,4,21))</f>
        <v>0.0</v>
      </c>
      <c r="R21" t="inlineStr">
        <is>
          <t/>
        </is>
      </c>
      <c r="S21" s="3" t="n">
        <f>H21 - O21 - Q21</f>
        <v>0.0</v>
      </c>
      <c r="T21" t="inlineStr">
        <is>
          <t/>
        </is>
      </c>
      <c r="U21" t="inlineStr">
        <is>
          <t/>
        </is>
      </c>
      <c r="V21" t="inlineStr">
        <is>
          <t/>
        </is>
      </c>
      <c r="W21" t="inlineStr">
        <is>
          <t/>
        </is>
      </c>
      <c r="X21" t="inlineStr">
        <is>
          <t/>
        </is>
      </c>
      <c r="Y21" s="3" t="n">
        <v>5255.0</v>
      </c>
      <c r="Z21" s="3" t="n">
        <f>S21-Y21</f>
        <v>0.0</v>
      </c>
      <c r="AA21" t="inlineStr">
        <is>
          <t>PAID</t>
        </is>
      </c>
      <c r="AB21" t="inlineStr">
        <is>
          <t>MULTIPLE</t>
        </is>
      </c>
      <c r="AC21" s="2" t="n">
        <v>45982.0</v>
      </c>
    </row>
    <row r="22">
      <c r="A22" t="inlineStr">
        <is>
          <t>LEASE-BH-F21-2025</t>
        </is>
      </c>
      <c r="B22" t="inlineStr">
        <is>
          <t>Flat 21 - 3 West Gate</t>
        </is>
      </c>
      <c r="C22" t="inlineStr">
        <is>
          <t>Achal (Delegated for Udayan)</t>
        </is>
      </c>
      <c r="D22" t="inlineStr">
        <is>
          <t>Mr Felwin Francis</t>
        </is>
      </c>
      <c r="E22" s="2" t="n">
        <v>45687.0</v>
      </c>
      <c r="F22" t="n">
        <v>30.0</v>
      </c>
      <c r="G22" s="3" t="n">
        <f>IFERROR(SUMPRODUCT((RENT_DUE!$B$2:$B$1000="LEASE-BH-F21-2025")*(RENT_DUE!$D$2:$D$1000&gt;=DATE(2025,3,22))*(RENT_DUE!$D$2:$D$1000&lt;=DATE(2025,4,21))*RENT_DUE!$L$2:$L$1000), 0)</f>
        <v>0.0</v>
      </c>
      <c r="H22" s="3" t="n">
        <f>IFERROR(SUMPRODUCT((RENT_RECEIVED!$B$2:$B$1000="LEASE-BH-F21-2025")*(RENT_RECEIVED!$E$2:$E$1000&gt;=DATE(2025,3,22))*(RENT_RECEIVED!$E$2:$E$1000&lt;=DATE(2025,4,21))*RENT_RECEIVED!$O$2:$O$1000), 0)</f>
        <v>0.0</v>
      </c>
      <c r="I22" t="inlineStr">
        <is>
          <t>HIST-2025-04-1532</t>
        </is>
      </c>
      <c r="J22" s="3" t="n">
        <f>IFERROR(SUMIFS(RENT_DUE!$L$2:$L$10000, RENT_DUE!$B$2:$B$10000, "LEASE-BH-F21-2025", RENT_DUE!$D$2:$D$10000, "&lt;"&amp;DATE(2025,3,22)), 0) - IFERROR(SUMIFS(RENT_RECEIVED!$O$2:$O$10000, RENT_RECEIVED!$B$2:$B$10000, "LEASE-BH-F21-2025", RENT_RECEIVED!$E$2:$E$10000, "&lt;"&amp;DATE(2025,3,22)), 0)</f>
        <v>0.0</v>
      </c>
      <c r="K22" s="3" t="n">
        <f>G22 - H22</f>
        <v>0.0</v>
      </c>
      <c r="L22" s="3" t="n">
        <f>J22 + K22</f>
        <v>0.0</v>
      </c>
      <c r="M22" s="3" t="n">
        <f>H22 * 0.1500</f>
        <v>0.0</v>
      </c>
      <c r="N22" s="3" t="n">
        <f>H22 * 0.0000</f>
        <v>0.0</v>
      </c>
      <c r="O22" s="3" t="n">
        <f>ABS(M22 + N22)</f>
        <v>0.0</v>
      </c>
      <c r="P22" t="inlineStr">
        <is>
          <t/>
        </is>
      </c>
      <c r="Q22" s="3" t="n">
        <f>SUMIFS(EXPENSES!E:E, EXPENSES!B:B, "LEASE-BH-F21-2025", EXPENSES!D:D, "&gt;="&amp;DATE(2025,3,22), EXPENSES!D:D, "&lt;="&amp;DATE(2025,4,21))</f>
        <v>0.0</v>
      </c>
      <c r="R22" t="inlineStr">
        <is>
          <t/>
        </is>
      </c>
      <c r="S22" s="3" t="n">
        <f>H22 - O22 - Q22</f>
        <v>0.0</v>
      </c>
      <c r="T22" t="inlineStr">
        <is>
          <t/>
        </is>
      </c>
      <c r="U22" t="inlineStr">
        <is>
          <t/>
        </is>
      </c>
      <c r="V22" t="inlineStr">
        <is>
          <t/>
        </is>
      </c>
      <c r="W22" t="inlineStr">
        <is>
          <t/>
        </is>
      </c>
      <c r="X22" t="inlineStr">
        <is>
          <t/>
        </is>
      </c>
      <c r="Y22" s="3" t="n">
        <v>6637.5</v>
      </c>
      <c r="Z22" s="3" t="n">
        <f>S22-Y22</f>
        <v>0.0</v>
      </c>
      <c r="AA22" t="inlineStr">
        <is>
          <t>PAID</t>
        </is>
      </c>
      <c r="AB22" t="inlineStr">
        <is>
          <t>MULTIPLE</t>
        </is>
      </c>
      <c r="AC22" s="2" t="n">
        <v>45982.0</v>
      </c>
    </row>
    <row r="23">
      <c r="A23" t="inlineStr">
        <is>
          <t>LEASE-BH-F22-2025</t>
        </is>
      </c>
      <c r="B23" t="inlineStr">
        <is>
          <t>Flat 22 - 3 West Gate</t>
        </is>
      </c>
      <c r="C23" t="inlineStr">
        <is>
          <t>Achal (Delegated for Udayan)</t>
        </is>
      </c>
      <c r="D23" t="inlineStr">
        <is>
          <t>Mr Brian Lowe</t>
        </is>
      </c>
      <c r="E23" s="2" t="n">
        <v>45717.0</v>
      </c>
      <c r="F23" t="n">
        <v>1.0</v>
      </c>
      <c r="G23" s="3" t="n">
        <f>IFERROR(SUMPRODUCT((RENT_DUE!$B$2:$B$1000="LEASE-BH-F22-2025")*(RENT_DUE!$D$2:$D$1000&gt;=DATE(2025,3,22))*(RENT_DUE!$D$2:$D$1000&lt;=DATE(2025,4,21))*RENT_DUE!$L$2:$L$1000), 0)</f>
        <v>0.0</v>
      </c>
      <c r="H23" s="3" t="n">
        <f>IFERROR(SUMPRODUCT((RENT_RECEIVED!$B$2:$B$1000="LEASE-BH-F22-2025")*(RENT_RECEIVED!$E$2:$E$1000&gt;=DATE(2025,3,22))*(RENT_RECEIVED!$E$2:$E$1000&lt;=DATE(2025,4,21))*RENT_RECEIVED!$O$2:$O$1000), 0)</f>
        <v>0.0</v>
      </c>
      <c r="I23" t="inlineStr">
        <is>
          <t>HIST-2025-04-1532</t>
        </is>
      </c>
      <c r="J23" s="3" t="n">
        <f>IFERROR(SUMIFS(RENT_DUE!$L$2:$L$10000, RENT_DUE!$B$2:$B$10000, "LEASE-BH-F22-2025", RENT_DUE!$D$2:$D$10000, "&lt;"&amp;DATE(2025,3,22)), 0) - IFERROR(SUMIFS(RENT_RECEIVED!$O$2:$O$10000, RENT_RECEIVED!$B$2:$B$10000, "LEASE-BH-F22-2025", RENT_RECEIVED!$E$2:$E$10000, "&lt;"&amp;DATE(2025,3,22)), 0)</f>
        <v>0.0</v>
      </c>
      <c r="K23" s="3" t="n">
        <f>G23 - H23</f>
        <v>0.0</v>
      </c>
      <c r="L23" s="3" t="n">
        <f>J23 + K23</f>
        <v>0.0</v>
      </c>
      <c r="M23" s="3" t="n">
        <f>H23 * 0.1500</f>
        <v>0.0</v>
      </c>
      <c r="N23" s="3" t="n">
        <f>H23 * 0.0000</f>
        <v>0.0</v>
      </c>
      <c r="O23" s="3" t="n">
        <f>ABS(M23 + N23)</f>
        <v>0.0</v>
      </c>
      <c r="P23" t="inlineStr">
        <is>
          <t/>
        </is>
      </c>
      <c r="Q23" s="3" t="n">
        <f>SUMIFS(EXPENSES!E:E, EXPENSES!B:B, "LEASE-BH-F22-2025", EXPENSES!D:D, "&gt;="&amp;DATE(2025,3,22), EXPENSES!D:D, "&lt;="&amp;DATE(2025,4,21))</f>
        <v>0.0</v>
      </c>
      <c r="R23" t="inlineStr">
        <is>
          <t/>
        </is>
      </c>
      <c r="S23" s="3" t="n">
        <f>H23 - O23 - Q23</f>
        <v>0.0</v>
      </c>
      <c r="T23" t="inlineStr">
        <is>
          <t/>
        </is>
      </c>
      <c r="U23" t="inlineStr">
        <is>
          <t/>
        </is>
      </c>
      <c r="V23" t="inlineStr">
        <is>
          <t/>
        </is>
      </c>
      <c r="W23" t="inlineStr">
        <is>
          <t/>
        </is>
      </c>
      <c r="X23" t="inlineStr">
        <is>
          <t/>
        </is>
      </c>
      <c r="Y23" s="3" t="n">
        <v>5661.0</v>
      </c>
      <c r="Z23" s="3" t="n">
        <f>S23-Y23</f>
        <v>0.0</v>
      </c>
      <c r="AA23" t="inlineStr">
        <is>
          <t>PAID</t>
        </is>
      </c>
      <c r="AB23" t="inlineStr">
        <is>
          <t>MULTIPLE</t>
        </is>
      </c>
      <c r="AC23" s="2" t="n">
        <v>45982.0</v>
      </c>
    </row>
    <row r="24">
      <c r="A24" t="inlineStr">
        <is>
          <t>LEASE-BH-F24-2025</t>
        </is>
      </c>
      <c r="B24" t="inlineStr">
        <is>
          <t>Flat 24 - 3 West Gate</t>
        </is>
      </c>
      <c r="C24" t="inlineStr">
        <is>
          <t>Achal (Delegated for Udayan)</t>
        </is>
      </c>
      <c r="D24" t="inlineStr">
        <is>
          <t>Mr Ethan Maloney, Miss Soraya Fearon</t>
        </is>
      </c>
      <c r="E24" s="2" t="n">
        <v>45700.0</v>
      </c>
      <c r="F24" t="n">
        <v>12.0</v>
      </c>
      <c r="G24" s="3" t="n">
        <f>IFERROR(SUMPRODUCT((RENT_DUE!$B$2:$B$1000="LEASE-BH-F24-2025")*(RENT_DUE!$D$2:$D$1000&gt;=DATE(2025,3,22))*(RENT_DUE!$D$2:$D$1000&lt;=DATE(2025,4,21))*RENT_DUE!$L$2:$L$1000), 0)</f>
        <v>0.0</v>
      </c>
      <c r="H24" s="3" t="n">
        <f>IFERROR(SUMPRODUCT((RENT_RECEIVED!$B$2:$B$1000="LEASE-BH-F24-2025")*(RENT_RECEIVED!$E$2:$E$1000&gt;=DATE(2025,3,22))*(RENT_RECEIVED!$E$2:$E$1000&lt;=DATE(2025,4,21))*RENT_RECEIVED!$O$2:$O$1000), 0)</f>
        <v>0.0</v>
      </c>
      <c r="I24" t="inlineStr">
        <is>
          <t>HIST-2025-04-1532</t>
        </is>
      </c>
      <c r="J24" s="3" t="n">
        <f>IFERROR(SUMIFS(RENT_DUE!$L$2:$L$10000, RENT_DUE!$B$2:$B$10000, "LEASE-BH-F24-2025", RENT_DUE!$D$2:$D$10000, "&lt;"&amp;DATE(2025,3,22)), 0) - IFERROR(SUMIFS(RENT_RECEIVED!$O$2:$O$10000, RENT_RECEIVED!$B$2:$B$10000, "LEASE-BH-F24-2025", RENT_RECEIVED!$E$2:$E$10000, "&lt;"&amp;DATE(2025,3,22)), 0)</f>
        <v>0.0</v>
      </c>
      <c r="K24" s="3" t="n">
        <f>G24 - H24</f>
        <v>0.0</v>
      </c>
      <c r="L24" s="3" t="n">
        <f>J24 + K24</f>
        <v>0.0</v>
      </c>
      <c r="M24" s="3" t="n">
        <f>H24 * 0.1500</f>
        <v>0.0</v>
      </c>
      <c r="N24" s="3" t="n">
        <f>H24 * 0.0000</f>
        <v>0.0</v>
      </c>
      <c r="O24" s="3" t="n">
        <f>ABS(M24 + N24)</f>
        <v>0.0</v>
      </c>
      <c r="P24" t="inlineStr">
        <is>
          <t/>
        </is>
      </c>
      <c r="Q24" s="3" t="n">
        <f>SUMIFS(EXPENSES!E:E, EXPENSES!B:B, "LEASE-BH-F24-2025", EXPENSES!D:D, "&gt;="&amp;DATE(2025,3,22), EXPENSES!D:D, "&lt;="&amp;DATE(2025,4,21))</f>
        <v>0.0</v>
      </c>
      <c r="R24" t="inlineStr">
        <is>
          <t/>
        </is>
      </c>
      <c r="S24" s="3" t="n">
        <f>H24 - O24 - Q24</f>
        <v>0.0</v>
      </c>
      <c r="T24" t="inlineStr">
        <is>
          <t/>
        </is>
      </c>
      <c r="U24" t="inlineStr">
        <is>
          <t/>
        </is>
      </c>
      <c r="V24" t="inlineStr">
        <is>
          <t/>
        </is>
      </c>
      <c r="W24" t="inlineStr">
        <is>
          <t/>
        </is>
      </c>
      <c r="X24" t="inlineStr">
        <is>
          <t/>
        </is>
      </c>
      <c r="Y24" s="3" t="n">
        <v>6765.0</v>
      </c>
      <c r="Z24" s="3" t="n">
        <f>S24-Y24</f>
        <v>0.0</v>
      </c>
      <c r="AA24" t="inlineStr">
        <is>
          <t>PAID</t>
        </is>
      </c>
      <c r="AB24" t="inlineStr">
        <is>
          <t>MULTIPLE</t>
        </is>
      </c>
      <c r="AC24" s="2" t="n">
        <v>45982.0</v>
      </c>
    </row>
    <row r="25">
      <c r="A25" t="inlineStr">
        <is>
          <t>LEASE-BH-F26-2025</t>
        </is>
      </c>
      <c r="B25" t="inlineStr">
        <is>
          <t>Flat 26 - 3 West Gate</t>
        </is>
      </c>
      <c r="C25" t="inlineStr">
        <is>
          <t>Achal (Delegated for Udayan)</t>
        </is>
      </c>
      <c r="D25" t="inlineStr">
        <is>
          <t>Mr Louis Scotting</t>
        </is>
      </c>
      <c r="E25" s="2" t="n">
        <v>45730.0</v>
      </c>
      <c r="F25" t="n">
        <v>14.0</v>
      </c>
      <c r="G25" s="3" t="n">
        <f>IFERROR(SUMPRODUCT((RENT_DUE!$B$2:$B$1000="LEASE-BH-F26-2025")*(RENT_DUE!$D$2:$D$1000&gt;=DATE(2025,3,22))*(RENT_DUE!$D$2:$D$1000&lt;=DATE(2025,4,21))*RENT_DUE!$L$2:$L$1000), 0)</f>
        <v>0.0</v>
      </c>
      <c r="H25" s="3" t="n">
        <f>IFERROR(SUMPRODUCT((RENT_RECEIVED!$B$2:$B$1000="LEASE-BH-F26-2025")*(RENT_RECEIVED!$E$2:$E$1000&gt;=DATE(2025,3,22))*(RENT_RECEIVED!$E$2:$E$1000&lt;=DATE(2025,4,21))*RENT_RECEIVED!$O$2:$O$1000), 0)</f>
        <v>0.0</v>
      </c>
      <c r="I25" t="inlineStr">
        <is>
          <t>HIST-2025-04-1532, HIST-2025-04-1533</t>
        </is>
      </c>
      <c r="J25" s="3" t="n">
        <f>IFERROR(SUMIFS(RENT_DUE!$L$2:$L$10000, RENT_DUE!$B$2:$B$10000, "LEASE-BH-F26-2025", RENT_DUE!$D$2:$D$10000, "&lt;"&amp;DATE(2025,3,22)), 0) - IFERROR(SUMIFS(RENT_RECEIVED!$O$2:$O$10000, RENT_RECEIVED!$B$2:$B$10000, "LEASE-BH-F26-2025", RENT_RECEIVED!$E$2:$E$10000, "&lt;"&amp;DATE(2025,3,22)), 0)</f>
        <v>0.0</v>
      </c>
      <c r="K25" s="3" t="n">
        <f>G25 - H25</f>
        <v>0.0</v>
      </c>
      <c r="L25" s="3" t="n">
        <f>J25 + K25</f>
        <v>0.0</v>
      </c>
      <c r="M25" s="3" t="n">
        <f>H25 * 0.1500</f>
        <v>0.0</v>
      </c>
      <c r="N25" s="3" t="n">
        <f>H25 * 0.0000</f>
        <v>0.0</v>
      </c>
      <c r="O25" s="3" t="n">
        <f>ABS(M25 + N25)</f>
        <v>0.0</v>
      </c>
      <c r="P25" t="inlineStr">
        <is>
          <t/>
        </is>
      </c>
      <c r="Q25" s="3" t="n">
        <f>SUMIFS(EXPENSES!E:E, EXPENSES!B:B, "LEASE-BH-F26-2025", EXPENSES!D:D, "&gt;="&amp;DATE(2025,3,22), EXPENSES!D:D, "&lt;="&amp;DATE(2025,4,21))</f>
        <v>0.0</v>
      </c>
      <c r="R25" t="inlineStr">
        <is>
          <t/>
        </is>
      </c>
      <c r="S25" s="3" t="n">
        <f>H25 - O25 - Q25</f>
        <v>0.0</v>
      </c>
      <c r="T25" t="inlineStr">
        <is>
          <t/>
        </is>
      </c>
      <c r="U25" t="inlineStr">
        <is>
          <t/>
        </is>
      </c>
      <c r="V25" t="inlineStr">
        <is>
          <t/>
        </is>
      </c>
      <c r="W25" t="inlineStr">
        <is>
          <t/>
        </is>
      </c>
      <c r="X25" t="inlineStr">
        <is>
          <t/>
        </is>
      </c>
      <c r="Y25" s="3" t="n">
        <v>5163.75</v>
      </c>
      <c r="Z25" s="3" t="n">
        <f>S25-Y25</f>
        <v>0.0</v>
      </c>
      <c r="AA25" t="inlineStr">
        <is>
          <t>PAID</t>
        </is>
      </c>
      <c r="AB25" t="inlineStr">
        <is>
          <t>MULTIPLE</t>
        </is>
      </c>
      <c r="AC25" s="2" t="n">
        <v>45992.0</v>
      </c>
    </row>
    <row r="26">
      <c r="A26" t="inlineStr">
        <is>
          <t>LEASE-BH-F27-2025</t>
        </is>
      </c>
      <c r="B26" t="inlineStr">
        <is>
          <t>Flat 27 - 3 West Gate</t>
        </is>
      </c>
      <c r="C26" t="inlineStr">
        <is>
          <t>Achal (Delegated for Udayan)</t>
        </is>
      </c>
      <c r="D26" t="inlineStr">
        <is>
          <t>Miss Sophie Murray</t>
        </is>
      </c>
      <c r="E26" s="2" t="n">
        <v>45716.0</v>
      </c>
      <c r="F26" t="n">
        <v>30.0</v>
      </c>
      <c r="G26" s="3" t="n">
        <f>IFERROR(SUMPRODUCT((RENT_DUE!$B$2:$B$1000="LEASE-BH-F27-2025")*(RENT_DUE!$D$2:$D$1000&gt;=DATE(2025,3,22))*(RENT_DUE!$D$2:$D$1000&lt;=DATE(2025,4,21))*RENT_DUE!$L$2:$L$1000), 0)</f>
        <v>0.0</v>
      </c>
      <c r="H26" s="3" t="n">
        <f>IFERROR(SUMPRODUCT((RENT_RECEIVED!$B$2:$B$1000="LEASE-BH-F27-2025")*(RENT_RECEIVED!$E$2:$E$1000&gt;=DATE(2025,3,22))*(RENT_RECEIVED!$E$2:$E$1000&lt;=DATE(2025,4,21))*RENT_RECEIVED!$O$2:$O$1000), 0)</f>
        <v>0.0</v>
      </c>
      <c r="I26" t="inlineStr">
        <is>
          <t>HIST-2025-04-1532</t>
        </is>
      </c>
      <c r="J26" s="3" t="n">
        <f>IFERROR(SUMIFS(RENT_DUE!$L$2:$L$10000, RENT_DUE!$B$2:$B$10000, "LEASE-BH-F27-2025", RENT_DUE!$D$2:$D$10000, "&lt;"&amp;DATE(2025,3,22)), 0) - IFERROR(SUMIFS(RENT_RECEIVED!$O$2:$O$10000, RENT_RECEIVED!$B$2:$B$10000, "LEASE-BH-F27-2025", RENT_RECEIVED!$E$2:$E$10000, "&lt;"&amp;DATE(2025,3,22)), 0)</f>
        <v>0.0</v>
      </c>
      <c r="K26" s="3" t="n">
        <f>G26 - H26</f>
        <v>0.0</v>
      </c>
      <c r="L26" s="3" t="n">
        <f>J26 + K26</f>
        <v>0.0</v>
      </c>
      <c r="M26" s="3" t="n">
        <f>H26 * 0.1500</f>
        <v>0.0</v>
      </c>
      <c r="N26" s="3" t="n">
        <f>H26 * 0.0000</f>
        <v>0.0</v>
      </c>
      <c r="O26" s="3" t="n">
        <f>ABS(M26 + N26)</f>
        <v>0.0</v>
      </c>
      <c r="P26" t="inlineStr">
        <is>
          <t/>
        </is>
      </c>
      <c r="Q26" s="3" t="n">
        <f>SUMIFS(EXPENSES!E:E, EXPENSES!B:B, "LEASE-BH-F27-2025", EXPENSES!D:D, "&gt;="&amp;DATE(2025,3,22), EXPENSES!D:D, "&lt;="&amp;DATE(2025,4,21))</f>
        <v>0.0</v>
      </c>
      <c r="R26" t="inlineStr">
        <is>
          <t/>
        </is>
      </c>
      <c r="S26" s="3" t="n">
        <f>H26 - O26 - Q26</f>
        <v>0.0</v>
      </c>
      <c r="T26" t="inlineStr">
        <is>
          <t/>
        </is>
      </c>
      <c r="U26" t="inlineStr">
        <is>
          <t/>
        </is>
      </c>
      <c r="V26" t="inlineStr">
        <is>
          <t/>
        </is>
      </c>
      <c r="W26" t="inlineStr">
        <is>
          <t/>
        </is>
      </c>
      <c r="X26" t="inlineStr">
        <is>
          <t/>
        </is>
      </c>
      <c r="Y26" s="3" t="n">
        <v>5355.0</v>
      </c>
      <c r="Z26" s="3" t="n">
        <f>S26-Y26</f>
        <v>0.0</v>
      </c>
      <c r="AA26" t="inlineStr">
        <is>
          <t>PAID</t>
        </is>
      </c>
      <c r="AB26" t="inlineStr">
        <is>
          <t>MULTIPLE</t>
        </is>
      </c>
      <c r="AC26" s="2" t="n">
        <v>45982.0</v>
      </c>
    </row>
    <row r="27">
      <c r="A27" t="inlineStr">
        <is>
          <t>LEASE-BH-F28-2025</t>
        </is>
      </c>
      <c r="B27" t="inlineStr">
        <is>
          <t>Flat 28 - 3 West Gate</t>
        </is>
      </c>
      <c r="C27" t="inlineStr">
        <is>
          <t>Achal (Delegated for Udayan)</t>
        </is>
      </c>
      <c r="D27" t="inlineStr">
        <is>
          <t>Ms Shiu Lun Cheung, Mr Chi Man Poon</t>
        </is>
      </c>
      <c r="E27" s="2" t="n">
        <v>45744.0</v>
      </c>
      <c r="F27" t="n">
        <v>18.0</v>
      </c>
      <c r="G27" s="3" t="n">
        <f>IFERROR(SUMPRODUCT((RENT_DUE!$B$2:$B$1000="LEASE-BH-F28-2025")*(RENT_DUE!$D$2:$D$1000&gt;=DATE(2025,3,22))*(RENT_DUE!$D$2:$D$1000&lt;=DATE(2025,4,21))*RENT_DUE!$L$2:$L$1000), 0)</f>
        <v>0.0</v>
      </c>
      <c r="H27" s="3" t="n">
        <f>IFERROR(SUMPRODUCT((RENT_RECEIVED!$B$2:$B$1000="LEASE-BH-F28-2025")*(RENT_RECEIVED!$E$2:$E$1000&gt;=DATE(2025,3,22))*(RENT_RECEIVED!$E$2:$E$1000&lt;=DATE(2025,4,21))*RENT_RECEIVED!$O$2:$O$1000), 0)</f>
        <v>0.0</v>
      </c>
      <c r="I27" t="inlineStr">
        <is>
          <t>HIST-2025-04-1532</t>
        </is>
      </c>
      <c r="J27" s="3" t="n">
        <f>IFERROR(SUMIFS(RENT_DUE!$L$2:$L$10000, RENT_DUE!$B$2:$B$10000, "LEASE-BH-F28-2025", RENT_DUE!$D$2:$D$10000, "&lt;"&amp;DATE(2025,3,22)), 0) - IFERROR(SUMIFS(RENT_RECEIVED!$O$2:$O$10000, RENT_RECEIVED!$B$2:$B$10000, "LEASE-BH-F28-2025", RENT_RECEIVED!$E$2:$E$10000, "&lt;"&amp;DATE(2025,3,22)), 0)</f>
        <v>0.0</v>
      </c>
      <c r="K27" s="3" t="n">
        <f>G27 - H27</f>
        <v>0.0</v>
      </c>
      <c r="L27" s="3" t="n">
        <f>J27 + K27</f>
        <v>0.0</v>
      </c>
      <c r="M27" s="3" t="n">
        <f>H27 * 0.1500</f>
        <v>0.0</v>
      </c>
      <c r="N27" s="3" t="n">
        <f>H27 * 0.0000</f>
        <v>0.0</v>
      </c>
      <c r="O27" s="3" t="n">
        <f>ABS(M27 + N27)</f>
        <v>0.0</v>
      </c>
      <c r="P27" t="inlineStr">
        <is>
          <t/>
        </is>
      </c>
      <c r="Q27" s="3" t="n">
        <f>SUMIFS(EXPENSES!E:E, EXPENSES!B:B, "LEASE-BH-F28-2025", EXPENSES!D:D, "&gt;="&amp;DATE(2025,3,22), EXPENSES!D:D, "&lt;="&amp;DATE(2025,4,21))</f>
        <v>0.0</v>
      </c>
      <c r="R27" t="inlineStr">
        <is>
          <t/>
        </is>
      </c>
      <c r="S27" s="3" t="n">
        <f>H27 - O27 - Q27</f>
        <v>0.0</v>
      </c>
      <c r="T27" t="inlineStr">
        <is>
          <t/>
        </is>
      </c>
      <c r="U27" t="inlineStr">
        <is>
          <t/>
        </is>
      </c>
      <c r="V27" t="inlineStr">
        <is>
          <t/>
        </is>
      </c>
      <c r="W27" t="inlineStr">
        <is>
          <t/>
        </is>
      </c>
      <c r="X27" t="inlineStr">
        <is>
          <t/>
        </is>
      </c>
      <c r="Y27" s="3" t="n">
        <v>0.0</v>
      </c>
      <c r="Z27" s="3" t="n">
        <f>S27-Y27</f>
        <v>0.0</v>
      </c>
      <c r="AA27" t="inlineStr">
        <is>
          <t>PAID</t>
        </is>
      </c>
      <c r="AB27" t="inlineStr">
        <is>
          <t>HIST-2025-10-1650</t>
        </is>
      </c>
      <c r="AC27" s="2" t="n">
        <v>45951.0</v>
      </c>
    </row>
    <row r="28">
      <c r="A28" t="inlineStr">
        <is>
          <t>LEASE-BH-F29-2025</t>
        </is>
      </c>
      <c r="B28" t="inlineStr">
        <is>
          <t>Flat 29 - 3 West Gate</t>
        </is>
      </c>
      <c r="C28" t="inlineStr">
        <is>
          <t>Achal (Delegated for Udayan)</t>
        </is>
      </c>
      <c r="D28" t="inlineStr">
        <is>
          <t>Mrs Margaret Fritchley</t>
        </is>
      </c>
      <c r="E28" s="2" t="n">
        <v>45715.0</v>
      </c>
      <c r="F28" t="n">
        <v>27.0</v>
      </c>
      <c r="G28" s="3" t="n">
        <f>IFERROR(SUMPRODUCT((RENT_DUE!$B$2:$B$1000="LEASE-BH-F29-2025")*(RENT_DUE!$D$2:$D$1000&gt;=DATE(2025,3,22))*(RENT_DUE!$D$2:$D$1000&lt;=DATE(2025,4,21))*RENT_DUE!$L$2:$L$1000), 0)</f>
        <v>0.0</v>
      </c>
      <c r="H28" s="3" t="n">
        <f>IFERROR(SUMPRODUCT((RENT_RECEIVED!$B$2:$B$1000="LEASE-BH-F29-2025")*(RENT_RECEIVED!$E$2:$E$1000&gt;=DATE(2025,3,22))*(RENT_RECEIVED!$E$2:$E$1000&lt;=DATE(2025,4,21))*RENT_RECEIVED!$O$2:$O$1000), 0)</f>
        <v>0.0</v>
      </c>
      <c r="I28" t="inlineStr">
        <is>
          <t>HIST-2025-04-1532</t>
        </is>
      </c>
      <c r="J28" s="3" t="n">
        <f>IFERROR(SUMIFS(RENT_DUE!$L$2:$L$10000, RENT_DUE!$B$2:$B$10000, "LEASE-BH-F29-2025", RENT_DUE!$D$2:$D$10000, "&lt;"&amp;DATE(2025,3,22)), 0) - IFERROR(SUMIFS(RENT_RECEIVED!$O$2:$O$10000, RENT_RECEIVED!$B$2:$B$10000, "LEASE-BH-F29-2025", RENT_RECEIVED!$E$2:$E$10000, "&lt;"&amp;DATE(2025,3,22)), 0)</f>
        <v>0.0</v>
      </c>
      <c r="K28" s="3" t="n">
        <f>G28 - H28</f>
        <v>0.0</v>
      </c>
      <c r="L28" s="3" t="n">
        <f>J28 + K28</f>
        <v>0.0</v>
      </c>
      <c r="M28" s="3" t="n">
        <f>H28 * 0.1500</f>
        <v>0.0</v>
      </c>
      <c r="N28" s="3" t="n">
        <f>H28 * 0.0000</f>
        <v>0.0</v>
      </c>
      <c r="O28" s="3" t="n">
        <f>ABS(M28 + N28)</f>
        <v>0.0</v>
      </c>
      <c r="P28" t="inlineStr">
        <is>
          <t/>
        </is>
      </c>
      <c r="Q28" s="3" t="n">
        <f>SUMIFS(EXPENSES!E:E, EXPENSES!B:B, "LEASE-BH-F29-2025", EXPENSES!D:D, "&gt;="&amp;DATE(2025,3,22), EXPENSES!D:D, "&lt;="&amp;DATE(2025,4,21))</f>
        <v>0.0</v>
      </c>
      <c r="R28" t="inlineStr">
        <is>
          <t/>
        </is>
      </c>
      <c r="S28" s="3" t="n">
        <f>H28 - O28 - Q28</f>
        <v>0.0</v>
      </c>
      <c r="T28" t="inlineStr">
        <is>
          <t/>
        </is>
      </c>
      <c r="U28" t="inlineStr">
        <is>
          <t/>
        </is>
      </c>
      <c r="V28" t="inlineStr">
        <is>
          <t/>
        </is>
      </c>
      <c r="W28" t="inlineStr">
        <is>
          <t/>
        </is>
      </c>
      <c r="X28" t="inlineStr">
        <is>
          <t/>
        </is>
      </c>
      <c r="Y28" s="3" t="n">
        <v>5541.0</v>
      </c>
      <c r="Z28" s="3" t="n">
        <f>S28-Y28</f>
        <v>0.0</v>
      </c>
      <c r="AA28" t="inlineStr">
        <is>
          <t>PAID</t>
        </is>
      </c>
      <c r="AB28" t="inlineStr">
        <is>
          <t>MULTIPLE</t>
        </is>
      </c>
      <c r="AC28" s="2" t="n">
        <v>45982.0</v>
      </c>
    </row>
    <row r="29">
      <c r="A29" t="inlineStr">
        <is>
          <t>LEASE-BH-F30-2025</t>
        </is>
      </c>
      <c r="B29" t="inlineStr">
        <is>
          <t>Flat 30 - 3 West Gate</t>
        </is>
      </c>
      <c r="C29" t="inlineStr">
        <is>
          <t>Achal (Delegated for Udayan)</t>
        </is>
      </c>
      <c r="D29" t="inlineStr">
        <is>
          <t>Mr Joel Bryan</t>
        </is>
      </c>
      <c r="E29" s="2" t="n">
        <v>45722.0</v>
      </c>
      <c r="F29" t="n">
        <v>6.0</v>
      </c>
      <c r="G29" s="3" t="n">
        <f>IFERROR(SUMPRODUCT((RENT_DUE!$B$2:$B$1000="LEASE-BH-F30-2025")*(RENT_DUE!$D$2:$D$1000&gt;=DATE(2025,3,22))*(RENT_DUE!$D$2:$D$1000&lt;=DATE(2025,4,21))*RENT_DUE!$L$2:$L$1000), 0)</f>
        <v>0.0</v>
      </c>
      <c r="H29" s="3" t="n">
        <f>IFERROR(SUMPRODUCT((RENT_RECEIVED!$B$2:$B$1000="LEASE-BH-F30-2025")*(RENT_RECEIVED!$E$2:$E$1000&gt;=DATE(2025,3,22))*(RENT_RECEIVED!$E$2:$E$1000&lt;=DATE(2025,4,21))*RENT_RECEIVED!$O$2:$O$1000), 0)</f>
        <v>0.0</v>
      </c>
      <c r="I29" t="inlineStr">
        <is>
          <t>HIST-2025-04-1532</t>
        </is>
      </c>
      <c r="J29" s="3" t="n">
        <f>IFERROR(SUMIFS(RENT_DUE!$L$2:$L$10000, RENT_DUE!$B$2:$B$10000, "LEASE-BH-F30-2025", RENT_DUE!$D$2:$D$10000, "&lt;"&amp;DATE(2025,3,22)), 0) - IFERROR(SUMIFS(RENT_RECEIVED!$O$2:$O$10000, RENT_RECEIVED!$B$2:$B$10000, "LEASE-BH-F30-2025", RENT_RECEIVED!$E$2:$E$10000, "&lt;"&amp;DATE(2025,3,22)), 0)</f>
        <v>0.0</v>
      </c>
      <c r="K29" s="3" t="n">
        <f>G29 - H29</f>
        <v>0.0</v>
      </c>
      <c r="L29" s="3" t="n">
        <f>J29 + K29</f>
        <v>0.0</v>
      </c>
      <c r="M29" s="3" t="n">
        <f>H29 * 0.1500</f>
        <v>0.0</v>
      </c>
      <c r="N29" s="3" t="n">
        <f>H29 * 0.0000</f>
        <v>0.0</v>
      </c>
      <c r="O29" s="3" t="n">
        <f>ABS(M29 + N29)</f>
        <v>0.0</v>
      </c>
      <c r="P29" t="inlineStr">
        <is>
          <t/>
        </is>
      </c>
      <c r="Q29" s="3" t="n">
        <f>SUMIFS(EXPENSES!E:E, EXPENSES!B:B, "LEASE-BH-F30-2025", EXPENSES!D:D, "&gt;="&amp;DATE(2025,3,22), EXPENSES!D:D, "&lt;="&amp;DATE(2025,4,21))</f>
        <v>0.0</v>
      </c>
      <c r="R29" t="inlineStr">
        <is>
          <t/>
        </is>
      </c>
      <c r="S29" s="3" t="n">
        <f>H29 - O29 - Q29</f>
        <v>0.0</v>
      </c>
      <c r="T29" t="inlineStr">
        <is>
          <t/>
        </is>
      </c>
      <c r="U29" t="inlineStr">
        <is>
          <t/>
        </is>
      </c>
      <c r="V29" t="inlineStr">
        <is>
          <t/>
        </is>
      </c>
      <c r="W29" t="inlineStr">
        <is>
          <t/>
        </is>
      </c>
      <c r="X29" t="inlineStr">
        <is>
          <t/>
        </is>
      </c>
      <c r="Y29" s="3" t="n">
        <v>5032.0</v>
      </c>
      <c r="Z29" s="3" t="n">
        <f>S29-Y29</f>
        <v>0.0</v>
      </c>
      <c r="AA29" t="inlineStr">
        <is>
          <t>PAID</t>
        </is>
      </c>
      <c r="AB29" t="inlineStr">
        <is>
          <t>MULTIPLE</t>
        </is>
      </c>
      <c r="AC29" s="2" t="n">
        <v>45992.0</v>
      </c>
    </row>
    <row r="30">
      <c r="A30" t="inlineStr">
        <is>
          <t>LEASE-KH-F-2024</t>
        </is>
      </c>
      <c r="B30" t="inlineStr">
        <is>
          <t>Apartment F - Knighton Hayes Manor</t>
        </is>
      </c>
      <c r="C30" t="inlineStr">
        <is>
          <t>Achal (Delegated for Udayan)</t>
        </is>
      </c>
      <c r="D30" t="inlineStr">
        <is>
          <t>Mr Riaz Hamid, Ismat Tarr-Hamid</t>
        </is>
      </c>
      <c r="E30" s="2" t="n">
        <v>45648.0</v>
      </c>
      <c r="F30" t="n">
        <v>22.0</v>
      </c>
      <c r="G30" s="3" t="n">
        <f>IFERROR(SUMPRODUCT((RENT_DUE!$B$2:$B$1000="LEASE-KH-F-2024")*(RENT_DUE!$D$2:$D$1000&gt;=DATE(2025,3,22))*(RENT_DUE!$D$2:$D$1000&lt;=DATE(2025,4,21))*RENT_DUE!$L$2:$L$1000), 0)</f>
        <v>0.0</v>
      </c>
      <c r="H30" s="3" t="n">
        <f>IFERROR(SUMPRODUCT((RENT_RECEIVED!$B$2:$B$1000="LEASE-KH-F-2024")*(RENT_RECEIVED!$E$2:$E$1000&gt;=DATE(2025,3,22))*(RENT_RECEIVED!$E$2:$E$1000&lt;=DATE(2025,4,21))*RENT_RECEIVED!$O$2:$O$1000), 0)</f>
        <v>0.0</v>
      </c>
      <c r="I30" t="inlineStr">
        <is>
          <t>HIST-2025-04-1532</t>
        </is>
      </c>
      <c r="J30" s="3" t="n">
        <f>IFERROR(SUMIFS(RENT_DUE!$L$2:$L$10000, RENT_DUE!$B$2:$B$10000, "LEASE-KH-F-2024", RENT_DUE!$D$2:$D$10000, "&lt;"&amp;DATE(2025,3,22)), 0) - IFERROR(SUMIFS(RENT_RECEIVED!$O$2:$O$10000, RENT_RECEIVED!$B$2:$B$10000, "LEASE-KH-F-2024", RENT_RECEIVED!$E$2:$E$10000, "&lt;"&amp;DATE(2025,3,22)), 0)</f>
        <v>0.0</v>
      </c>
      <c r="K30" s="3" t="n">
        <f>G30 - H30</f>
        <v>0.0</v>
      </c>
      <c r="L30" s="3" t="n">
        <f>J30 + K30</f>
        <v>0.0</v>
      </c>
      <c r="M30" s="3" t="n">
        <f>H30 * 0.1000</f>
        <v>0.0</v>
      </c>
      <c r="N30" s="3" t="n">
        <f>H30 * 0.0000</f>
        <v>0.0</v>
      </c>
      <c r="O30" s="3" t="n">
        <f>ABS(M30 + N30)</f>
        <v>0.0</v>
      </c>
      <c r="P30" t="inlineStr">
        <is>
          <t/>
        </is>
      </c>
      <c r="Q30" s="3" t="n">
        <f>SUMIFS(EXPENSES!E:E, EXPENSES!B:B, "LEASE-KH-F-2024", EXPENSES!D:D, "&gt;="&amp;DATE(2025,3,22), EXPENSES!D:D, "&lt;="&amp;DATE(2025,4,21))</f>
        <v>0.0</v>
      </c>
      <c r="R30" t="inlineStr">
        <is>
          <t/>
        </is>
      </c>
      <c r="S30" s="3" t="n">
        <f>H30 - O30 - Q30</f>
        <v>0.0</v>
      </c>
      <c r="T30" t="inlineStr">
        <is>
          <t/>
        </is>
      </c>
      <c r="U30" t="inlineStr">
        <is>
          <t/>
        </is>
      </c>
      <c r="V30" t="inlineStr">
        <is>
          <t/>
        </is>
      </c>
      <c r="W30" t="inlineStr">
        <is>
          <t/>
        </is>
      </c>
      <c r="X30" t="inlineStr">
        <is>
          <t/>
        </is>
      </c>
      <c r="Y30" s="3" t="n">
        <v>12150.0</v>
      </c>
      <c r="Z30" s="3" t="n">
        <f>S30-Y30</f>
        <v>0.0</v>
      </c>
      <c r="AA30" t="inlineStr">
        <is>
          <t>PAID</t>
        </is>
      </c>
      <c r="AB30" t="inlineStr">
        <is>
          <t>MULTIPLE</t>
        </is>
      </c>
      <c r="AC30" s="2" t="n">
        <v>45982.0</v>
      </c>
    </row>
    <row r="31">
      <c r="A31" t="inlineStr">
        <is>
          <t>BODEN-BLOCK-2025</t>
        </is>
      </c>
      <c r="B31" t="inlineStr">
        <is>
          <t>Boden House Block - Block Property</t>
        </is>
      </c>
      <c r="C31" t="inlineStr">
        <is>
          <t>Achal (Delegated for Udayan)</t>
        </is>
      </c>
      <c r="D31" t="inlineStr">
        <is>
          <t>Prestvale Properties Limited</t>
        </is>
      </c>
      <c r="E31" s="2" t="n">
        <v>45717.0</v>
      </c>
      <c r="F31" t="n">
        <v>1.0</v>
      </c>
      <c r="G31" s="3" t="n">
        <f>IFERROR(SUMPRODUCT((RENT_DUE!$B$2:$B$1000="BODEN-BLOCK-2025")*(RENT_DUE!$D$2:$D$1000&gt;=DATE(2025,3,22))*(RENT_DUE!$D$2:$D$1000&lt;=DATE(2025,4,21))*RENT_DUE!$L$2:$L$1000), 0)</f>
        <v>0.0</v>
      </c>
      <c r="H31" s="3" t="n">
        <f>IFERROR(SUMPRODUCT((RENT_RECEIVED!$B$2:$B$1000="BODEN-BLOCK-2025")*(RENT_RECEIVED!$E$2:$E$1000&gt;=DATE(2025,3,22))*(RENT_RECEIVED!$E$2:$E$1000&lt;=DATE(2025,4,21))*RENT_RECEIVED!$O$2:$O$1000), 0)</f>
        <v>0.0</v>
      </c>
      <c r="I31" t="inlineStr">
        <is>
          <t/>
        </is>
      </c>
      <c r="J31" s="3" t="n">
        <f>IFERROR(SUMIFS(RENT_DUE!$L$2:$L$10000, RENT_DUE!$B$2:$B$10000, "BODEN-BLOCK-2025", RENT_DUE!$D$2:$D$10000, "&lt;"&amp;DATE(2025,3,22)), 0) - IFERROR(SUMIFS(RENT_RECEIVED!$O$2:$O$10000, RENT_RECEIVED!$B$2:$B$10000, "BODEN-BLOCK-2025", RENT_RECEIVED!$E$2:$E$10000, "&lt;"&amp;DATE(2025,3,22)), 0)</f>
        <v>0.0</v>
      </c>
      <c r="K31" s="3" t="n">
        <f>G31 - H31</f>
        <v>0.0</v>
      </c>
      <c r="L31" s="3" t="n">
        <f>J31 + K31</f>
        <v>0.0</v>
      </c>
      <c r="M31" s="3" t="n">
        <f>H31 * 0.0000</f>
        <v>0.0</v>
      </c>
      <c r="N31" s="3" t="n">
        <f>H31 * 0.0500</f>
        <v>0.0</v>
      </c>
      <c r="O31" s="3" t="n">
        <f>ABS(M31 + N31)</f>
        <v>0.0</v>
      </c>
      <c r="P31" t="inlineStr">
        <is>
          <t/>
        </is>
      </c>
      <c r="Q31" s="3" t="n">
        <f>SUMIFS(EXPENSES!E:E, EXPENSES!B:B, "BODEN-BLOCK-2025", EXPENSES!D:D, "&gt;="&amp;DATE(2025,3,22), EXPENSES!D:D, "&lt;="&amp;DATE(2025,4,21))</f>
        <v>0.0</v>
      </c>
      <c r="R31" t="inlineStr">
        <is>
          <t>HIST-2025-04-1533</t>
        </is>
      </c>
      <c r="S31" s="3" t="n">
        <f>H31 - O31 - Q31</f>
        <v>0.0</v>
      </c>
      <c r="T31" t="inlineStr">
        <is>
          <t>Boden House NG10</t>
        </is>
      </c>
      <c r="U31" s="3" t="n">
        <f>IFERROR(SUMIFS(PROPERTY_ACCOUNT!D:D, PROPERTY_ACCOUNT!A:A, T31, PROPERTY_ACCOUNT!B:B, "opening"), 0)</f>
        <v>0.0</v>
      </c>
      <c r="V31" s="3" t="n">
        <f>IFERROR(SUMIFS(PROPERTY_ACCOUNT!D:D, PROPERTY_ACCOUNT!A:A, T31, PROPERTY_ACCOUNT!B:B, "in"), 0)</f>
        <v>0.0</v>
      </c>
      <c r="W31" s="3" t="n">
        <f>IFERROR(SUMIFS(PROPERTY_ACCOUNT!D:D, PROPERTY_ACCOUNT!A:A, T31, PROPERTY_ACCOUNT!B:B, "out"), 0)</f>
        <v>0.0</v>
      </c>
      <c r="X31" s="3" t="n">
        <f>U31 + V31 - W31</f>
        <v>0.0</v>
      </c>
      <c r="Y31" s="3" t="n">
        <v>0.0</v>
      </c>
      <c r="Z31" s="3" t="n">
        <f>S31-Y31</f>
        <v>0.0</v>
      </c>
      <c r="AA31" t="inlineStr">
        <is>
          <t>PAID</t>
        </is>
      </c>
      <c r="AB31" t="inlineStr">
        <is>
          <t>MULTIPLE</t>
        </is>
      </c>
      <c r="AC31" s="2" t="n">
        <v>45993.0</v>
      </c>
    </row>
    <row r="32">
      <c r="A32" s="5" t="inlineStr">
        <is>
          <t>TOTALS</t>
        </is>
      </c>
      <c r="G32" s="6" t="n">
        <f>SUM(G2:G31)</f>
        <v>0.0</v>
      </c>
      <c r="H32" s="6" t="n">
        <f>SUM(H2:H31)</f>
        <v>0.0</v>
      </c>
      <c r="I32" t="inlineStr">
        <is>
          <t/>
        </is>
      </c>
      <c r="J32" s="6" t="n">
        <f>SUM(J2:J31)</f>
        <v>0.0</v>
      </c>
      <c r="K32" s="6" t="n">
        <f>SUM(K2:K31)</f>
        <v>0.0</v>
      </c>
      <c r="L32" s="6" t="n">
        <f>SUM(L2:L31)</f>
        <v>0.0</v>
      </c>
      <c r="M32" s="6" t="n">
        <f>SUM(M2:M31)</f>
        <v>0.0</v>
      </c>
      <c r="N32" s="6" t="n">
        <f>SUM(N2:N31)</f>
        <v>0.0</v>
      </c>
      <c r="O32" s="6" t="n">
        <f>SUM(O2:O31)</f>
        <v>0.0</v>
      </c>
      <c r="P32" t="inlineStr">
        <is>
          <t/>
        </is>
      </c>
      <c r="Q32" s="6" t="n">
        <f>SUM(Q2:Q31)</f>
        <v>0.0</v>
      </c>
      <c r="R32" t="inlineStr">
        <is>
          <t/>
        </is>
      </c>
      <c r="S32" s="6" t="n">
        <f>SUM(S2:S31)</f>
        <v>0.0</v>
      </c>
      <c r="T32" t="inlineStr">
        <is>
          <t/>
        </is>
      </c>
      <c r="U32" s="6" t="n">
        <f>SUM(U2:U31)</f>
        <v>0.0</v>
      </c>
      <c r="V32" s="6" t="n">
        <f>SUM(V2:V31)</f>
        <v>0.0</v>
      </c>
      <c r="W32" s="6" t="n">
        <f>SUM(W2:W31)</f>
        <v>0.0</v>
      </c>
      <c r="X32" s="6" t="n">
        <f>SUM(X2:X31)</f>
        <v>0.0</v>
      </c>
    </row>
    <row r="34">
      <c r="A34" s="5" t="inlineStr">
        <is>
          <t>PAYMENT RECONCILIATION</t>
        </is>
      </c>
    </row>
    <row r="35">
      <c r="A35" t="inlineStr">
        <is>
          <t>Period: 2025-03-22 to 2025-04-21</t>
        </is>
      </c>
    </row>
    <row r="37">
      <c r="A37" s="5" t="inlineStr">
        <is>
          <t>BROUGHT FORWARD (items from prior periods paid this period)</t>
        </is>
      </c>
    </row>
    <row r="38">
      <c r="A38" t="inlineStr">
        <is>
          <t xml:space="preserve">  Prior Period Income:</t>
        </is>
      </c>
    </row>
    <row r="39">
      <c r="A39" t="inlineStr">
        <is>
          <t xml:space="preserve">    2025-02-19 | Flat 15 - 3 West Gate | rent</t>
        </is>
      </c>
      <c r="B39" s="3" t="n">
        <v>230.5</v>
      </c>
    </row>
    <row r="40">
      <c r="A40" t="inlineStr">
        <is>
          <t xml:space="preserve">    2025-02-20 | Flat 17 - 3 West Gate | rent</t>
        </is>
      </c>
      <c r="B40" s="3" t="n">
        <v>595.0</v>
      </c>
    </row>
    <row r="41">
      <c r="A41" t="inlineStr">
        <is>
          <t xml:space="preserve">    2025-02-20 | Flat 24 - 3 West Gate | rent</t>
        </is>
      </c>
      <c r="B41" s="3" t="n">
        <v>688.5</v>
      </c>
    </row>
    <row r="42">
      <c r="A42" t="inlineStr">
        <is>
          <t xml:space="preserve">    2025-02-24 | Apartment F - Knighton Hayes Manor | rent</t>
        </is>
      </c>
      <c r="B42" s="3" t="n">
        <v>1012.5</v>
      </c>
    </row>
    <row r="43">
      <c r="A43" t="inlineStr">
        <is>
          <t xml:space="preserve">    2025-02-28 | Flat 22 - 3 West Gate | rent</t>
        </is>
      </c>
      <c r="B43" s="3" t="n">
        <v>629.0</v>
      </c>
    </row>
    <row r="44">
      <c r="A44" t="inlineStr">
        <is>
          <t xml:space="preserve">    2025-02-28 | Flat 26 - 3 West Gate | rent</t>
        </is>
      </c>
      <c r="B44" s="3" t="n">
        <v>573.75</v>
      </c>
    </row>
    <row r="45">
      <c r="A45" t="inlineStr">
        <is>
          <t xml:space="preserve">    2025-03-02 | Flat 11 - 3 West Gate | rent</t>
        </is>
      </c>
      <c r="B45" s="3" t="n">
        <v>675.75</v>
      </c>
    </row>
    <row r="46">
      <c r="A46" t="inlineStr">
        <is>
          <t xml:space="preserve">    2025-03-03 | Flat 19 - 3 West Gate | rent</t>
        </is>
      </c>
      <c r="B46" s="3" t="n">
        <v>629.0</v>
      </c>
    </row>
    <row r="47">
      <c r="A47" t="inlineStr">
        <is>
          <t xml:space="preserve">    2025-03-03 | Flat 2 - 3 West Gate | rent</t>
        </is>
      </c>
      <c r="B47" s="3" t="n">
        <v>629.0</v>
      </c>
    </row>
    <row r="48">
      <c r="A48" t="inlineStr">
        <is>
          <t xml:space="preserve">    2025-03-03 | Flat 27 - 3 West Gate | rent</t>
        </is>
      </c>
      <c r="B48" s="3" t="n">
        <v>595.0</v>
      </c>
    </row>
    <row r="49">
      <c r="A49" t="inlineStr">
        <is>
          <t xml:space="preserve">    2025-03-03 | Flat 29 - 3 West Gate | rent</t>
        </is>
      </c>
      <c r="B49" s="3" t="n">
        <v>629.0</v>
      </c>
    </row>
    <row r="50">
      <c r="A50" t="inlineStr">
        <is>
          <t xml:space="preserve">    2025-03-03 | Flat 4 - 3 West Gate | rent</t>
        </is>
      </c>
      <c r="B50" s="3" t="n">
        <v>726.75</v>
      </c>
    </row>
    <row r="51">
      <c r="A51" t="inlineStr">
        <is>
          <t xml:space="preserve">    2025-03-03 | Flat 9 - 3 West Gate | rent</t>
        </is>
      </c>
      <c r="B51" s="3" t="n">
        <v>595.0</v>
      </c>
    </row>
    <row r="52">
      <c r="A52" t="inlineStr">
        <is>
          <t xml:space="preserve">    2025-03-04 | Flat 1 - 3 West Gate | rent</t>
        </is>
      </c>
      <c r="B52" s="3" t="n">
        <v>675.75</v>
      </c>
    </row>
    <row r="53">
      <c r="A53" t="inlineStr">
        <is>
          <t xml:space="preserve">    2025-03-04 | Flat 8 - 3 West Gate | rent</t>
        </is>
      </c>
      <c r="B53" s="3" t="n">
        <v>573.75</v>
      </c>
    </row>
    <row r="54">
      <c r="A54" t="inlineStr">
        <is>
          <t xml:space="preserve">    2025-03-05 | Flat 10 - 3 West Gate | rent</t>
        </is>
      </c>
      <c r="B54" s="3" t="n">
        <v>624.75</v>
      </c>
    </row>
    <row r="55">
      <c r="A55" t="inlineStr">
        <is>
          <t xml:space="preserve">    2025-03-05 | Flat 20 - 3 West Gate | rent</t>
        </is>
      </c>
      <c r="B55" s="3" t="n">
        <v>595.0</v>
      </c>
    </row>
    <row r="56">
      <c r="A56" t="inlineStr">
        <is>
          <t xml:space="preserve">    2025-03-06 | Flat 13 - 3 West Gate | rent</t>
        </is>
      </c>
      <c r="B56" s="3" t="n">
        <v>680.0</v>
      </c>
    </row>
    <row r="57">
      <c r="A57" t="inlineStr">
        <is>
          <t xml:space="preserve">    2025-03-10 | Flat 30 - 3 West Gate | rent</t>
        </is>
      </c>
      <c r="B57" s="3" t="n">
        <v>629.0</v>
      </c>
    </row>
    <row r="58">
      <c r="A58" t="inlineStr">
        <is>
          <t xml:space="preserve">    2025-03-12 | Flat 16 - 3 West Gate | rent</t>
        </is>
      </c>
      <c r="B58" s="3" t="n">
        <v>629.0</v>
      </c>
    </row>
    <row r="59">
      <c r="A59" t="inlineStr">
        <is>
          <t xml:space="preserve">    2025-03-14 | Flat 3 - 3 West Gate | rent</t>
        </is>
      </c>
      <c r="B59" s="3" t="n">
        <v>629.0</v>
      </c>
    </row>
    <row r="60">
      <c r="A60" t="inlineStr">
        <is>
          <t xml:space="preserve">    2025-03-15 | Flat 18 - 3 West Gate | rent</t>
        </is>
      </c>
      <c r="B60" s="3" t="n">
        <v>629.0</v>
      </c>
    </row>
    <row r="61">
      <c r="A61" t="inlineStr">
        <is>
          <t xml:space="preserve">    2025-03-15 | Flat 21 - 3 West Gate | rent</t>
        </is>
      </c>
      <c r="B61" s="3" t="n">
        <v>675.75</v>
      </c>
    </row>
    <row r="62">
      <c r="A62" t="inlineStr">
        <is>
          <t xml:space="preserve">    2025-03-15 | Flat 24 - 3 West Gate | rent</t>
        </is>
      </c>
      <c r="B62" s="3" t="n">
        <v>688.5</v>
      </c>
    </row>
    <row r="63">
      <c r="A63" t="inlineStr">
        <is>
          <t xml:space="preserve">    2025-03-17 | Flat 5 - 3 West Gate | rent</t>
        </is>
      </c>
      <c r="B63" s="3" t="n">
        <v>629.0</v>
      </c>
    </row>
    <row r="64">
      <c r="A64" t="inlineStr">
        <is>
          <t xml:space="preserve">    2025-03-19 | Flat 15 - 3 West Gate | rent</t>
        </is>
      </c>
      <c r="B64" s="3" t="n">
        <v>629.0</v>
      </c>
    </row>
    <row r="65">
      <c r="A65" t="inlineStr">
        <is>
          <t xml:space="preserve">    2025-03-19 | Flat 7 - 3 West Gate | rent</t>
        </is>
      </c>
      <c r="B65" s="3" t="n">
        <v>595.0</v>
      </c>
    </row>
    <row r="66">
      <c r="A66" t="inlineStr">
        <is>
          <t xml:space="preserve">    2025-03-20 | Flat 17 - 3 West Gate | rent</t>
        </is>
      </c>
      <c r="B66" s="3" t="n">
        <v>595.0</v>
      </c>
    </row>
    <row r="67">
      <c r="A67" t="inlineStr">
        <is>
          <t xml:space="preserve">    2025-02-24 | Apartment F - Knighton Hayes Manor | rent</t>
        </is>
      </c>
      <c r="B67" s="3" t="n">
        <v>1012.5</v>
      </c>
    </row>
    <row r="68">
      <c r="A68" s="5" t="inlineStr">
        <is>
          <t xml:space="preserve">  Prior Period Income Total (29 items):</t>
        </is>
      </c>
      <c r="B68" s="6" t="n">
        <v>18698.75</v>
      </c>
    </row>
    <row r="69">
      <c r="A69" t="inlineStr">
        <is>
          <t xml:space="preserve">  Prior Period Expenses: None</t>
        </is>
      </c>
    </row>
    <row r="70">
      <c r="A70" s="5" t="inlineStr">
        <is>
          <t xml:space="preserve">  NET B/F (Income - Expenses):</t>
        </is>
      </c>
      <c r="B70" s="6" t="n">
        <v>18698.75</v>
      </c>
    </row>
    <row r="72">
      <c r="A72" s="5" t="inlineStr">
        <is>
          <t>THIS PERIOD ACTIVITY (see transactions above for details)</t>
        </is>
      </c>
    </row>
    <row r="73">
      <c r="A73" t="inlineStr">
        <is>
          <t xml:space="preserve">  Period Income (2 transactions)</t>
        </is>
      </c>
      <c r="B73" s="3" t="n">
        <v>846.5</v>
      </c>
    </row>
    <row r="74">
      <c r="A74" t="inlineStr">
        <is>
          <t xml:space="preserve">  Period Expenses (2 transactions)</t>
        </is>
      </c>
      <c r="B74" s="3" t="n">
        <v>288.38</v>
      </c>
    </row>
    <row r="75">
      <c r="A75" s="5" t="inlineStr">
        <is>
          <t xml:space="preserve">  Net Activity (Income - Expenses):</t>
        </is>
      </c>
      <c r="B75" s="6" t="n">
        <v>558.12</v>
      </c>
    </row>
    <row r="77">
      <c r="A77" s="5" t="inlineStr">
        <is>
          <t>PAYMENTS MADE THIS PERIOD</t>
        </is>
      </c>
    </row>
    <row r="78">
      <c r="A78" t="inlineStr">
        <is>
          <t xml:space="preserve">  HIST-2025-03-1501 (2025-03-23)</t>
        </is>
      </c>
      <c r="B78" s="6" t="n">
        <v>14606.25</v>
      </c>
    </row>
    <row r="79">
      <c r="A79" t="inlineStr">
        <is>
          <t xml:space="preserve">    Covers: 28 income (£17686.25) = £17686.25</t>
        </is>
      </c>
    </row>
    <row r="80">
      <c r="A80" t="inlineStr">
        <is>
          <t xml:space="preserve">  HIST-2025-03-1502 (2025-03-25)</t>
        </is>
      </c>
      <c r="B80" s="6" t="n">
        <v>1012.5</v>
      </c>
    </row>
    <row r="81">
      <c r="A81" t="inlineStr">
        <is>
          <t xml:space="preserve">    Covers: 1 income (£1012.50) = £1012.50</t>
        </is>
      </c>
    </row>
    <row r="82">
      <c r="A82" t="inlineStr">
        <is>
          <t xml:space="preserve">  HIST-2025-04-1533 (2025-04-18)</t>
        </is>
      </c>
      <c r="B82" s="6" t="n">
        <v>558.12</v>
      </c>
    </row>
    <row r="83">
      <c r="A83" t="inlineStr">
        <is>
          <t xml:space="preserve">    Covers: 2 income (£846.50) - 2 expenses (£288.38) = £558.12</t>
        </is>
      </c>
    </row>
    <row r="84">
      <c r="A84" s="5" t="inlineStr">
        <is>
          <t xml:space="preserve">  Total Payments Made:</t>
        </is>
      </c>
      <c r="B84" s="6" t="n">
        <v>16176.87</v>
      </c>
    </row>
    <row r="85">
      <c r="A85" t="inlineStr">
        <is>
          <t xml:space="preserve">  (See PAYMENT_ALLOCATIONS sheet for full details)</t>
        </is>
      </c>
    </row>
    <row r="87">
      <c r="A87" s="5" t="inlineStr">
        <is>
          <t>SUMMARY</t>
        </is>
      </c>
    </row>
    <row r="88">
      <c r="A88" t="inlineStr">
        <is>
          <t xml:space="preserve">  Total Allocated (Income - Expenses):</t>
        </is>
      </c>
      <c r="B88" s="3" t="n">
        <v>19256.87</v>
      </c>
    </row>
    <row r="89">
      <c r="A89" t="inlineStr">
        <is>
          <t xml:space="preserve">  Total Payments Made:</t>
        </is>
      </c>
      <c r="B89" s="3" t="n">
        <v>16176.87</v>
      </c>
    </row>
    <row r="90">
      <c r="A90" t="inlineStr">
        <is>
          <t xml:space="preserve">  Unallocated Payment Amounts:</t>
        </is>
      </c>
      <c r="B90" s="3" t="n">
        <v>0.0</v>
      </c>
    </row>
    <row r="92">
      <c r="A92" t="inlineStr">
        <is>
          <t>Check: Allocated 19256.87 + Unallocated 0.00 = 19256.87 vs Payments 16176.87</t>
        </is>
      </c>
    </row>
    <row r="93">
      <c r="A93" t="inlineStr">
        <is>
          <t xml:space="preserve">  Variance: -3080.00 (check allocations)</t>
        </is>
      </c>
    </row>
  </sheetData>
  <pageMargins bottom="0.75" footer="0.3" header="0.3" left="0.7" right="0.7" top="0.75"/>
</worksheet>
</file>

<file path=xl/worksheets/sheet11.xml><?xml version="1.0" encoding="utf-8"?>
<worksheet xmlns="http://schemas.openxmlformats.org/spreadsheetml/2006/main">
  <dimension ref="A1:AC85"/>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IFERROR(SUMPRODUCT((RENT_DUE!$B$2:$B$1000="LEASE-BH-F1-2025")*(RENT_DUE!$D$2:$D$1000&gt;=DATE(2025,4,22))*(RENT_DUE!$D$2:$D$1000&lt;=DATE(2025,5,21))*RENT_DUE!$L$2:$L$1000), 0)</f>
        <v>0.0</v>
      </c>
      <c r="H2" s="3" t="n">
        <f>IFERROR(SUMPRODUCT((RENT_RECEIVED!$B$2:$B$1000="LEASE-BH-F1-2025")*(RENT_RECEIVED!$E$2:$E$1000&gt;=DATE(2025,4,22))*(RENT_RECEIVED!$E$2:$E$1000&lt;=DATE(2025,5,21))*RENT_RECEIVED!$O$2:$O$1000), 0)</f>
        <v>0.0</v>
      </c>
      <c r="I2" t="inlineStr">
        <is>
          <t>HIST-2025-05-1564</t>
        </is>
      </c>
      <c r="J2" s="3" t="n">
        <f>IFERROR(SUMIFS(RENT_DUE!$L$2:$L$10000, RENT_DUE!$B$2:$B$10000, "LEASE-BH-F1-2025", RENT_DUE!$D$2:$D$10000, "&lt;"&amp;DATE(2025,4,22)), 0) - IFERROR(SUMIFS(RENT_RECEIVED!$O$2:$O$10000, RENT_RECEIVED!$B$2:$B$10000, "LEASE-BH-F1-2025", RENT_RECEIVED!$E$2:$E$10000, "&lt;"&amp;DATE(2025,4,22)), 0)</f>
        <v>0.0</v>
      </c>
      <c r="K2" s="3" t="n">
        <f>G2 - H2</f>
        <v>0.0</v>
      </c>
      <c r="L2" s="3" t="n">
        <f>J2 + K2</f>
        <v>0.0</v>
      </c>
      <c r="M2" s="3" t="n">
        <f>H2 * 0.1500</f>
        <v>0.0</v>
      </c>
      <c r="N2" s="3" t="n">
        <f>H2 * 0.0000</f>
        <v>0.0</v>
      </c>
      <c r="O2" s="3" t="n">
        <f>ABS(M2 + N2)</f>
        <v>0.0</v>
      </c>
      <c r="P2" t="inlineStr">
        <is>
          <t/>
        </is>
      </c>
      <c r="Q2" s="3" t="n">
        <f>SUMIFS(EXPENSES!E:E, EXPENSES!B:B, "LEASE-BH-F1-2025", EXPENSES!D:D, "&gt;="&amp;DATE(2025,4,22), EXPENSES!D:D, "&lt;="&amp;DATE(2025,5,21))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IFERROR(SUMPRODUCT((RENT_DUE!$B$2:$B$1000="LEASE-BH-F2-2025")*(RENT_DUE!$D$2:$D$1000&gt;=DATE(2025,4,22))*(RENT_DUE!$D$2:$D$1000&lt;=DATE(2025,5,21))*RENT_DUE!$L$2:$L$1000), 0)</f>
        <v>0.0</v>
      </c>
      <c r="H3" s="3" t="n">
        <f>IFERROR(SUMPRODUCT((RENT_RECEIVED!$B$2:$B$1000="LEASE-BH-F2-2025")*(RENT_RECEIVED!$E$2:$E$1000&gt;=DATE(2025,4,22))*(RENT_RECEIVED!$E$2:$E$1000&lt;=DATE(2025,5,21))*RENT_RECEIVED!$O$2:$O$1000), 0)</f>
        <v>0.0</v>
      </c>
      <c r="I3" t="inlineStr">
        <is>
          <t>HIST-2025-05-1564</t>
        </is>
      </c>
      <c r="J3" s="3" t="n">
        <f>IFERROR(SUMIFS(RENT_DUE!$L$2:$L$10000, RENT_DUE!$B$2:$B$10000, "LEASE-BH-F2-2025", RENT_DUE!$D$2:$D$10000, "&lt;"&amp;DATE(2025,4,22)), 0) - IFERROR(SUMIFS(RENT_RECEIVED!$O$2:$O$10000, RENT_RECEIVED!$B$2:$B$10000, "LEASE-BH-F2-2025", RENT_RECEIVED!$E$2:$E$10000, "&lt;"&amp;DATE(2025,4,22)), 0)</f>
        <v>0.0</v>
      </c>
      <c r="K3" s="3" t="n">
        <f>G3 - H3</f>
        <v>0.0</v>
      </c>
      <c r="L3" s="3" t="n">
        <f>J3 + K3</f>
        <v>0.0</v>
      </c>
      <c r="M3" s="3" t="n">
        <f>H3 * 0.1500</f>
        <v>0.0</v>
      </c>
      <c r="N3" s="3" t="n">
        <f>H3 * 0.0000</f>
        <v>0.0</v>
      </c>
      <c r="O3" s="3" t="n">
        <f>ABS(M3 + N3)</f>
        <v>0.0</v>
      </c>
      <c r="P3" t="inlineStr">
        <is>
          <t/>
        </is>
      </c>
      <c r="Q3" s="3" t="n">
        <f>SUMIFS(EXPENSES!E:E, EXPENSES!B:B, "LEASE-BH-F2-2025", EXPENSES!D:D, "&gt;="&amp;DATE(2025,4,22), EXPENSES!D:D, "&lt;="&amp;DATE(2025,5,21))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IFERROR(SUMPRODUCT((RENT_DUE!$B$2:$B$1000="LEASE-BH-F3-2025")*(RENT_DUE!$D$2:$D$1000&gt;=DATE(2025,4,22))*(RENT_DUE!$D$2:$D$1000&lt;=DATE(2025,5,21))*RENT_DUE!$L$2:$L$1000), 0)</f>
        <v>0.0</v>
      </c>
      <c r="H4" s="3" t="n">
        <f>IFERROR(SUMPRODUCT((RENT_RECEIVED!$B$2:$B$1000="LEASE-BH-F3-2025")*(RENT_RECEIVED!$E$2:$E$1000&gt;=DATE(2025,4,22))*(RENT_RECEIVED!$E$2:$E$1000&lt;=DATE(2025,5,21))*RENT_RECEIVED!$O$2:$O$1000), 0)</f>
        <v>0.0</v>
      </c>
      <c r="I4" t="inlineStr">
        <is>
          <t>HIST-2025-05-1564</t>
        </is>
      </c>
      <c r="J4" s="3" t="n">
        <f>IFERROR(SUMIFS(RENT_DUE!$L$2:$L$10000, RENT_DUE!$B$2:$B$10000, "LEASE-BH-F3-2025", RENT_DUE!$D$2:$D$10000, "&lt;"&amp;DATE(2025,4,22)), 0) - IFERROR(SUMIFS(RENT_RECEIVED!$O$2:$O$10000, RENT_RECEIVED!$B$2:$B$10000, "LEASE-BH-F3-2025", RENT_RECEIVED!$E$2:$E$10000, "&lt;"&amp;DATE(2025,4,22)), 0)</f>
        <v>0.0</v>
      </c>
      <c r="K4" s="3" t="n">
        <f>G4 - H4</f>
        <v>0.0</v>
      </c>
      <c r="L4" s="3" t="n">
        <f>J4 + K4</f>
        <v>0.0</v>
      </c>
      <c r="M4" s="3" t="n">
        <f>H4 * 0.1500</f>
        <v>0.0</v>
      </c>
      <c r="N4" s="3" t="n">
        <f>H4 * 0.0000</f>
        <v>0.0</v>
      </c>
      <c r="O4" s="3" t="n">
        <f>ABS(M4 + N4)</f>
        <v>0.0</v>
      </c>
      <c r="P4" t="inlineStr">
        <is>
          <t/>
        </is>
      </c>
      <c r="Q4" s="3" t="n">
        <f>SUMIFS(EXPENSES!E:E, EXPENSES!B:B, "LEASE-BH-F3-2025", EXPENSES!D:D, "&gt;="&amp;DATE(2025,4,22), EXPENSES!D:D, "&lt;="&amp;DATE(2025,5,21))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IFERROR(SUMPRODUCT((RENT_DUE!$B$2:$B$1000="LEASE-BH-F4-2025")*(RENT_DUE!$D$2:$D$1000&gt;=DATE(2025,4,22))*(RENT_DUE!$D$2:$D$1000&lt;=DATE(2025,5,21))*RENT_DUE!$L$2:$L$1000), 0)</f>
        <v>0.0</v>
      </c>
      <c r="H5" s="3" t="n">
        <f>IFERROR(SUMPRODUCT((RENT_RECEIVED!$B$2:$B$1000="LEASE-BH-F4-2025")*(RENT_RECEIVED!$E$2:$E$1000&gt;=DATE(2025,4,22))*(RENT_RECEIVED!$E$2:$E$1000&lt;=DATE(2025,5,21))*RENT_RECEIVED!$O$2:$O$1000), 0)</f>
        <v>0.0</v>
      </c>
      <c r="I5" t="inlineStr">
        <is>
          <t>HIST-2025-05-1564</t>
        </is>
      </c>
      <c r="J5" s="3" t="n">
        <f>IFERROR(SUMIFS(RENT_DUE!$L$2:$L$10000, RENT_DUE!$B$2:$B$10000, "LEASE-BH-F4-2025", RENT_DUE!$D$2:$D$10000, "&lt;"&amp;DATE(2025,4,22)), 0) - IFERROR(SUMIFS(RENT_RECEIVED!$O$2:$O$10000, RENT_RECEIVED!$B$2:$B$10000, "LEASE-BH-F4-2025", RENT_RECEIVED!$E$2:$E$10000, "&lt;"&amp;DATE(2025,4,22)), 0)</f>
        <v>0.0</v>
      </c>
      <c r="K5" s="3" t="n">
        <f>G5 - H5</f>
        <v>0.0</v>
      </c>
      <c r="L5" s="3" t="n">
        <f>J5 + K5</f>
        <v>0.0</v>
      </c>
      <c r="M5" s="3" t="n">
        <f>H5 * 0.1500</f>
        <v>0.0</v>
      </c>
      <c r="N5" s="3" t="n">
        <f>H5 * 0.0000</f>
        <v>0.0</v>
      </c>
      <c r="O5" s="3" t="n">
        <f>ABS(M5 + N5)</f>
        <v>0.0</v>
      </c>
      <c r="P5" t="inlineStr">
        <is>
          <t/>
        </is>
      </c>
      <c r="Q5" s="3" t="n">
        <f>SUMIFS(EXPENSES!E:E, EXPENSES!B:B, "LEASE-BH-F4-2025", EXPENSES!D:D, "&gt;="&amp;DATE(2025,4,22), EXPENSES!D:D, "&lt;="&amp;DATE(2025,5,21))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IFERROR(SUMPRODUCT((RENT_DUE!$B$2:$B$1000="LEASE-BH-F5-2025")*(RENT_DUE!$D$2:$D$1000&gt;=DATE(2025,4,22))*(RENT_DUE!$D$2:$D$1000&lt;=DATE(2025,5,21))*RENT_DUE!$L$2:$L$1000), 0)</f>
        <v>0.0</v>
      </c>
      <c r="H6" s="3" t="n">
        <f>IFERROR(SUMPRODUCT((RENT_RECEIVED!$B$2:$B$1000="LEASE-BH-F5-2025")*(RENT_RECEIVED!$E$2:$E$1000&gt;=DATE(2025,4,22))*(RENT_RECEIVED!$E$2:$E$1000&lt;=DATE(2025,5,21))*RENT_RECEIVED!$O$2:$O$1000), 0)</f>
        <v>0.0</v>
      </c>
      <c r="I6" t="inlineStr">
        <is>
          <t>HIST-2025-05-1564</t>
        </is>
      </c>
      <c r="J6" s="3" t="n">
        <f>IFERROR(SUMIFS(RENT_DUE!$L$2:$L$10000, RENT_DUE!$B$2:$B$10000, "LEASE-BH-F5-2025", RENT_DUE!$D$2:$D$10000, "&lt;"&amp;DATE(2025,4,22)), 0) - IFERROR(SUMIFS(RENT_RECEIVED!$O$2:$O$10000, RENT_RECEIVED!$B$2:$B$10000, "LEASE-BH-F5-2025", RENT_RECEIVED!$E$2:$E$10000, "&lt;"&amp;DATE(2025,4,22)), 0)</f>
        <v>0.0</v>
      </c>
      <c r="K6" s="3" t="n">
        <f>G6 - H6</f>
        <v>0.0</v>
      </c>
      <c r="L6" s="3" t="n">
        <f>J6 + K6</f>
        <v>0.0</v>
      </c>
      <c r="M6" s="3" t="n">
        <f>H6 * 0.1500</f>
        <v>0.0</v>
      </c>
      <c r="N6" s="3" t="n">
        <f>H6 * 0.0000</f>
        <v>0.0</v>
      </c>
      <c r="O6" s="3" t="n">
        <f>ABS(M6 + N6)</f>
        <v>0.0</v>
      </c>
      <c r="P6" t="inlineStr">
        <is>
          <t/>
        </is>
      </c>
      <c r="Q6" s="3" t="n">
        <f>SUMIFS(EXPENSES!E:E, EXPENSES!B:B, "LEASE-BH-F5-2025", EXPENSES!D:D, "&gt;="&amp;DATE(2025,4,22), EXPENSES!D:D, "&lt;="&amp;DATE(2025,5,21))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IFERROR(SUMPRODUCT((RENT_DUE!$B$2:$B$1000="LEASE-BH-F6-2025")*(RENT_DUE!$D$2:$D$1000&gt;=DATE(2025,4,22))*(RENT_DUE!$D$2:$D$1000&lt;=DATE(2025,5,21))*RENT_DUE!$L$2:$L$1000), 0)</f>
        <v>0.0</v>
      </c>
      <c r="H7" s="3" t="n">
        <f>IFERROR(SUMPRODUCT((RENT_RECEIVED!$B$2:$B$1000="LEASE-BH-F6-2025")*(RENT_RECEIVED!$E$2:$E$1000&gt;=DATE(2025,4,22))*(RENT_RECEIVED!$E$2:$E$1000&lt;=DATE(2025,5,21))*RENT_RECEIVED!$O$2:$O$1000), 0)</f>
        <v>0.0</v>
      </c>
      <c r="I7" t="inlineStr">
        <is>
          <t>HIST-2025-04-1532</t>
        </is>
      </c>
      <c r="J7" s="3" t="n">
        <f>IFERROR(SUMIFS(RENT_DUE!$L$2:$L$10000, RENT_DUE!$B$2:$B$10000, "LEASE-BH-F6-2025", RENT_DUE!$D$2:$D$10000, "&lt;"&amp;DATE(2025,4,22)), 0) - IFERROR(SUMIFS(RENT_RECEIVED!$O$2:$O$10000, RENT_RECEIVED!$B$2:$B$10000, "LEASE-BH-F6-2025", RENT_RECEIVED!$E$2:$E$10000, "&lt;"&amp;DATE(2025,4,22)), 0)</f>
        <v>0.0</v>
      </c>
      <c r="K7" s="3" t="n">
        <f>G7 - H7</f>
        <v>0.0</v>
      </c>
      <c r="L7" s="3" t="n">
        <f>J7 + K7</f>
        <v>0.0</v>
      </c>
      <c r="M7" s="3" t="n">
        <f>H7 * 0.1500</f>
        <v>0.0</v>
      </c>
      <c r="N7" s="3" t="n">
        <f>H7 * 0.0000</f>
        <v>0.0</v>
      </c>
      <c r="O7" s="3" t="n">
        <f>ABS(M7 + N7)</f>
        <v>0.0</v>
      </c>
      <c r="P7" t="inlineStr">
        <is>
          <t/>
        </is>
      </c>
      <c r="Q7" s="3" t="n">
        <f>SUMIFS(EXPENSES!E:E, EXPENSES!B:B, "LEASE-BH-F6-2025", EXPENSES!D:D, "&gt;="&amp;DATE(2025,4,22), EXPENSES!D:D, "&lt;="&amp;DATE(2025,5,21))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f>IFERROR(SUMPRODUCT((RENT_DUE!$B$2:$B$1000="LEASE-BH-F7-2025")*(RENT_DUE!$D$2:$D$1000&gt;=DATE(2025,4,22))*(RENT_DUE!$D$2:$D$1000&lt;=DATE(2025,5,21))*RENT_DUE!$L$2:$L$1000), 0)</f>
        <v>0.0</v>
      </c>
      <c r="H8" s="3" t="n">
        <f>IFERROR(SUMPRODUCT((RENT_RECEIVED!$B$2:$B$1000="LEASE-BH-F7-2025")*(RENT_RECEIVED!$E$2:$E$1000&gt;=DATE(2025,4,22))*(RENT_RECEIVED!$E$2:$E$1000&lt;=DATE(2025,5,21))*RENT_RECEIVED!$O$2:$O$1000), 0)</f>
        <v>0.0</v>
      </c>
      <c r="I8" t="inlineStr">
        <is>
          <t>HIST-2025-05-1564</t>
        </is>
      </c>
      <c r="J8" s="3" t="n">
        <f>IFERROR(SUMIFS(RENT_DUE!$L$2:$L$10000, RENT_DUE!$B$2:$B$10000, "LEASE-BH-F7-2025", RENT_DUE!$D$2:$D$10000, "&lt;"&amp;DATE(2025,4,22)), 0) - IFERROR(SUMIFS(RENT_RECEIVED!$O$2:$O$10000, RENT_RECEIVED!$B$2:$B$10000, "LEASE-BH-F7-2025", RENT_RECEIVED!$E$2:$E$10000, "&lt;"&amp;DATE(2025,4,22)), 0)</f>
        <v>0.0</v>
      </c>
      <c r="K8" s="3" t="n">
        <f>G8 - H8</f>
        <v>0.0</v>
      </c>
      <c r="L8" s="3" t="n">
        <f>J8 + K8</f>
        <v>0.0</v>
      </c>
      <c r="M8" s="3" t="n">
        <f>H8 * 0.1500</f>
        <v>0.0</v>
      </c>
      <c r="N8" s="3" t="n">
        <f>H8 * 0.0000</f>
        <v>0.0</v>
      </c>
      <c r="O8" s="3" t="n">
        <f>ABS(M8 + N8)</f>
        <v>0.0</v>
      </c>
      <c r="P8" t="inlineStr">
        <is>
          <t/>
        </is>
      </c>
      <c r="Q8" s="3" t="n">
        <f>SUMIFS(EXPENSES!E:E, EXPENSES!B:B, "LEASE-BH-F7-2025", EXPENSES!D:D, "&gt;="&amp;DATE(2025,4,22), EXPENSES!D:D, "&lt;="&amp;DATE(2025,5,21))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IFERROR(SUMPRODUCT((RENT_DUE!$B$2:$B$1000="LEASE-BH-F8-2025")*(RENT_DUE!$D$2:$D$1000&gt;=DATE(2025,4,22))*(RENT_DUE!$D$2:$D$1000&lt;=DATE(2025,5,21))*RENT_DUE!$L$2:$L$1000), 0)</f>
        <v>0.0</v>
      </c>
      <c r="H9" s="3" t="n">
        <f>IFERROR(SUMPRODUCT((RENT_RECEIVED!$B$2:$B$1000="LEASE-BH-F8-2025")*(RENT_RECEIVED!$E$2:$E$1000&gt;=DATE(2025,4,22))*(RENT_RECEIVED!$E$2:$E$1000&lt;=DATE(2025,5,21))*RENT_RECEIVED!$O$2:$O$1000), 0)</f>
        <v>0.0</v>
      </c>
      <c r="I9" t="inlineStr">
        <is>
          <t>HIST-2025-05-1564</t>
        </is>
      </c>
      <c r="J9" s="3" t="n">
        <f>IFERROR(SUMIFS(RENT_DUE!$L$2:$L$10000, RENT_DUE!$B$2:$B$10000, "LEASE-BH-F8-2025", RENT_DUE!$D$2:$D$10000, "&lt;"&amp;DATE(2025,4,22)), 0) - IFERROR(SUMIFS(RENT_RECEIVED!$O$2:$O$10000, RENT_RECEIVED!$B$2:$B$10000, "LEASE-BH-F8-2025", RENT_RECEIVED!$E$2:$E$10000, "&lt;"&amp;DATE(2025,4,22)), 0)</f>
        <v>0.0</v>
      </c>
      <c r="K9" s="3" t="n">
        <f>G9 - H9</f>
        <v>0.0</v>
      </c>
      <c r="L9" s="3" t="n">
        <f>J9 + K9</f>
        <v>0.0</v>
      </c>
      <c r="M9" s="3" t="n">
        <f>H9 * 0.1500</f>
        <v>0.0</v>
      </c>
      <c r="N9" s="3" t="n">
        <f>H9 * 0.0000</f>
        <v>0.0</v>
      </c>
      <c r="O9" s="3" t="n">
        <f>ABS(M9 + N9)</f>
        <v>0.0</v>
      </c>
      <c r="P9" t="inlineStr">
        <is>
          <t/>
        </is>
      </c>
      <c r="Q9" s="3" t="n">
        <f>SUMIFS(EXPENSES!E:E, EXPENSES!B:B, "LEASE-BH-F8-2025", EXPENSES!D:D, "&gt;="&amp;DATE(2025,4,22), EXPENSES!D:D, "&lt;="&amp;DATE(2025,5,21))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IFERROR(SUMPRODUCT((RENT_DUE!$B$2:$B$1000="LEASE-BH-F9-2025")*(RENT_DUE!$D$2:$D$1000&gt;=DATE(2025,4,22))*(RENT_DUE!$D$2:$D$1000&lt;=DATE(2025,5,21))*RENT_DUE!$L$2:$L$1000), 0)</f>
        <v>0.0</v>
      </c>
      <c r="H10" s="3" t="n">
        <f>IFERROR(SUMPRODUCT((RENT_RECEIVED!$B$2:$B$1000="LEASE-BH-F9-2025")*(RENT_RECEIVED!$E$2:$E$1000&gt;=DATE(2025,4,22))*(RENT_RECEIVED!$E$2:$E$1000&lt;=DATE(2025,5,21))*RENT_RECEIVED!$O$2:$O$1000), 0)</f>
        <v>0.0</v>
      </c>
      <c r="I10" t="inlineStr">
        <is>
          <t>HIST-2025-05-1564</t>
        </is>
      </c>
      <c r="J10" s="3" t="n">
        <f>IFERROR(SUMIFS(RENT_DUE!$L$2:$L$10000, RENT_DUE!$B$2:$B$10000, "LEASE-BH-F9-2025", RENT_DUE!$D$2:$D$10000, "&lt;"&amp;DATE(2025,4,22)), 0) - IFERROR(SUMIFS(RENT_RECEIVED!$O$2:$O$10000, RENT_RECEIVED!$B$2:$B$10000, "LEASE-BH-F9-2025", RENT_RECEIVED!$E$2:$E$10000, "&lt;"&amp;DATE(2025,4,22)),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"&gt;="&amp;DATE(2025,4,22), EXPENSES!D:D, "&lt;="&amp;DATE(2025,5,21))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f>IFERROR(SUMPRODUCT((RENT_DUE!$B$2:$B$1000="LEASE-BH-F10-2025")*(RENT_DUE!$D$2:$D$1000&gt;=DATE(2025,4,22))*(RENT_DUE!$D$2:$D$1000&lt;=DATE(2025,5,21))*RENT_DUE!$L$2:$L$1000), 0)</f>
        <v>0.0</v>
      </c>
      <c r="H11" s="3" t="n">
        <f>IFERROR(SUMPRODUCT((RENT_RECEIVED!$B$2:$B$1000="LEASE-BH-F10-2025")*(RENT_RECEIVED!$E$2:$E$1000&gt;=DATE(2025,4,22))*(RENT_RECEIVED!$E$2:$E$1000&lt;=DATE(2025,5,21))*RENT_RECEIVED!$O$2:$O$1000), 0)</f>
        <v>0.0</v>
      </c>
      <c r="I11" t="inlineStr">
        <is>
          <t>HIST-2025-05-1564</t>
        </is>
      </c>
      <c r="J11" s="3" t="n">
        <f>IFERROR(SUMIFS(RENT_DUE!$L$2:$L$10000, RENT_DUE!$B$2:$B$10000, "LEASE-BH-F10-2025", RENT_DUE!$D$2:$D$10000, "&lt;"&amp;DATE(2025,4,22)), 0) - IFERROR(SUMIFS(RENT_RECEIVED!$O$2:$O$10000, RENT_RECEIVED!$B$2:$B$10000, "LEASE-BH-F10-2025", RENT_RECEIVED!$E$2:$E$10000, "&lt;"&amp;DATE(2025,4,22)),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"&gt;="&amp;DATE(2025,4,22), EXPENSES!D:D, "&lt;="&amp;DATE(2025,5,21))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LEASE-BH-F11-2025</t>
        </is>
      </c>
      <c r="B12" t="inlineStr">
        <is>
          <t>Flat 11 - 3 West Gate</t>
        </is>
      </c>
      <c r="C12" t="inlineStr">
        <is>
          <t>Achal (Delegated for Udayan)</t>
        </is>
      </c>
      <c r="D12" t="inlineStr">
        <is>
          <t>Mr Richard Perrotta</t>
        </is>
      </c>
      <c r="E12" s="2" t="n">
        <v>45722.0</v>
      </c>
      <c r="F12" t="n">
        <v>26.0</v>
      </c>
      <c r="G12" s="3" t="n">
        <f>IFERROR(SUMPRODUCT((RENT_DUE!$B$2:$B$1000="LEASE-BH-F11-2025")*(RENT_DUE!$D$2:$D$1000&gt;=DATE(2025,4,22))*(RENT_DUE!$D$2:$D$1000&lt;=DATE(2025,5,21))*RENT_DUE!$L$2:$L$1000), 0)</f>
        <v>0.0</v>
      </c>
      <c r="H12" s="3" t="n">
        <f>IFERROR(SUMPRODUCT((RENT_RECEIVED!$B$2:$B$1000="LEASE-BH-F11-2025")*(RENT_RECEIVED!$E$2:$E$1000&gt;=DATE(2025,4,22))*(RENT_RECEIVED!$E$2:$E$1000&lt;=DATE(2025,5,21))*RENT_RECEIVED!$O$2:$O$1000), 0)</f>
        <v>0.0</v>
      </c>
      <c r="I12" t="inlineStr">
        <is>
          <t>HIST-2025-05-1564</t>
        </is>
      </c>
      <c r="J12" s="3" t="n">
        <f>IFERROR(SUMIFS(RENT_DUE!$L$2:$L$10000, RENT_DUE!$B$2:$B$10000, "LEASE-BH-F11-2025", RENT_DUE!$D$2:$D$10000, "&lt;"&amp;DATE(2025,4,22)), 0) - IFERROR(SUMIFS(RENT_RECEIVED!$O$2:$O$10000, RENT_RECEIVED!$B$2:$B$10000, "LEASE-BH-F11-2025", RENT_RECEIVED!$E$2:$E$10000, "&lt;"&amp;DATE(2025,4,22)), 0)</f>
        <v>0.0</v>
      </c>
      <c r="K12" s="3" t="n">
        <f>G12 - H12</f>
        <v>0.0</v>
      </c>
      <c r="L12" s="3" t="n">
        <f>J12 + K12</f>
        <v>0.0</v>
      </c>
      <c r="M12" s="3" t="n">
        <f>H12 * 0.1500</f>
        <v>0.0</v>
      </c>
      <c r="N12" s="3" t="n">
        <f>H12 * 0.0000</f>
        <v>0.0</v>
      </c>
      <c r="O12" s="3" t="n">
        <f>ABS(M12 + N12)</f>
        <v>0.0</v>
      </c>
      <c r="P12" t="inlineStr">
        <is>
          <t/>
        </is>
      </c>
      <c r="Q12" s="3" t="n">
        <f>SUMIFS(EXPENSES!E:E, EXPENSES!B:B, "LEASE-BH-F11-2025", EXPENSES!D:D, "&gt;="&amp;DATE(2025,4,22), EXPENSES!D:D, "&lt;="&amp;DATE(2025,5,21))</f>
        <v>0.0</v>
      </c>
      <c r="R12" t="inlineStr">
        <is>
          <t/>
        </is>
      </c>
      <c r="S12" s="3" t="n">
        <f>H12 - O12 - Q12</f>
        <v>0.0</v>
      </c>
      <c r="T12" t="inlineStr">
        <is>
          <t/>
        </is>
      </c>
      <c r="U12" t="inlineStr">
        <is>
          <t/>
        </is>
      </c>
      <c r="V12" t="inlineStr">
        <is>
          <t/>
        </is>
      </c>
      <c r="W12" t="inlineStr">
        <is>
          <t/>
        </is>
      </c>
      <c r="X12" t="inlineStr">
        <is>
          <t/>
        </is>
      </c>
      <c r="Y12" s="3" t="n">
        <v>5979.75</v>
      </c>
      <c r="Z12" s="3" t="n">
        <f>S12-Y12</f>
        <v>0.0</v>
      </c>
      <c r="AA12" t="inlineStr">
        <is>
          <t>PAID</t>
        </is>
      </c>
      <c r="AB12" t="inlineStr">
        <is>
          <t>MULTIPLE</t>
        </is>
      </c>
      <c r="AC12" s="2" t="n">
        <v>45981.0</v>
      </c>
    </row>
    <row r="13">
      <c r="A13" t="inlineStr">
        <is>
          <t>LEASE-BH-F12-2025</t>
        </is>
      </c>
      <c r="B13" t="inlineStr">
        <is>
          <t>Flat 12 - 3 West Gate</t>
        </is>
      </c>
      <c r="C13" t="inlineStr">
        <is>
          <t>Achal (Delegated for Udayan)</t>
        </is>
      </c>
      <c r="D13" t="inlineStr">
        <is>
          <t>MR J SOOPIYADAKATH THEKKE PURAYIL &amp; MS S</t>
        </is>
      </c>
      <c r="E13" s="2" t="n">
        <v>45754.0</v>
      </c>
      <c r="F13" t="n">
        <v>7.0</v>
      </c>
      <c r="G13" s="3" t="n">
        <f>IFERROR(SUMPRODUCT((RENT_DUE!$B$2:$B$1000="LEASE-BH-F12-2025")*(RENT_DUE!$D$2:$D$1000&gt;=DATE(2025,4,22))*(RENT_DUE!$D$2:$D$1000&lt;=DATE(2025,5,21))*RENT_DUE!$L$2:$L$1000), 0)</f>
        <v>0.0</v>
      </c>
      <c r="H13" s="3" t="n">
        <f>IFERROR(SUMPRODUCT((RENT_RECEIVED!$B$2:$B$1000="LEASE-BH-F12-2025")*(RENT_RECEIVED!$E$2:$E$1000&gt;=DATE(2025,4,22))*(RENT_RECEIVED!$E$2:$E$1000&lt;=DATE(2025,5,21))*RENT_RECEIVED!$O$2:$O$1000), 0)</f>
        <v>0.0</v>
      </c>
      <c r="I13" t="inlineStr">
        <is>
          <t>HIST-2025-05-1564</t>
        </is>
      </c>
      <c r="J13" s="3" t="n">
        <f>IFERROR(SUMIFS(RENT_DUE!$L$2:$L$10000, RENT_DUE!$B$2:$B$10000, "LEASE-BH-F12-2025", RENT_DUE!$D$2:$D$10000, "&lt;"&amp;DATE(2025,4,22)), 0) - IFERROR(SUMIFS(RENT_RECEIVED!$O$2:$O$10000, RENT_RECEIVED!$B$2:$B$10000, "LEASE-BH-F12-2025", RENT_RECEIVED!$E$2:$E$10000, "&lt;"&amp;DATE(2025,4,22)), 0)</f>
        <v>0.0</v>
      </c>
      <c r="K13" s="3" t="n">
        <f>G13 - H13</f>
        <v>0.0</v>
      </c>
      <c r="L13" s="3" t="n">
        <f>J13 + K13</f>
        <v>0.0</v>
      </c>
      <c r="M13" s="3" t="n">
        <f>H13 * 0.1500</f>
        <v>0.0</v>
      </c>
      <c r="N13" s="3" t="n">
        <f>H13 * 0.0000</f>
        <v>0.0</v>
      </c>
      <c r="O13" s="3" t="n">
        <f>ABS(M13 + N13)</f>
        <v>0.0</v>
      </c>
      <c r="P13" t="inlineStr">
        <is>
          <t/>
        </is>
      </c>
      <c r="Q13" s="3" t="n">
        <f>SUMIFS(EXPENSES!E:E, EXPENSES!B:B, "LEASE-BH-F12-2025", EXPENSES!D:D, "&gt;="&amp;DATE(2025,4,22), EXPENSES!D:D, "&lt;="&amp;DATE(2025,5,21))</f>
        <v>0.0</v>
      </c>
      <c r="R13" t="inlineStr">
        <is>
          <t/>
        </is>
      </c>
      <c r="S13" s="3" t="n">
        <f>H13 - O13 - Q13</f>
        <v>0.0</v>
      </c>
      <c r="T13" t="inlineStr">
        <is>
          <t/>
        </is>
      </c>
      <c r="U13" t="inlineStr">
        <is>
          <t/>
        </is>
      </c>
      <c r="V13" t="inlineStr">
        <is>
          <t/>
        </is>
      </c>
      <c r="W13" t="inlineStr">
        <is>
          <t/>
        </is>
      </c>
      <c r="X13" t="inlineStr">
        <is>
          <t/>
        </is>
      </c>
      <c r="Y13" s="3" t="n">
        <v>1147.5</v>
      </c>
      <c r="Z13" s="3" t="n">
        <f>S13-Y13</f>
        <v>0.0</v>
      </c>
      <c r="AA13" t="inlineStr">
        <is>
          <t>PAID</t>
        </is>
      </c>
      <c r="AB13" t="inlineStr">
        <is>
          <t>MULTIPLE</t>
        </is>
      </c>
      <c r="AC13" s="2" t="n">
        <v>45804.0</v>
      </c>
    </row>
    <row r="14">
      <c r="A14" t="inlineStr">
        <is>
          <t>LEASE-BH-F13-2025</t>
        </is>
      </c>
      <c r="B14" t="inlineStr">
        <is>
          <t>Flat 13 - 3 West Gate</t>
        </is>
      </c>
      <c r="C14" t="inlineStr">
        <is>
          <t>Achal (Delegated for Udayan)</t>
        </is>
      </c>
      <c r="D14" t="inlineStr">
        <is>
          <t>Mr Nathan Holland</t>
        </is>
      </c>
      <c r="E14" s="2" t="n">
        <v>45719.0</v>
      </c>
      <c r="F14" t="n">
        <v>3.0</v>
      </c>
      <c r="G14" s="3" t="n">
        <f>IFERROR(SUMPRODUCT((RENT_DUE!$B$2:$B$1000="LEASE-BH-F13-2025")*(RENT_DUE!$D$2:$D$1000&gt;=DATE(2025,4,22))*(RENT_DUE!$D$2:$D$1000&lt;=DATE(2025,5,21))*RENT_DUE!$L$2:$L$1000), 0)</f>
        <v>0.0</v>
      </c>
      <c r="H14" s="3" t="n">
        <f>IFERROR(SUMPRODUCT((RENT_RECEIVED!$B$2:$B$1000="LEASE-BH-F13-2025")*(RENT_RECEIVED!$E$2:$E$1000&gt;=DATE(2025,4,22))*(RENT_RECEIVED!$E$2:$E$1000&lt;=DATE(2025,5,21))*RENT_RECEIVED!$O$2:$O$1000), 0)</f>
        <v>0.0</v>
      </c>
      <c r="I14" t="inlineStr">
        <is>
          <t>HIST-2025-05-1564</t>
        </is>
      </c>
      <c r="J14" s="3" t="n">
        <f>IFERROR(SUMIFS(RENT_DUE!$L$2:$L$10000, RENT_DUE!$B$2:$B$10000, "LEASE-BH-F13-2025", RENT_DUE!$D$2:$D$10000, "&lt;"&amp;DATE(2025,4,22)), 0) - IFERROR(SUMIFS(RENT_RECEIVED!$O$2:$O$10000, RENT_RECEIVED!$B$2:$B$10000, "LEASE-BH-F13-2025", RENT_RECEIVED!$E$2:$E$10000, "&lt;"&amp;DATE(2025,4,22)), 0)</f>
        <v>0.0</v>
      </c>
      <c r="K14" s="3" t="n">
        <f>G14 - H14</f>
        <v>0.0</v>
      </c>
      <c r="L14" s="3" t="n">
        <f>J14 + K14</f>
        <v>0.0</v>
      </c>
      <c r="M14" s="3" t="n">
        <f>H14 * 0.1500</f>
        <v>0.0</v>
      </c>
      <c r="N14" s="3" t="n">
        <f>H14 * 0.0000</f>
        <v>0.0</v>
      </c>
      <c r="O14" s="3" t="n">
        <f>ABS(M14 + N14)</f>
        <v>0.0</v>
      </c>
      <c r="P14" t="inlineStr">
        <is>
          <t/>
        </is>
      </c>
      <c r="Q14" s="3" t="n">
        <f>SUMIFS(EXPENSES!E:E, EXPENSES!B:B, "LEASE-BH-F13-2025", EXPENSES!D:D, "&gt;="&amp;DATE(2025,4,22), EXPENSES!D:D, "&lt;="&amp;DATE(2025,5,21))</f>
        <v>0.0</v>
      </c>
      <c r="R14" t="inlineStr">
        <is>
          <t/>
        </is>
      </c>
      <c r="S14" s="3" t="n">
        <f>H14 - O14 - Q14</f>
        <v>0.0</v>
      </c>
      <c r="T14" t="inlineStr">
        <is>
          <t/>
        </is>
      </c>
      <c r="U14" t="inlineStr">
        <is>
          <t/>
        </is>
      </c>
      <c r="V14" t="inlineStr">
        <is>
          <t/>
        </is>
      </c>
      <c r="W14" t="inlineStr">
        <is>
          <t/>
        </is>
      </c>
      <c r="X14" t="inlineStr">
        <is>
          <t/>
        </is>
      </c>
      <c r="Y14" s="3" t="n">
        <v>5440.0</v>
      </c>
      <c r="Z14" s="3" t="n">
        <f>S14-Y14</f>
        <v>0.0</v>
      </c>
      <c r="AA14" t="inlineStr">
        <is>
          <t>PAID</t>
        </is>
      </c>
      <c r="AB14" t="inlineStr">
        <is>
          <t>MULTIPLE</t>
        </is>
      </c>
      <c r="AC14" s="2" t="n">
        <v>45936.0</v>
      </c>
    </row>
    <row r="15">
      <c r="A15" t="inlineStr">
        <is>
          <t>LEASE-BH-F14-2025</t>
        </is>
      </c>
      <c r="B15" t="inlineStr">
        <is>
          <t>Flat 14 - 3 West Gate</t>
        </is>
      </c>
      <c r="C15" t="inlineStr">
        <is>
          <t>Achal (Delegated for Udayan)</t>
        </is>
      </c>
      <c r="D15" t="inlineStr">
        <is>
          <t>Ms Sarah Buckle, Mr Matthew Lewsley</t>
        </is>
      </c>
      <c r="E15" s="2" t="n">
        <v>45744.0</v>
      </c>
      <c r="F15" t="n">
        <v>28.0</v>
      </c>
      <c r="G15" s="3" t="n">
        <f>IFERROR(SUMPRODUCT((RENT_DUE!$B$2:$B$1000="LEASE-BH-F14-2025")*(RENT_DUE!$D$2:$D$1000&gt;=DATE(2025,4,22))*(RENT_DUE!$D$2:$D$1000&lt;=DATE(2025,5,21))*RENT_DUE!$L$2:$L$1000), 0)</f>
        <v>0.0</v>
      </c>
      <c r="H15" s="3" t="n">
        <f>IFERROR(SUMPRODUCT((RENT_RECEIVED!$B$2:$B$1000="LEASE-BH-F14-2025")*(RENT_RECEIVED!$E$2:$E$1000&gt;=DATE(2025,4,22))*(RENT_RECEIVED!$E$2:$E$1000&lt;=DATE(2025,5,21))*RENT_RECEIVED!$O$2:$O$1000), 0)</f>
        <v>0.0</v>
      </c>
      <c r="I15" t="inlineStr">
        <is>
          <t>HIST-2025-04-1532</t>
        </is>
      </c>
      <c r="J15" s="3" t="n">
        <f>IFERROR(SUMIFS(RENT_DUE!$L$2:$L$10000, RENT_DUE!$B$2:$B$10000, "LEASE-BH-F14-2025", RENT_DUE!$D$2:$D$10000, "&lt;"&amp;DATE(2025,4,22)), 0) - IFERROR(SUMIFS(RENT_RECEIVED!$O$2:$O$10000, RENT_RECEIVED!$B$2:$B$10000, "LEASE-BH-F14-2025", RENT_RECEIVED!$E$2:$E$10000, "&lt;"&amp;DATE(2025,4,22)), 0)</f>
        <v>0.0</v>
      </c>
      <c r="K15" s="3" t="n">
        <f>G15 - H15</f>
        <v>0.0</v>
      </c>
      <c r="L15" s="3" t="n">
        <f>J15 + K15</f>
        <v>0.0</v>
      </c>
      <c r="M15" s="3" t="n">
        <f>H15 * 0.1500</f>
        <v>0.0</v>
      </c>
      <c r="N15" s="3" t="n">
        <f>H15 * 0.0000</f>
        <v>0.0</v>
      </c>
      <c r="O15" s="3" t="n">
        <f>ABS(M15 + N15)</f>
        <v>0.0</v>
      </c>
      <c r="P15" t="inlineStr">
        <is>
          <t/>
        </is>
      </c>
      <c r="Q15" s="3" t="n">
        <f>SUMIFS(EXPENSES!E:E, EXPENSES!B:B, "LEASE-BH-F14-2025", EXPENSES!D:D, "&gt;="&amp;DATE(2025,4,22), EXPENSES!D:D, "&lt;="&amp;DATE(2025,5,21))</f>
        <v>0.0</v>
      </c>
      <c r="R15" t="inlineStr">
        <is>
          <t/>
        </is>
      </c>
      <c r="S15" s="3" t="n">
        <f>H15 - O15 - Q15</f>
        <v>0.0</v>
      </c>
      <c r="T15" t="inlineStr">
        <is>
          <t/>
        </is>
      </c>
      <c r="U15" t="inlineStr">
        <is>
          <t/>
        </is>
      </c>
      <c r="V15" t="inlineStr">
        <is>
          <t/>
        </is>
      </c>
      <c r="W15" t="inlineStr">
        <is>
          <t/>
        </is>
      </c>
      <c r="X15" t="inlineStr">
        <is>
          <t/>
        </is>
      </c>
      <c r="Y15" s="3" t="n">
        <v>5410.25</v>
      </c>
      <c r="Z15" s="3" t="n">
        <f>S15-Y15</f>
        <v>0.0</v>
      </c>
      <c r="AA15" t="inlineStr">
        <is>
          <t>PAID</t>
        </is>
      </c>
      <c r="AB15" t="inlineStr">
        <is>
          <t>MULTIPLE</t>
        </is>
      </c>
      <c r="AC15" s="2" t="n">
        <v>45992.0</v>
      </c>
    </row>
    <row r="16">
      <c r="A16" t="inlineStr">
        <is>
          <t>LEASE-BH-F15-2025</t>
        </is>
      </c>
      <c r="B16" t="inlineStr">
        <is>
          <t>Flat 15 - 3 West Gate</t>
        </is>
      </c>
      <c r="C16" t="inlineStr">
        <is>
          <t>Achal (Delegated for Udayan)</t>
        </is>
      </c>
      <c r="D16" t="inlineStr">
        <is>
          <t>Ms Lucy Cassell</t>
        </is>
      </c>
      <c r="E16" s="2" t="n">
        <v>45703.0</v>
      </c>
      <c r="F16" t="n">
        <v>15.0</v>
      </c>
      <c r="G16" s="3" t="n">
        <f>IFERROR(SUMPRODUCT((RENT_DUE!$B$2:$B$1000="LEASE-BH-F15-2025")*(RENT_DUE!$D$2:$D$1000&gt;=DATE(2025,4,22))*(RENT_DUE!$D$2:$D$1000&lt;=DATE(2025,5,21))*RENT_DUE!$L$2:$L$1000), 0)</f>
        <v>0.0</v>
      </c>
      <c r="H16" s="3" t="n">
        <f>IFERROR(SUMPRODUCT((RENT_RECEIVED!$B$2:$B$1000="LEASE-BH-F15-2025")*(RENT_RECEIVED!$E$2:$E$1000&gt;=DATE(2025,4,22))*(RENT_RECEIVED!$E$2:$E$1000&lt;=DATE(2025,5,21))*RENT_RECEIVED!$O$2:$O$1000), 0)</f>
        <v>0.0</v>
      </c>
      <c r="I16" t="inlineStr">
        <is>
          <t>HIST-2025-05-1564</t>
        </is>
      </c>
      <c r="J16" s="3" t="n">
        <f>IFERROR(SUMIFS(RENT_DUE!$L$2:$L$10000, RENT_DUE!$B$2:$B$10000, "LEASE-BH-F15-2025", RENT_DUE!$D$2:$D$10000, "&lt;"&amp;DATE(2025,4,22)), 0) - IFERROR(SUMIFS(RENT_RECEIVED!$O$2:$O$10000, RENT_RECEIVED!$B$2:$B$10000, "LEASE-BH-F15-2025", RENT_RECEIVED!$E$2:$E$10000, "&lt;"&amp;DATE(2025,4,22)), 0)</f>
        <v>0.0</v>
      </c>
      <c r="K16" s="3" t="n">
        <f>G16 - H16</f>
        <v>0.0</v>
      </c>
      <c r="L16" s="3" t="n">
        <f>J16 + K16</f>
        <v>0.0</v>
      </c>
      <c r="M16" s="3" t="n">
        <f>H16 * 0.1500</f>
        <v>0.0</v>
      </c>
      <c r="N16" s="3" t="n">
        <f>H16 * 0.0000</f>
        <v>0.0</v>
      </c>
      <c r="O16" s="3" t="n">
        <f>ABS(M16 + N16)</f>
        <v>0.0</v>
      </c>
      <c r="P16" t="inlineStr">
        <is>
          <t/>
        </is>
      </c>
      <c r="Q16" s="3" t="n">
        <f>SUMIFS(EXPENSES!E:E, EXPENSES!B:B, "LEASE-BH-F15-2025", EXPENSES!D:D, "&gt;="&amp;DATE(2025,4,22), EXPENSES!D:D, "&lt;="&amp;DATE(2025,5,21))</f>
        <v>0.0</v>
      </c>
      <c r="R16" t="inlineStr">
        <is>
          <t/>
        </is>
      </c>
      <c r="S16" s="3" t="n">
        <f>H16 - O16 - Q16</f>
        <v>0.0</v>
      </c>
      <c r="T16" t="inlineStr">
        <is>
          <t/>
        </is>
      </c>
      <c r="U16" t="inlineStr">
        <is>
          <t/>
        </is>
      </c>
      <c r="V16" t="inlineStr">
        <is>
          <t/>
        </is>
      </c>
      <c r="W16" t="inlineStr">
        <is>
          <t/>
        </is>
      </c>
      <c r="X16" t="inlineStr">
        <is>
          <t/>
        </is>
      </c>
      <c r="Y16" s="3" t="n">
        <v>6170.0</v>
      </c>
      <c r="Z16" s="3" t="n">
        <f>S16-Y16</f>
        <v>0.0</v>
      </c>
      <c r="AA16" t="inlineStr">
        <is>
          <t>PAID</t>
        </is>
      </c>
      <c r="AB16" t="inlineStr">
        <is>
          <t>MULTIPLE</t>
        </is>
      </c>
      <c r="AC16" s="2" t="n">
        <v>45982.0</v>
      </c>
    </row>
    <row r="17">
      <c r="A17" t="inlineStr">
        <is>
          <t>LEASE-BH-F16-2025</t>
        </is>
      </c>
      <c r="B17" t="inlineStr">
        <is>
          <t>Flat 16 - 3 West Gate</t>
        </is>
      </c>
      <c r="C17" t="inlineStr">
        <is>
          <t>Achal (Delegated for Udayan)</t>
        </is>
      </c>
      <c r="D17" t="inlineStr">
        <is>
          <t>Mr Riley Paul Beresford, Ms Gina Louise Judge</t>
        </is>
      </c>
      <c r="E17" s="2" t="n">
        <v>45726.0</v>
      </c>
      <c r="F17" t="n">
        <v>10.0</v>
      </c>
      <c r="G17" s="3" t="n">
        <f>IFERROR(SUMPRODUCT((RENT_DUE!$B$2:$B$1000="LEASE-BH-F16-2025")*(RENT_DUE!$D$2:$D$1000&gt;=DATE(2025,4,22))*(RENT_DUE!$D$2:$D$1000&lt;=DATE(2025,5,21))*RENT_DUE!$L$2:$L$1000), 0)</f>
        <v>0.0</v>
      </c>
      <c r="H17" s="3" t="n">
        <f>IFERROR(SUMPRODUCT((RENT_RECEIVED!$B$2:$B$1000="LEASE-BH-F16-2025")*(RENT_RECEIVED!$E$2:$E$1000&gt;=DATE(2025,4,22))*(RENT_RECEIVED!$E$2:$E$1000&lt;=DATE(2025,5,21))*RENT_RECEIVED!$O$2:$O$1000), 0)</f>
        <v>0.0</v>
      </c>
      <c r="I17" t="inlineStr">
        <is>
          <t>HIST-2025-05-1564</t>
        </is>
      </c>
      <c r="J17" s="3" t="n">
        <f>IFERROR(SUMIFS(RENT_DUE!$L$2:$L$10000, RENT_DUE!$B$2:$B$10000, "LEASE-BH-F16-2025", RENT_DUE!$D$2:$D$10000, "&lt;"&amp;DATE(2025,4,22)), 0) - IFERROR(SUMIFS(RENT_RECEIVED!$O$2:$O$10000, RENT_RECEIVED!$B$2:$B$10000, "LEASE-BH-F16-2025", RENT_RECEIVED!$E$2:$E$10000, "&lt;"&amp;DATE(2025,4,22)), 0)</f>
        <v>0.0</v>
      </c>
      <c r="K17" s="3" t="n">
        <f>G17 - H17</f>
        <v>0.0</v>
      </c>
      <c r="L17" s="3" t="n">
        <f>J17 + K17</f>
        <v>0.0</v>
      </c>
      <c r="M17" s="3" t="n">
        <f>H17 * 0.1500</f>
        <v>0.0</v>
      </c>
      <c r="N17" s="3" t="n">
        <f>H17 * 0.0000</f>
        <v>0.0</v>
      </c>
      <c r="O17" s="3" t="n">
        <f>ABS(M17 + N17)</f>
        <v>0.0</v>
      </c>
      <c r="P17" t="inlineStr">
        <is>
          <t/>
        </is>
      </c>
      <c r="Q17" s="3" t="n">
        <f>SUMIFS(EXPENSES!E:E, EXPENSES!B:B, "LEASE-BH-F16-2025", EXPENSES!D:D, "&gt;="&amp;DATE(2025,4,22), EXPENSES!D:D, "&lt;="&amp;DATE(2025,5,21))</f>
        <v>0.0</v>
      </c>
      <c r="R17" t="inlineStr">
        <is>
          <t/>
        </is>
      </c>
      <c r="S17" s="3" t="n">
        <f>H17 - O17 - Q17</f>
        <v>0.0</v>
      </c>
      <c r="T17" t="inlineStr">
        <is>
          <t/>
        </is>
      </c>
      <c r="U17" t="inlineStr">
        <is>
          <t/>
        </is>
      </c>
      <c r="V17" t="inlineStr">
        <is>
          <t/>
        </is>
      </c>
      <c r="W17" t="inlineStr">
        <is>
          <t/>
        </is>
      </c>
      <c r="X17" t="inlineStr">
        <is>
          <t/>
        </is>
      </c>
      <c r="Y17" s="3" t="n">
        <v>3641.31</v>
      </c>
      <c r="Z17" s="3" t="n">
        <f>S17-Y17</f>
        <v>0.0</v>
      </c>
      <c r="AA17" t="inlineStr">
        <is>
          <t>PAID</t>
        </is>
      </c>
      <c r="AB17" t="inlineStr">
        <is>
          <t>MULTIPLE</t>
        </is>
      </c>
      <c r="AC17" s="2" t="n">
        <v>45891.0</v>
      </c>
    </row>
    <row r="18">
      <c r="A18" t="inlineStr">
        <is>
          <t>LEASE-BH-F17-2025</t>
        </is>
      </c>
      <c r="B18" t="inlineStr">
        <is>
          <t>Flat 17 - 3 West Gate</t>
        </is>
      </c>
      <c r="C18" t="inlineStr">
        <is>
          <t>Achal (Delegated for Udayan)</t>
        </is>
      </c>
      <c r="D18" t="inlineStr">
        <is>
          <t>Mr Harsh Patel</t>
        </is>
      </c>
      <c r="E18" s="2" t="n">
        <v>45705.0</v>
      </c>
      <c r="F18" t="n">
        <v>17.0</v>
      </c>
      <c r="G18" s="3" t="n">
        <f>IFERROR(SUMPRODUCT((RENT_DUE!$B$2:$B$1000="LEASE-BH-F17-2025")*(RENT_DUE!$D$2:$D$1000&gt;=DATE(2025,4,22))*(RENT_DUE!$D$2:$D$1000&lt;=DATE(2025,5,21))*RENT_DUE!$L$2:$L$1000), 0)</f>
        <v>0.0</v>
      </c>
      <c r="H18" s="3" t="n">
        <f>IFERROR(SUMPRODUCT((RENT_RECEIVED!$B$2:$B$1000="LEASE-BH-F17-2025")*(RENT_RECEIVED!$E$2:$E$1000&gt;=DATE(2025,4,22))*(RENT_RECEIVED!$E$2:$E$1000&lt;=DATE(2025,5,21))*RENT_RECEIVED!$O$2:$O$1000), 0)</f>
        <v>0.0</v>
      </c>
      <c r="I18" t="inlineStr">
        <is>
          <t>HIST-2025-05-1564</t>
        </is>
      </c>
      <c r="J18" s="3" t="n">
        <f>IFERROR(SUMIFS(RENT_DUE!$L$2:$L$10000, RENT_DUE!$B$2:$B$10000, "LEASE-BH-F17-2025", RENT_DUE!$D$2:$D$10000, "&lt;"&amp;DATE(2025,4,22)), 0) - IFERROR(SUMIFS(RENT_RECEIVED!$O$2:$O$10000, RENT_RECEIVED!$B$2:$B$10000, "LEASE-BH-F17-2025", RENT_RECEIVED!$E$2:$E$10000, "&lt;"&amp;DATE(2025,4,22)), 0)</f>
        <v>0.0</v>
      </c>
      <c r="K18" s="3" t="n">
        <f>G18 - H18</f>
        <v>0.0</v>
      </c>
      <c r="L18" s="3" t="n">
        <f>J18 + K18</f>
        <v>0.0</v>
      </c>
      <c r="M18" s="3" t="n">
        <f>H18 * 0.1500</f>
        <v>0.0</v>
      </c>
      <c r="N18" s="3" t="n">
        <f>H18 * 0.0000</f>
        <v>0.0</v>
      </c>
      <c r="O18" s="3" t="n">
        <f>ABS(M18 + N18)</f>
        <v>0.0</v>
      </c>
      <c r="P18" t="inlineStr">
        <is>
          <t/>
        </is>
      </c>
      <c r="Q18" s="3" t="n">
        <f>SUMIFS(EXPENSES!E:E, EXPENSES!B:B, "LEASE-BH-F17-2025", EXPENSES!D:D, "&gt;="&amp;DATE(2025,4,22), EXPENSES!D:D, "&lt;="&amp;DATE(2025,5,21))</f>
        <v>0.0</v>
      </c>
      <c r="R18" t="inlineStr">
        <is>
          <t/>
        </is>
      </c>
      <c r="S18" s="3" t="n">
        <f>H18 - O18 - Q18</f>
        <v>0.0</v>
      </c>
      <c r="T18" t="inlineStr">
        <is>
          <t/>
        </is>
      </c>
      <c r="U18" t="inlineStr">
        <is>
          <t/>
        </is>
      </c>
      <c r="V18" t="inlineStr">
        <is>
          <t/>
        </is>
      </c>
      <c r="W18" t="inlineStr">
        <is>
          <t/>
        </is>
      </c>
      <c r="X18" t="inlineStr">
        <is>
          <t/>
        </is>
      </c>
      <c r="Y18" s="3" t="n">
        <v>5800.0</v>
      </c>
      <c r="Z18" s="3" t="n">
        <f>S18-Y18</f>
        <v>0.0</v>
      </c>
      <c r="AA18" t="inlineStr">
        <is>
          <t>PAID</t>
        </is>
      </c>
      <c r="AB18" t="inlineStr">
        <is>
          <t>MULTIPLE</t>
        </is>
      </c>
      <c r="AC18" s="2" t="n">
        <v>45982.0</v>
      </c>
    </row>
    <row r="19">
      <c r="A19" t="inlineStr">
        <is>
          <t>LEASE-BH-F18-2025</t>
        </is>
      </c>
      <c r="B19" t="inlineStr">
        <is>
          <t>Flat 18 - 3 West Gate</t>
        </is>
      </c>
      <c r="C19" t="inlineStr">
        <is>
          <t>Achal (Delegated for Udayan)</t>
        </is>
      </c>
      <c r="D19" t="inlineStr">
        <is>
          <t>Marie Dinko</t>
        </is>
      </c>
      <c r="E19" s="2" t="n">
        <v>45687.0</v>
      </c>
      <c r="F19" t="n">
        <v>30.0</v>
      </c>
      <c r="G19" s="3" t="n">
        <f>IFERROR(SUMPRODUCT((RENT_DUE!$B$2:$B$1000="LEASE-BH-F18-2025")*(RENT_DUE!$D$2:$D$1000&gt;=DATE(2025,4,22))*(RENT_DUE!$D$2:$D$1000&lt;=DATE(2025,5,21))*RENT_DUE!$L$2:$L$1000), 0)</f>
        <v>0.0</v>
      </c>
      <c r="H19" s="3" t="n">
        <f>IFERROR(SUMPRODUCT((RENT_RECEIVED!$B$2:$B$1000="LEASE-BH-F18-2025")*(RENT_RECEIVED!$E$2:$E$1000&gt;=DATE(2025,4,22))*(RENT_RECEIVED!$E$2:$E$1000&lt;=DATE(2025,5,21))*RENT_RECEIVED!$O$2:$O$1000), 0)</f>
        <v>0.0</v>
      </c>
      <c r="I19" t="inlineStr">
        <is>
          <t>HIST-2025-05-1564</t>
        </is>
      </c>
      <c r="J19" s="3" t="n">
        <f>IFERROR(SUMIFS(RENT_DUE!$L$2:$L$10000, RENT_DUE!$B$2:$B$10000, "LEASE-BH-F18-2025", RENT_DUE!$D$2:$D$10000, "&lt;"&amp;DATE(2025,4,22)), 0) - IFERROR(SUMIFS(RENT_RECEIVED!$O$2:$O$10000, RENT_RECEIVED!$B$2:$B$10000, "LEASE-BH-F18-2025", RENT_RECEIVED!$E$2:$E$10000, "&lt;"&amp;DATE(2025,4,22)), 0)</f>
        <v>0.0</v>
      </c>
      <c r="K19" s="3" t="n">
        <f>G19 - H19</f>
        <v>0.0</v>
      </c>
      <c r="L19" s="3" t="n">
        <f>J19 + K19</f>
        <v>0.0</v>
      </c>
      <c r="M19" s="3" t="n">
        <f>H19 * 0.1500</f>
        <v>0.0</v>
      </c>
      <c r="N19" s="3" t="n">
        <f>H19 * 0.0000</f>
        <v>0.0</v>
      </c>
      <c r="O19" s="3" t="n">
        <f>ABS(M19 + N19)</f>
        <v>0.0</v>
      </c>
      <c r="P19" t="inlineStr">
        <is>
          <t/>
        </is>
      </c>
      <c r="Q19" s="3" t="n">
        <f>SUMIFS(EXPENSES!E:E, EXPENSES!B:B, "LEASE-BH-F18-2025", EXPENSES!D:D, "&gt;="&amp;DATE(2025,4,22), EXPENSES!D:D, "&lt;="&amp;DATE(2025,5,21))</f>
        <v>0.0</v>
      </c>
      <c r="R19" t="inlineStr">
        <is>
          <t/>
        </is>
      </c>
      <c r="S19" s="3" t="n">
        <f>H19 - O19 - Q19</f>
        <v>0.0</v>
      </c>
      <c r="T19" t="inlineStr">
        <is>
          <t/>
        </is>
      </c>
      <c r="U19" t="inlineStr">
        <is>
          <t/>
        </is>
      </c>
      <c r="V19" t="inlineStr">
        <is>
          <t/>
        </is>
      </c>
      <c r="W19" t="inlineStr">
        <is>
          <t/>
        </is>
      </c>
      <c r="X19" t="inlineStr">
        <is>
          <t/>
        </is>
      </c>
      <c r="Y19" s="3" t="n">
        <v>2044.25</v>
      </c>
      <c r="Z19" s="3" t="n">
        <f>S19-Y19</f>
        <v>0.0</v>
      </c>
      <c r="AA19" t="inlineStr">
        <is>
          <t>PAID</t>
        </is>
      </c>
      <c r="AB19" t="inlineStr">
        <is>
          <t>MULTIPLE</t>
        </is>
      </c>
      <c r="AC19" s="2" t="n">
        <v>45804.0</v>
      </c>
    </row>
    <row r="20">
      <c r="A20" t="inlineStr">
        <is>
          <t>LEASE-BH-F19-2025</t>
        </is>
      </c>
      <c r="B20" t="inlineStr">
        <is>
          <t>Flat 19 - 3 West Gate</t>
        </is>
      </c>
      <c r="C20" t="inlineStr">
        <is>
          <t>Achal (Delegated for Udayan)</t>
        </is>
      </c>
      <c r="D20" t="inlineStr">
        <is>
          <t>Mr Joshua Banks, Miss Layla Middlemass</t>
        </is>
      </c>
      <c r="E20" s="2" t="n">
        <v>45730.0</v>
      </c>
      <c r="F20" t="n">
        <v>14.0</v>
      </c>
      <c r="G20" s="3" t="n">
        <f>IFERROR(SUMPRODUCT((RENT_DUE!$B$2:$B$1000="LEASE-BH-F19-2025")*(RENT_DUE!$D$2:$D$1000&gt;=DATE(2025,4,22))*(RENT_DUE!$D$2:$D$1000&lt;=DATE(2025,5,21))*RENT_DUE!$L$2:$L$1000), 0)</f>
        <v>0.0</v>
      </c>
      <c r="H20" s="3" t="n">
        <f>IFERROR(SUMPRODUCT((RENT_RECEIVED!$B$2:$B$1000="LEASE-BH-F19-2025")*(RENT_RECEIVED!$E$2:$E$1000&gt;=DATE(2025,4,22))*(RENT_RECEIVED!$E$2:$E$1000&lt;=DATE(2025,5,21))*RENT_RECEIVED!$O$2:$O$1000), 0)</f>
        <v>0.0</v>
      </c>
      <c r="I20" t="inlineStr">
        <is>
          <t>HIST-2025-05-1564</t>
        </is>
      </c>
      <c r="J20" s="3" t="n">
        <f>IFERROR(SUMIFS(RENT_DUE!$L$2:$L$10000, RENT_DUE!$B$2:$B$10000, "LEASE-BH-F19-2025", RENT_DUE!$D$2:$D$10000, "&lt;"&amp;DATE(2025,4,22)), 0) - IFERROR(SUMIFS(RENT_RECEIVED!$O$2:$O$10000, RENT_RECEIVED!$B$2:$B$10000, "LEASE-BH-F19-2025", RENT_RECEIVED!$E$2:$E$10000, "&lt;"&amp;DATE(2025,4,22)), 0)</f>
        <v>0.0</v>
      </c>
      <c r="K20" s="3" t="n">
        <f>G20 - H20</f>
        <v>0.0</v>
      </c>
      <c r="L20" s="3" t="n">
        <f>J20 + K20</f>
        <v>0.0</v>
      </c>
      <c r="M20" s="3" t="n">
        <f>H20 * 0.1500</f>
        <v>0.0</v>
      </c>
      <c r="N20" s="3" t="n">
        <f>H20 * 0.0000</f>
        <v>0.0</v>
      </c>
      <c r="O20" s="3" t="n">
        <f>ABS(M20 + N20)</f>
        <v>0.0</v>
      </c>
      <c r="P20" t="inlineStr">
        <is>
          <t/>
        </is>
      </c>
      <c r="Q20" s="3" t="n">
        <f>SUMIFS(EXPENSES!E:E, EXPENSES!B:B, "LEASE-BH-F19-2025", EXPENSES!D:D, "&gt;="&amp;DATE(2025,4,22), EXPENSES!D:D, "&lt;="&amp;DATE(2025,5,21))</f>
        <v>0.0</v>
      </c>
      <c r="R20" t="inlineStr">
        <is>
          <t/>
        </is>
      </c>
      <c r="S20" s="3" t="n">
        <f>H20 - O20 - Q20</f>
        <v>0.0</v>
      </c>
      <c r="T20" t="inlineStr">
        <is>
          <t/>
        </is>
      </c>
      <c r="U20" t="inlineStr">
        <is>
          <t/>
        </is>
      </c>
      <c r="V20" t="inlineStr">
        <is>
          <t/>
        </is>
      </c>
      <c r="W20" t="inlineStr">
        <is>
          <t/>
        </is>
      </c>
      <c r="X20" t="inlineStr">
        <is>
          <t/>
        </is>
      </c>
      <c r="Y20" s="3" t="n">
        <v>2888.3</v>
      </c>
      <c r="Z20" s="3" t="n">
        <f>S20-Y20</f>
        <v>0.0</v>
      </c>
      <c r="AA20" t="inlineStr">
        <is>
          <t>PAID</t>
        </is>
      </c>
      <c r="AB20" t="inlineStr">
        <is>
          <t>MULTIPLE</t>
        </is>
      </c>
      <c r="AC20" s="2" t="n">
        <v>45846.0</v>
      </c>
    </row>
    <row r="21">
      <c r="A21" t="inlineStr">
        <is>
          <t>LEASE-BH-F20-2025</t>
        </is>
      </c>
      <c r="B21" t="inlineStr">
        <is>
          <t>Flat 20 - 3 West Gate</t>
        </is>
      </c>
      <c r="C21" t="inlineStr">
        <is>
          <t>Achal (Delegated for Udayan)</t>
        </is>
      </c>
      <c r="D21" t="inlineStr">
        <is>
          <t>Mr James Kay</t>
        </is>
      </c>
      <c r="E21" s="2" t="n">
        <v>45732.0</v>
      </c>
      <c r="F21" t="n">
        <v>16.0</v>
      </c>
      <c r="G21" s="3" t="n">
        <f>IFERROR(SUMPRODUCT((RENT_DUE!$B$2:$B$1000="LEASE-BH-F20-2025")*(RENT_DUE!$D$2:$D$1000&gt;=DATE(2025,4,22))*(RENT_DUE!$D$2:$D$1000&lt;=DATE(2025,5,21))*RENT_DUE!$L$2:$L$1000), 0)</f>
        <v>0.0</v>
      </c>
      <c r="H21" s="3" t="n">
        <f>IFERROR(SUMPRODUCT((RENT_RECEIVED!$B$2:$B$1000="LEASE-BH-F20-2025")*(RENT_RECEIVED!$E$2:$E$1000&gt;=DATE(2025,4,22))*(RENT_RECEIVED!$E$2:$E$1000&lt;=DATE(2025,5,21))*RENT_RECEIVED!$O$2:$O$1000), 0)</f>
        <v>0.0</v>
      </c>
      <c r="I21" t="inlineStr">
        <is>
          <t>HIST-2025-05-1564</t>
        </is>
      </c>
      <c r="J21" s="3" t="n">
        <f>IFERROR(SUMIFS(RENT_DUE!$L$2:$L$10000, RENT_DUE!$B$2:$B$10000, "LEASE-BH-F20-2025", RENT_DUE!$D$2:$D$10000, "&lt;"&amp;DATE(2025,4,22)), 0) - IFERROR(SUMIFS(RENT_RECEIVED!$O$2:$O$10000, RENT_RECEIVED!$B$2:$B$10000, "LEASE-BH-F20-2025", RENT_RECEIVED!$E$2:$E$10000, "&lt;"&amp;DATE(2025,4,22)), 0)</f>
        <v>0.0</v>
      </c>
      <c r="K21" s="3" t="n">
        <f>G21 - H21</f>
        <v>0.0</v>
      </c>
      <c r="L21" s="3" t="n">
        <f>J21 + K21</f>
        <v>0.0</v>
      </c>
      <c r="M21" s="3" t="n">
        <f>H21 * 0.1500</f>
        <v>0.0</v>
      </c>
      <c r="N21" s="3" t="n">
        <f>H21 * 0.0000</f>
        <v>0.0</v>
      </c>
      <c r="O21" s="3" t="n">
        <f>ABS(M21 + N21)</f>
        <v>0.0</v>
      </c>
      <c r="P21" t="inlineStr">
        <is>
          <t/>
        </is>
      </c>
      <c r="Q21" s="3" t="n">
        <f>SUMIFS(EXPENSES!E:E, EXPENSES!B:B, "LEASE-BH-F20-2025", EXPENSES!D:D, "&gt;="&amp;DATE(2025,4,22), EXPENSES!D:D, "&lt;="&amp;DATE(2025,5,21))</f>
        <v>0.0</v>
      </c>
      <c r="R21" t="inlineStr">
        <is>
          <t/>
        </is>
      </c>
      <c r="S21" s="3" t="n">
        <f>H21 - O21 - Q21</f>
        <v>0.0</v>
      </c>
      <c r="T21" t="inlineStr">
        <is>
          <t/>
        </is>
      </c>
      <c r="U21" t="inlineStr">
        <is>
          <t/>
        </is>
      </c>
      <c r="V21" t="inlineStr">
        <is>
          <t/>
        </is>
      </c>
      <c r="W21" t="inlineStr">
        <is>
          <t/>
        </is>
      </c>
      <c r="X21" t="inlineStr">
        <is>
          <t/>
        </is>
      </c>
      <c r="Y21" s="3" t="n">
        <v>5255.0</v>
      </c>
      <c r="Z21" s="3" t="n">
        <f>S21-Y21</f>
        <v>0.0</v>
      </c>
      <c r="AA21" t="inlineStr">
        <is>
          <t>PAID</t>
        </is>
      </c>
      <c r="AB21" t="inlineStr">
        <is>
          <t>MULTIPLE</t>
        </is>
      </c>
      <c r="AC21" s="2" t="n">
        <v>45982.0</v>
      </c>
    </row>
    <row r="22">
      <c r="A22" t="inlineStr">
        <is>
          <t>LEASE-BH-F21-2025</t>
        </is>
      </c>
      <c r="B22" t="inlineStr">
        <is>
          <t>Flat 21 - 3 West Gate</t>
        </is>
      </c>
      <c r="C22" t="inlineStr">
        <is>
          <t>Achal (Delegated for Udayan)</t>
        </is>
      </c>
      <c r="D22" t="inlineStr">
        <is>
          <t>Mr Felwin Francis</t>
        </is>
      </c>
      <c r="E22" s="2" t="n">
        <v>45687.0</v>
      </c>
      <c r="F22" t="n">
        <v>30.0</v>
      </c>
      <c r="G22" s="3" t="n">
        <f>IFERROR(SUMPRODUCT((RENT_DUE!$B$2:$B$1000="LEASE-BH-F21-2025")*(RENT_DUE!$D$2:$D$1000&gt;=DATE(2025,4,22))*(RENT_DUE!$D$2:$D$1000&lt;=DATE(2025,5,21))*RENT_DUE!$L$2:$L$1000), 0)</f>
        <v>0.0</v>
      </c>
      <c r="H22" s="3" t="n">
        <f>IFERROR(SUMPRODUCT((RENT_RECEIVED!$B$2:$B$1000="LEASE-BH-F21-2025")*(RENT_RECEIVED!$E$2:$E$1000&gt;=DATE(2025,4,22))*(RENT_RECEIVED!$E$2:$E$1000&lt;=DATE(2025,5,21))*RENT_RECEIVED!$O$2:$O$1000), 0)</f>
        <v>0.0</v>
      </c>
      <c r="I22" t="inlineStr">
        <is>
          <t>HIST-2025-05-1564</t>
        </is>
      </c>
      <c r="J22" s="3" t="n">
        <f>IFERROR(SUMIFS(RENT_DUE!$L$2:$L$10000, RENT_DUE!$B$2:$B$10000, "LEASE-BH-F21-2025", RENT_DUE!$D$2:$D$10000, "&lt;"&amp;DATE(2025,4,22)), 0) - IFERROR(SUMIFS(RENT_RECEIVED!$O$2:$O$10000, RENT_RECEIVED!$B$2:$B$10000, "LEASE-BH-F21-2025", RENT_RECEIVED!$E$2:$E$10000, "&lt;"&amp;DATE(2025,4,22)), 0)</f>
        <v>0.0</v>
      </c>
      <c r="K22" s="3" t="n">
        <f>G22 - H22</f>
        <v>0.0</v>
      </c>
      <c r="L22" s="3" t="n">
        <f>J22 + K22</f>
        <v>0.0</v>
      </c>
      <c r="M22" s="3" t="n">
        <f>H22 * 0.1500</f>
        <v>0.0</v>
      </c>
      <c r="N22" s="3" t="n">
        <f>H22 * 0.0000</f>
        <v>0.0</v>
      </c>
      <c r="O22" s="3" t="n">
        <f>ABS(M22 + N22)</f>
        <v>0.0</v>
      </c>
      <c r="P22" t="inlineStr">
        <is>
          <t/>
        </is>
      </c>
      <c r="Q22" s="3" t="n">
        <f>SUMIFS(EXPENSES!E:E, EXPENSES!B:B, "LEASE-BH-F21-2025", EXPENSES!D:D, "&gt;="&amp;DATE(2025,4,22), EXPENSES!D:D, "&lt;="&amp;DATE(2025,5,21))</f>
        <v>0.0</v>
      </c>
      <c r="R22" t="inlineStr">
        <is>
          <t/>
        </is>
      </c>
      <c r="S22" s="3" t="n">
        <f>H22 - O22 - Q22</f>
        <v>0.0</v>
      </c>
      <c r="T22" t="inlineStr">
        <is>
          <t/>
        </is>
      </c>
      <c r="U22" t="inlineStr">
        <is>
          <t/>
        </is>
      </c>
      <c r="V22" t="inlineStr">
        <is>
          <t/>
        </is>
      </c>
      <c r="W22" t="inlineStr">
        <is>
          <t/>
        </is>
      </c>
      <c r="X22" t="inlineStr">
        <is>
          <t/>
        </is>
      </c>
      <c r="Y22" s="3" t="n">
        <v>6637.5</v>
      </c>
      <c r="Z22" s="3" t="n">
        <f>S22-Y22</f>
        <v>0.0</v>
      </c>
      <c r="AA22" t="inlineStr">
        <is>
          <t>PAID</t>
        </is>
      </c>
      <c r="AB22" t="inlineStr">
        <is>
          <t>MULTIPLE</t>
        </is>
      </c>
      <c r="AC22" s="2" t="n">
        <v>45982.0</v>
      </c>
    </row>
    <row r="23">
      <c r="A23" t="inlineStr">
        <is>
          <t>LEASE-BH-F22-2025</t>
        </is>
      </c>
      <c r="B23" t="inlineStr">
        <is>
          <t>Flat 22 - 3 West Gate</t>
        </is>
      </c>
      <c r="C23" t="inlineStr">
        <is>
          <t>Achal (Delegated for Udayan)</t>
        </is>
      </c>
      <c r="D23" t="inlineStr">
        <is>
          <t>Mr Brian Lowe</t>
        </is>
      </c>
      <c r="E23" s="2" t="n">
        <v>45717.0</v>
      </c>
      <c r="F23" t="n">
        <v>1.0</v>
      </c>
      <c r="G23" s="3" t="n">
        <f>IFERROR(SUMPRODUCT((RENT_DUE!$B$2:$B$1000="LEASE-BH-F22-2025")*(RENT_DUE!$D$2:$D$1000&gt;=DATE(2025,4,22))*(RENT_DUE!$D$2:$D$1000&lt;=DATE(2025,5,21))*RENT_DUE!$L$2:$L$1000), 0)</f>
        <v>0.0</v>
      </c>
      <c r="H23" s="3" t="n">
        <f>IFERROR(SUMPRODUCT((RENT_RECEIVED!$B$2:$B$1000="LEASE-BH-F22-2025")*(RENT_RECEIVED!$E$2:$E$1000&gt;=DATE(2025,4,22))*(RENT_RECEIVED!$E$2:$E$1000&lt;=DATE(2025,5,21))*RENT_RECEIVED!$O$2:$O$1000), 0)</f>
        <v>0.0</v>
      </c>
      <c r="I23" t="inlineStr">
        <is>
          <t>HIST-2025-04-1532, HIST-2025-05-1564</t>
        </is>
      </c>
      <c r="J23" s="3" t="n">
        <f>IFERROR(SUMIFS(RENT_DUE!$L$2:$L$10000, RENT_DUE!$B$2:$B$10000, "LEASE-BH-F22-2025", RENT_DUE!$D$2:$D$10000, "&lt;"&amp;DATE(2025,4,22)), 0) - IFERROR(SUMIFS(RENT_RECEIVED!$O$2:$O$10000, RENT_RECEIVED!$B$2:$B$10000, "LEASE-BH-F22-2025", RENT_RECEIVED!$E$2:$E$10000, "&lt;"&amp;DATE(2025,4,22)), 0)</f>
        <v>0.0</v>
      </c>
      <c r="K23" s="3" t="n">
        <f>G23 - H23</f>
        <v>0.0</v>
      </c>
      <c r="L23" s="3" t="n">
        <f>J23 + K23</f>
        <v>0.0</v>
      </c>
      <c r="M23" s="3" t="n">
        <f>H23 * 0.1500</f>
        <v>0.0</v>
      </c>
      <c r="N23" s="3" t="n">
        <f>H23 * 0.0000</f>
        <v>0.0</v>
      </c>
      <c r="O23" s="3" t="n">
        <f>ABS(M23 + N23)</f>
        <v>0.0</v>
      </c>
      <c r="P23" t="inlineStr">
        <is>
          <t/>
        </is>
      </c>
      <c r="Q23" s="3" t="n">
        <f>SUMIFS(EXPENSES!E:E, EXPENSES!B:B, "LEASE-BH-F22-2025", EXPENSES!D:D, "&gt;="&amp;DATE(2025,4,22), EXPENSES!D:D, "&lt;="&amp;DATE(2025,5,21))</f>
        <v>0.0</v>
      </c>
      <c r="R23" t="inlineStr">
        <is>
          <t/>
        </is>
      </c>
      <c r="S23" s="3" t="n">
        <f>H23 - O23 - Q23</f>
        <v>0.0</v>
      </c>
      <c r="T23" t="inlineStr">
        <is>
          <t/>
        </is>
      </c>
      <c r="U23" t="inlineStr">
        <is>
          <t/>
        </is>
      </c>
      <c r="V23" t="inlineStr">
        <is>
          <t/>
        </is>
      </c>
      <c r="W23" t="inlineStr">
        <is>
          <t/>
        </is>
      </c>
      <c r="X23" t="inlineStr">
        <is>
          <t/>
        </is>
      </c>
      <c r="Y23" s="3" t="n">
        <v>5661.0</v>
      </c>
      <c r="Z23" s="3" t="n">
        <f>S23-Y23</f>
        <v>0.0</v>
      </c>
      <c r="AA23" t="inlineStr">
        <is>
          <t>PAID</t>
        </is>
      </c>
      <c r="AB23" t="inlineStr">
        <is>
          <t>MULTIPLE</t>
        </is>
      </c>
      <c r="AC23" s="2" t="n">
        <v>45982.0</v>
      </c>
    </row>
    <row r="24">
      <c r="A24" t="inlineStr">
        <is>
          <t>LEASE-BH-F24-2025</t>
        </is>
      </c>
      <c r="B24" t="inlineStr">
        <is>
          <t>Flat 24 - 3 West Gate</t>
        </is>
      </c>
      <c r="C24" t="inlineStr">
        <is>
          <t>Achal (Delegated for Udayan)</t>
        </is>
      </c>
      <c r="D24" t="inlineStr">
        <is>
          <t>Mr Ethan Maloney, Miss Soraya Fearon</t>
        </is>
      </c>
      <c r="E24" s="2" t="n">
        <v>45700.0</v>
      </c>
      <c r="F24" t="n">
        <v>12.0</v>
      </c>
      <c r="G24" s="3" t="n">
        <f>IFERROR(SUMPRODUCT((RENT_DUE!$B$2:$B$1000="LEASE-BH-F24-2025")*(RENT_DUE!$D$2:$D$1000&gt;=DATE(2025,4,22))*(RENT_DUE!$D$2:$D$1000&lt;=DATE(2025,5,21))*RENT_DUE!$L$2:$L$1000), 0)</f>
        <v>0.0</v>
      </c>
      <c r="H24" s="3" t="n">
        <f>IFERROR(SUMPRODUCT((RENT_RECEIVED!$B$2:$B$1000="LEASE-BH-F24-2025")*(RENT_RECEIVED!$E$2:$E$1000&gt;=DATE(2025,4,22))*(RENT_RECEIVED!$E$2:$E$1000&lt;=DATE(2025,5,21))*RENT_RECEIVED!$O$2:$O$1000), 0)</f>
        <v>0.0</v>
      </c>
      <c r="I24" t="inlineStr">
        <is>
          <t>HIST-2025-05-1564</t>
        </is>
      </c>
      <c r="J24" s="3" t="n">
        <f>IFERROR(SUMIFS(RENT_DUE!$L$2:$L$10000, RENT_DUE!$B$2:$B$10000, "LEASE-BH-F24-2025", RENT_DUE!$D$2:$D$10000, "&lt;"&amp;DATE(2025,4,22)), 0) - IFERROR(SUMIFS(RENT_RECEIVED!$O$2:$O$10000, RENT_RECEIVED!$B$2:$B$10000, "LEASE-BH-F24-2025", RENT_RECEIVED!$E$2:$E$10000, "&lt;"&amp;DATE(2025,4,22)), 0)</f>
        <v>0.0</v>
      </c>
      <c r="K24" s="3" t="n">
        <f>G24 - H24</f>
        <v>0.0</v>
      </c>
      <c r="L24" s="3" t="n">
        <f>J24 + K24</f>
        <v>0.0</v>
      </c>
      <c r="M24" s="3" t="n">
        <f>H24 * 0.1500</f>
        <v>0.0</v>
      </c>
      <c r="N24" s="3" t="n">
        <f>H24 * 0.0000</f>
        <v>0.0</v>
      </c>
      <c r="O24" s="3" t="n">
        <f>ABS(M24 + N24)</f>
        <v>0.0</v>
      </c>
      <c r="P24" t="inlineStr">
        <is>
          <t/>
        </is>
      </c>
      <c r="Q24" s="3" t="n">
        <f>SUMIFS(EXPENSES!E:E, EXPENSES!B:B, "LEASE-BH-F24-2025", EXPENSES!D:D, "&gt;="&amp;DATE(2025,4,22), EXPENSES!D:D, "&lt;="&amp;DATE(2025,5,21))</f>
        <v>0.0</v>
      </c>
      <c r="R24" t="inlineStr">
        <is>
          <t/>
        </is>
      </c>
      <c r="S24" s="3" t="n">
        <f>H24 - O24 - Q24</f>
        <v>0.0</v>
      </c>
      <c r="T24" t="inlineStr">
        <is>
          <t/>
        </is>
      </c>
      <c r="U24" t="inlineStr">
        <is>
          <t/>
        </is>
      </c>
      <c r="V24" t="inlineStr">
        <is>
          <t/>
        </is>
      </c>
      <c r="W24" t="inlineStr">
        <is>
          <t/>
        </is>
      </c>
      <c r="X24" t="inlineStr">
        <is>
          <t/>
        </is>
      </c>
      <c r="Y24" s="3" t="n">
        <v>6765.0</v>
      </c>
      <c r="Z24" s="3" t="n">
        <f>S24-Y24</f>
        <v>0.0</v>
      </c>
      <c r="AA24" t="inlineStr">
        <is>
          <t>PAID</t>
        </is>
      </c>
      <c r="AB24" t="inlineStr">
        <is>
          <t>MULTIPLE</t>
        </is>
      </c>
      <c r="AC24" s="2" t="n">
        <v>45982.0</v>
      </c>
    </row>
    <row r="25">
      <c r="A25" t="inlineStr">
        <is>
          <t>LEASE-BH-F26-2025</t>
        </is>
      </c>
      <c r="B25" t="inlineStr">
        <is>
          <t>Flat 26 - 3 West Gate</t>
        </is>
      </c>
      <c r="C25" t="inlineStr">
        <is>
          <t>Achal (Delegated for Udayan)</t>
        </is>
      </c>
      <c r="D25" t="inlineStr">
        <is>
          <t>Mr Louis Scotting</t>
        </is>
      </c>
      <c r="E25" s="2" t="n">
        <v>45730.0</v>
      </c>
      <c r="F25" t="n">
        <v>14.0</v>
      </c>
      <c r="G25" s="3" t="n">
        <f>IFERROR(SUMPRODUCT((RENT_DUE!$B$2:$B$1000="LEASE-BH-F26-2025")*(RENT_DUE!$D$2:$D$1000&gt;=DATE(2025,4,22))*(RENT_DUE!$D$2:$D$1000&lt;=DATE(2025,5,21))*RENT_DUE!$L$2:$L$1000), 0)</f>
        <v>0.0</v>
      </c>
      <c r="H25" s="3" t="n">
        <f>IFERROR(SUMPRODUCT((RENT_RECEIVED!$B$2:$B$1000="LEASE-BH-F26-2025")*(RENT_RECEIVED!$E$2:$E$1000&gt;=DATE(2025,4,22))*(RENT_RECEIVED!$E$2:$E$1000&lt;=DATE(2025,5,21))*RENT_RECEIVED!$O$2:$O$1000), 0)</f>
        <v>0.0</v>
      </c>
      <c r="I25" t="inlineStr">
        <is>
          <t>HIST-2025-05-1564</t>
        </is>
      </c>
      <c r="J25" s="3" t="n">
        <f>IFERROR(SUMIFS(RENT_DUE!$L$2:$L$10000, RENT_DUE!$B$2:$B$10000, "LEASE-BH-F26-2025", RENT_DUE!$D$2:$D$10000, "&lt;"&amp;DATE(2025,4,22)), 0) - IFERROR(SUMIFS(RENT_RECEIVED!$O$2:$O$10000, RENT_RECEIVED!$B$2:$B$10000, "LEASE-BH-F26-2025", RENT_RECEIVED!$E$2:$E$10000, "&lt;"&amp;DATE(2025,4,22)), 0)</f>
        <v>0.0</v>
      </c>
      <c r="K25" s="3" t="n">
        <f>G25 - H25</f>
        <v>0.0</v>
      </c>
      <c r="L25" s="3" t="n">
        <f>J25 + K25</f>
        <v>0.0</v>
      </c>
      <c r="M25" s="3" t="n">
        <f>H25 * 0.1500</f>
        <v>0.0</v>
      </c>
      <c r="N25" s="3" t="n">
        <f>H25 * 0.0000</f>
        <v>0.0</v>
      </c>
      <c r="O25" s="3" t="n">
        <f>ABS(M25 + N25)</f>
        <v>0.0</v>
      </c>
      <c r="P25" t="inlineStr">
        <is>
          <t/>
        </is>
      </c>
      <c r="Q25" s="3" t="n">
        <f>SUMIFS(EXPENSES!E:E, EXPENSES!B:B, "LEASE-BH-F26-2025", EXPENSES!D:D, "&gt;="&amp;DATE(2025,4,22), EXPENSES!D:D, "&lt;="&amp;DATE(2025,5,21))</f>
        <v>0.0</v>
      </c>
      <c r="R25" t="inlineStr">
        <is>
          <t/>
        </is>
      </c>
      <c r="S25" s="3" t="n">
        <f>H25 - O25 - Q25</f>
        <v>0.0</v>
      </c>
      <c r="T25" t="inlineStr">
        <is>
          <t/>
        </is>
      </c>
      <c r="U25" t="inlineStr">
        <is>
          <t/>
        </is>
      </c>
      <c r="V25" t="inlineStr">
        <is>
          <t/>
        </is>
      </c>
      <c r="W25" t="inlineStr">
        <is>
          <t/>
        </is>
      </c>
      <c r="X25" t="inlineStr">
        <is>
          <t/>
        </is>
      </c>
      <c r="Y25" s="3" t="n">
        <v>5163.75</v>
      </c>
      <c r="Z25" s="3" t="n">
        <f>S25-Y25</f>
        <v>0.0</v>
      </c>
      <c r="AA25" t="inlineStr">
        <is>
          <t>PAID</t>
        </is>
      </c>
      <c r="AB25" t="inlineStr">
        <is>
          <t>MULTIPLE</t>
        </is>
      </c>
      <c r="AC25" s="2" t="n">
        <v>45992.0</v>
      </c>
    </row>
    <row r="26">
      <c r="A26" t="inlineStr">
        <is>
          <t>LEASE-BH-F27-2025</t>
        </is>
      </c>
      <c r="B26" t="inlineStr">
        <is>
          <t>Flat 27 - 3 West Gate</t>
        </is>
      </c>
      <c r="C26" t="inlineStr">
        <is>
          <t>Achal (Delegated for Udayan)</t>
        </is>
      </c>
      <c r="D26" t="inlineStr">
        <is>
          <t>Miss Sophie Murray</t>
        </is>
      </c>
      <c r="E26" s="2" t="n">
        <v>45716.0</v>
      </c>
      <c r="F26" t="n">
        <v>30.0</v>
      </c>
      <c r="G26" s="3" t="n">
        <f>IFERROR(SUMPRODUCT((RENT_DUE!$B$2:$B$1000="LEASE-BH-F27-2025")*(RENT_DUE!$D$2:$D$1000&gt;=DATE(2025,4,22))*(RENT_DUE!$D$2:$D$1000&lt;=DATE(2025,5,21))*RENT_DUE!$L$2:$L$1000), 0)</f>
        <v>0.0</v>
      </c>
      <c r="H26" s="3" t="n">
        <f>IFERROR(SUMPRODUCT((RENT_RECEIVED!$B$2:$B$1000="LEASE-BH-F27-2025")*(RENT_RECEIVED!$E$2:$E$1000&gt;=DATE(2025,4,22))*(RENT_RECEIVED!$E$2:$E$1000&lt;=DATE(2025,5,21))*RENT_RECEIVED!$O$2:$O$1000), 0)</f>
        <v>0.0</v>
      </c>
      <c r="I26" t="inlineStr">
        <is>
          <t>HIST-2025-05-1564</t>
        </is>
      </c>
      <c r="J26" s="3" t="n">
        <f>IFERROR(SUMIFS(RENT_DUE!$L$2:$L$10000, RENT_DUE!$B$2:$B$10000, "LEASE-BH-F27-2025", RENT_DUE!$D$2:$D$10000, "&lt;"&amp;DATE(2025,4,22)), 0) - IFERROR(SUMIFS(RENT_RECEIVED!$O$2:$O$10000, RENT_RECEIVED!$B$2:$B$10000, "LEASE-BH-F27-2025", RENT_RECEIVED!$E$2:$E$10000, "&lt;"&amp;DATE(2025,4,22)), 0)</f>
        <v>0.0</v>
      </c>
      <c r="K26" s="3" t="n">
        <f>G26 - H26</f>
        <v>0.0</v>
      </c>
      <c r="L26" s="3" t="n">
        <f>J26 + K26</f>
        <v>0.0</v>
      </c>
      <c r="M26" s="3" t="n">
        <f>H26 * 0.1500</f>
        <v>0.0</v>
      </c>
      <c r="N26" s="3" t="n">
        <f>H26 * 0.0000</f>
        <v>0.0</v>
      </c>
      <c r="O26" s="3" t="n">
        <f>ABS(M26 + N26)</f>
        <v>0.0</v>
      </c>
      <c r="P26" t="inlineStr">
        <is>
          <t/>
        </is>
      </c>
      <c r="Q26" s="3" t="n">
        <f>SUMIFS(EXPENSES!E:E, EXPENSES!B:B, "LEASE-BH-F27-2025", EXPENSES!D:D, "&gt;="&amp;DATE(2025,4,22), EXPENSES!D:D, "&lt;="&amp;DATE(2025,5,21))</f>
        <v>0.0</v>
      </c>
      <c r="R26" t="inlineStr">
        <is>
          <t/>
        </is>
      </c>
      <c r="S26" s="3" t="n">
        <f>H26 - O26 - Q26</f>
        <v>0.0</v>
      </c>
      <c r="T26" t="inlineStr">
        <is>
          <t/>
        </is>
      </c>
      <c r="U26" t="inlineStr">
        <is>
          <t/>
        </is>
      </c>
      <c r="V26" t="inlineStr">
        <is>
          <t/>
        </is>
      </c>
      <c r="W26" t="inlineStr">
        <is>
          <t/>
        </is>
      </c>
      <c r="X26" t="inlineStr">
        <is>
          <t/>
        </is>
      </c>
      <c r="Y26" s="3" t="n">
        <v>5355.0</v>
      </c>
      <c r="Z26" s="3" t="n">
        <f>S26-Y26</f>
        <v>0.0</v>
      </c>
      <c r="AA26" t="inlineStr">
        <is>
          <t>PAID</t>
        </is>
      </c>
      <c r="AB26" t="inlineStr">
        <is>
          <t>MULTIPLE</t>
        </is>
      </c>
      <c r="AC26" s="2" t="n">
        <v>45982.0</v>
      </c>
    </row>
    <row r="27">
      <c r="A27" t="inlineStr">
        <is>
          <t>LEASE-BH-F28-2025</t>
        </is>
      </c>
      <c r="B27" t="inlineStr">
        <is>
          <t>Flat 28 - 3 West Gate</t>
        </is>
      </c>
      <c r="C27" t="inlineStr">
        <is>
          <t>Achal (Delegated for Udayan)</t>
        </is>
      </c>
      <c r="D27" t="inlineStr">
        <is>
          <t>Ms Shiu Lun Cheung, Mr Chi Man Poon</t>
        </is>
      </c>
      <c r="E27" s="2" t="n">
        <v>45744.0</v>
      </c>
      <c r="F27" t="n">
        <v>18.0</v>
      </c>
      <c r="G27" s="3" t="n">
        <f>IFERROR(SUMPRODUCT((RENT_DUE!$B$2:$B$1000="LEASE-BH-F28-2025")*(RENT_DUE!$D$2:$D$1000&gt;=DATE(2025,4,22))*(RENT_DUE!$D$2:$D$1000&lt;=DATE(2025,5,21))*RENT_DUE!$L$2:$L$1000), 0)</f>
        <v>0.0</v>
      </c>
      <c r="H27" s="3" t="n">
        <f>IFERROR(SUMPRODUCT((RENT_RECEIVED!$B$2:$B$1000="LEASE-BH-F28-2025")*(RENT_RECEIVED!$E$2:$E$1000&gt;=DATE(2025,4,22))*(RENT_RECEIVED!$E$2:$E$1000&lt;=DATE(2025,5,21))*RENT_RECEIVED!$O$2:$O$1000), 0)</f>
        <v>0.0</v>
      </c>
      <c r="I27" t="inlineStr">
        <is>
          <t>HIST-2025-05-1564</t>
        </is>
      </c>
      <c r="J27" s="3" t="n">
        <f>IFERROR(SUMIFS(RENT_DUE!$L$2:$L$10000, RENT_DUE!$B$2:$B$10000, "LEASE-BH-F28-2025", RENT_DUE!$D$2:$D$10000, "&lt;"&amp;DATE(2025,4,22)), 0) - IFERROR(SUMIFS(RENT_RECEIVED!$O$2:$O$10000, RENT_RECEIVED!$B$2:$B$10000, "LEASE-BH-F28-2025", RENT_RECEIVED!$E$2:$E$10000, "&lt;"&amp;DATE(2025,4,22)), 0)</f>
        <v>0.0</v>
      </c>
      <c r="K27" s="3" t="n">
        <f>G27 - H27</f>
        <v>0.0</v>
      </c>
      <c r="L27" s="3" t="n">
        <f>J27 + K27</f>
        <v>0.0</v>
      </c>
      <c r="M27" s="3" t="n">
        <f>H27 * 0.1500</f>
        <v>0.0</v>
      </c>
      <c r="N27" s="3" t="n">
        <f>H27 * 0.0000</f>
        <v>0.0</v>
      </c>
      <c r="O27" s="3" t="n">
        <f>ABS(M27 + N27)</f>
        <v>0.0</v>
      </c>
      <c r="P27" t="inlineStr">
        <is>
          <t/>
        </is>
      </c>
      <c r="Q27" s="3" t="n">
        <f>SUMIFS(EXPENSES!E:E, EXPENSES!B:B, "LEASE-BH-F28-2025", EXPENSES!D:D, "&gt;="&amp;DATE(2025,4,22), EXPENSES!D:D, "&lt;="&amp;DATE(2025,5,21))</f>
        <v>0.0</v>
      </c>
      <c r="R27" t="inlineStr">
        <is>
          <t/>
        </is>
      </c>
      <c r="S27" s="3" t="n">
        <f>H27 - O27 - Q27</f>
        <v>0.0</v>
      </c>
      <c r="T27" t="inlineStr">
        <is>
          <t/>
        </is>
      </c>
      <c r="U27" t="inlineStr">
        <is>
          <t/>
        </is>
      </c>
      <c r="V27" t="inlineStr">
        <is>
          <t/>
        </is>
      </c>
      <c r="W27" t="inlineStr">
        <is>
          <t/>
        </is>
      </c>
      <c r="X27" t="inlineStr">
        <is>
          <t/>
        </is>
      </c>
      <c r="Y27" s="3" t="n">
        <v>0.0</v>
      </c>
      <c r="Z27" s="3" t="n">
        <f>S27-Y27</f>
        <v>0.0</v>
      </c>
      <c r="AA27" t="inlineStr">
        <is>
          <t>PAID</t>
        </is>
      </c>
      <c r="AB27" t="inlineStr">
        <is>
          <t>HIST-2025-10-1650</t>
        </is>
      </c>
      <c r="AC27" s="2" t="n">
        <v>45951.0</v>
      </c>
    </row>
    <row r="28">
      <c r="A28" t="inlineStr">
        <is>
          <t>LEASE-BH-F29-2025</t>
        </is>
      </c>
      <c r="B28" t="inlineStr">
        <is>
          <t>Flat 29 - 3 West Gate</t>
        </is>
      </c>
      <c r="C28" t="inlineStr">
        <is>
          <t>Achal (Delegated for Udayan)</t>
        </is>
      </c>
      <c r="D28" t="inlineStr">
        <is>
          <t>Mrs Margaret Fritchley</t>
        </is>
      </c>
      <c r="E28" s="2" t="n">
        <v>45715.0</v>
      </c>
      <c r="F28" t="n">
        <v>27.0</v>
      </c>
      <c r="G28" s="3" t="n">
        <f>IFERROR(SUMPRODUCT((RENT_DUE!$B$2:$B$1000="LEASE-BH-F29-2025")*(RENT_DUE!$D$2:$D$1000&gt;=DATE(2025,4,22))*(RENT_DUE!$D$2:$D$1000&lt;=DATE(2025,5,21))*RENT_DUE!$L$2:$L$1000), 0)</f>
        <v>0.0</v>
      </c>
      <c r="H28" s="3" t="n">
        <f>IFERROR(SUMPRODUCT((RENT_RECEIVED!$B$2:$B$1000="LEASE-BH-F29-2025")*(RENT_RECEIVED!$E$2:$E$1000&gt;=DATE(2025,4,22))*(RENT_RECEIVED!$E$2:$E$1000&lt;=DATE(2025,5,21))*RENT_RECEIVED!$O$2:$O$1000), 0)</f>
        <v>0.0</v>
      </c>
      <c r="I28" t="inlineStr">
        <is>
          <t>HIST-2025-05-1564</t>
        </is>
      </c>
      <c r="J28" s="3" t="n">
        <f>IFERROR(SUMIFS(RENT_DUE!$L$2:$L$10000, RENT_DUE!$B$2:$B$10000, "LEASE-BH-F29-2025", RENT_DUE!$D$2:$D$10000, "&lt;"&amp;DATE(2025,4,22)), 0) - IFERROR(SUMIFS(RENT_RECEIVED!$O$2:$O$10000, RENT_RECEIVED!$B$2:$B$10000, "LEASE-BH-F29-2025", RENT_RECEIVED!$E$2:$E$10000, "&lt;"&amp;DATE(2025,4,22)), 0)</f>
        <v>0.0</v>
      </c>
      <c r="K28" s="3" t="n">
        <f>G28 - H28</f>
        <v>0.0</v>
      </c>
      <c r="L28" s="3" t="n">
        <f>J28 + K28</f>
        <v>0.0</v>
      </c>
      <c r="M28" s="3" t="n">
        <f>H28 * 0.1500</f>
        <v>0.0</v>
      </c>
      <c r="N28" s="3" t="n">
        <f>H28 * 0.0000</f>
        <v>0.0</v>
      </c>
      <c r="O28" s="3" t="n">
        <f>ABS(M28 + N28)</f>
        <v>0.0</v>
      </c>
      <c r="P28" t="inlineStr">
        <is>
          <t/>
        </is>
      </c>
      <c r="Q28" s="3" t="n">
        <f>SUMIFS(EXPENSES!E:E, EXPENSES!B:B, "LEASE-BH-F29-2025", EXPENSES!D:D, "&gt;="&amp;DATE(2025,4,22), EXPENSES!D:D, "&lt;="&amp;DATE(2025,5,21))</f>
        <v>0.0</v>
      </c>
      <c r="R28" t="inlineStr">
        <is>
          <t/>
        </is>
      </c>
      <c r="S28" s="3" t="n">
        <f>H28 - O28 - Q28</f>
        <v>0.0</v>
      </c>
      <c r="T28" t="inlineStr">
        <is>
          <t/>
        </is>
      </c>
      <c r="U28" t="inlineStr">
        <is>
          <t/>
        </is>
      </c>
      <c r="V28" t="inlineStr">
        <is>
          <t/>
        </is>
      </c>
      <c r="W28" t="inlineStr">
        <is>
          <t/>
        </is>
      </c>
      <c r="X28" t="inlineStr">
        <is>
          <t/>
        </is>
      </c>
      <c r="Y28" s="3" t="n">
        <v>5541.0</v>
      </c>
      <c r="Z28" s="3" t="n">
        <f>S28-Y28</f>
        <v>0.0</v>
      </c>
      <c r="AA28" t="inlineStr">
        <is>
          <t>PAID</t>
        </is>
      </c>
      <c r="AB28" t="inlineStr">
        <is>
          <t>MULTIPLE</t>
        </is>
      </c>
      <c r="AC28" s="2" t="n">
        <v>45982.0</v>
      </c>
    </row>
    <row r="29">
      <c r="A29" t="inlineStr">
        <is>
          <t>LEASE-BH-F30-2025</t>
        </is>
      </c>
      <c r="B29" t="inlineStr">
        <is>
          <t>Flat 30 - 3 West Gate</t>
        </is>
      </c>
      <c r="C29" t="inlineStr">
        <is>
          <t>Achal (Delegated for Udayan)</t>
        </is>
      </c>
      <c r="D29" t="inlineStr">
        <is>
          <t>Mr Joel Bryan</t>
        </is>
      </c>
      <c r="E29" s="2" t="n">
        <v>45722.0</v>
      </c>
      <c r="F29" t="n">
        <v>6.0</v>
      </c>
      <c r="G29" s="3" t="n">
        <f>IFERROR(SUMPRODUCT((RENT_DUE!$B$2:$B$1000="LEASE-BH-F30-2025")*(RENT_DUE!$D$2:$D$1000&gt;=DATE(2025,4,22))*(RENT_DUE!$D$2:$D$1000&lt;=DATE(2025,5,21))*RENT_DUE!$L$2:$L$1000), 0)</f>
        <v>0.0</v>
      </c>
      <c r="H29" s="3" t="n">
        <f>IFERROR(SUMPRODUCT((RENT_RECEIVED!$B$2:$B$1000="LEASE-BH-F30-2025")*(RENT_RECEIVED!$E$2:$E$1000&gt;=DATE(2025,4,22))*(RENT_RECEIVED!$E$2:$E$1000&lt;=DATE(2025,5,21))*RENT_RECEIVED!$O$2:$O$1000), 0)</f>
        <v>0.0</v>
      </c>
      <c r="I29" t="inlineStr">
        <is>
          <t>HIST-2025-05-1564</t>
        </is>
      </c>
      <c r="J29" s="3" t="n">
        <f>IFERROR(SUMIFS(RENT_DUE!$L$2:$L$10000, RENT_DUE!$B$2:$B$10000, "LEASE-BH-F30-2025", RENT_DUE!$D$2:$D$10000, "&lt;"&amp;DATE(2025,4,22)), 0) - IFERROR(SUMIFS(RENT_RECEIVED!$O$2:$O$10000, RENT_RECEIVED!$B$2:$B$10000, "LEASE-BH-F30-2025", RENT_RECEIVED!$E$2:$E$10000, "&lt;"&amp;DATE(2025,4,22)), 0)</f>
        <v>0.0</v>
      </c>
      <c r="K29" s="3" t="n">
        <f>G29 - H29</f>
        <v>0.0</v>
      </c>
      <c r="L29" s="3" t="n">
        <f>J29 + K29</f>
        <v>0.0</v>
      </c>
      <c r="M29" s="3" t="n">
        <f>H29 * 0.1500</f>
        <v>0.0</v>
      </c>
      <c r="N29" s="3" t="n">
        <f>H29 * 0.0000</f>
        <v>0.0</v>
      </c>
      <c r="O29" s="3" t="n">
        <f>ABS(M29 + N29)</f>
        <v>0.0</v>
      </c>
      <c r="P29" t="inlineStr">
        <is>
          <t/>
        </is>
      </c>
      <c r="Q29" s="3" t="n">
        <f>SUMIFS(EXPENSES!E:E, EXPENSES!B:B, "LEASE-BH-F30-2025", EXPENSES!D:D, "&gt;="&amp;DATE(2025,4,22), EXPENSES!D:D, "&lt;="&amp;DATE(2025,5,21))</f>
        <v>0.0</v>
      </c>
      <c r="R29" t="inlineStr">
        <is>
          <t/>
        </is>
      </c>
      <c r="S29" s="3" t="n">
        <f>H29 - O29 - Q29</f>
        <v>0.0</v>
      </c>
      <c r="T29" t="inlineStr">
        <is>
          <t/>
        </is>
      </c>
      <c r="U29" t="inlineStr">
        <is>
          <t/>
        </is>
      </c>
      <c r="V29" t="inlineStr">
        <is>
          <t/>
        </is>
      </c>
      <c r="W29" t="inlineStr">
        <is>
          <t/>
        </is>
      </c>
      <c r="X29" t="inlineStr">
        <is>
          <t/>
        </is>
      </c>
      <c r="Y29" s="3" t="n">
        <v>5032.0</v>
      </c>
      <c r="Z29" s="3" t="n">
        <f>S29-Y29</f>
        <v>0.0</v>
      </c>
      <c r="AA29" t="inlineStr">
        <is>
          <t>PAID</t>
        </is>
      </c>
      <c r="AB29" t="inlineStr">
        <is>
          <t>MULTIPLE</t>
        </is>
      </c>
      <c r="AC29" s="2" t="n">
        <v>45992.0</v>
      </c>
    </row>
    <row r="30">
      <c r="A30" t="inlineStr">
        <is>
          <t>LEASE-KH-F-2024</t>
        </is>
      </c>
      <c r="B30" t="inlineStr">
        <is>
          <t>Apartment F - Knighton Hayes Manor</t>
        </is>
      </c>
      <c r="C30" t="inlineStr">
        <is>
          <t>Achal (Delegated for Udayan)</t>
        </is>
      </c>
      <c r="D30" t="inlineStr">
        <is>
          <t>Mr Riaz Hamid, Ismat Tarr-Hamid</t>
        </is>
      </c>
      <c r="E30" s="2" t="n">
        <v>45648.0</v>
      </c>
      <c r="F30" t="n">
        <v>22.0</v>
      </c>
      <c r="G30" s="3" t="n">
        <f>IFERROR(SUMPRODUCT((RENT_DUE!$B$2:$B$1000="LEASE-KH-F-2024")*(RENT_DUE!$D$2:$D$1000&gt;=DATE(2025,4,22))*(RENT_DUE!$D$2:$D$1000&lt;=DATE(2025,5,21))*RENT_DUE!$L$2:$L$1000), 0)</f>
        <v>0.0</v>
      </c>
      <c r="H30" s="3" t="n">
        <f>IFERROR(SUMPRODUCT((RENT_RECEIVED!$B$2:$B$1000="LEASE-KH-F-2024")*(RENT_RECEIVED!$E$2:$E$1000&gt;=DATE(2025,4,22))*(RENT_RECEIVED!$E$2:$E$1000&lt;=DATE(2025,5,21))*RENT_RECEIVED!$O$2:$O$1000), 0)</f>
        <v>0.0</v>
      </c>
      <c r="I30" t="inlineStr">
        <is>
          <t>HIST-2025-07-1604</t>
        </is>
      </c>
      <c r="J30" s="3" t="n">
        <f>IFERROR(SUMIFS(RENT_DUE!$L$2:$L$10000, RENT_DUE!$B$2:$B$10000, "LEASE-KH-F-2024", RENT_DUE!$D$2:$D$10000, "&lt;"&amp;DATE(2025,4,22)), 0) - IFERROR(SUMIFS(RENT_RECEIVED!$O$2:$O$10000, RENT_RECEIVED!$B$2:$B$10000, "LEASE-KH-F-2024", RENT_RECEIVED!$E$2:$E$10000, "&lt;"&amp;DATE(2025,4,22)), 0)</f>
        <v>0.0</v>
      </c>
      <c r="K30" s="3" t="n">
        <f>G30 - H30</f>
        <v>0.0</v>
      </c>
      <c r="L30" s="3" t="n">
        <f>J30 + K30</f>
        <v>0.0</v>
      </c>
      <c r="M30" s="3" t="n">
        <f>H30 * 0.1000</f>
        <v>0.0</v>
      </c>
      <c r="N30" s="3" t="n">
        <f>H30 * 0.0000</f>
        <v>0.0</v>
      </c>
      <c r="O30" s="3" t="n">
        <f>ABS(M30 + N30)</f>
        <v>0.0</v>
      </c>
      <c r="P30" t="inlineStr">
        <is>
          <t/>
        </is>
      </c>
      <c r="Q30" s="3" t="n">
        <f>SUMIFS(EXPENSES!E:E, EXPENSES!B:B, "LEASE-KH-F-2024", EXPENSES!D:D, "&gt;="&amp;DATE(2025,4,22), EXPENSES!D:D, "&lt;="&amp;DATE(2025,5,21))</f>
        <v>0.0</v>
      </c>
      <c r="R30" t="inlineStr">
        <is>
          <t/>
        </is>
      </c>
      <c r="S30" s="3" t="n">
        <f>H30 - O30 - Q30</f>
        <v>0.0</v>
      </c>
      <c r="T30" t="inlineStr">
        <is>
          <t/>
        </is>
      </c>
      <c r="U30" t="inlineStr">
        <is>
          <t/>
        </is>
      </c>
      <c r="V30" t="inlineStr">
        <is>
          <t/>
        </is>
      </c>
      <c r="W30" t="inlineStr">
        <is>
          <t/>
        </is>
      </c>
      <c r="X30" t="inlineStr">
        <is>
          <t/>
        </is>
      </c>
      <c r="Y30" s="3" t="n">
        <v>12150.0</v>
      </c>
      <c r="Z30" s="3" t="n">
        <f>S30-Y30</f>
        <v>0.0</v>
      </c>
      <c r="AA30" t="inlineStr">
        <is>
          <t>PAID</t>
        </is>
      </c>
      <c r="AB30" t="inlineStr">
        <is>
          <t>MULTIPLE</t>
        </is>
      </c>
      <c r="AC30" s="2" t="n">
        <v>45982.0</v>
      </c>
    </row>
    <row r="31">
      <c r="A31" t="inlineStr">
        <is>
          <t>BODEN-BLOCK-2025</t>
        </is>
      </c>
      <c r="B31" t="inlineStr">
        <is>
          <t>Boden House Block - Block Property</t>
        </is>
      </c>
      <c r="C31" t="inlineStr">
        <is>
          <t>Achal (Delegated for Udayan)</t>
        </is>
      </c>
      <c r="D31" t="inlineStr">
        <is>
          <t>Prestvale Properties Limited</t>
        </is>
      </c>
      <c r="E31" s="2" t="n">
        <v>45717.0</v>
      </c>
      <c r="F31" t="n">
        <v>1.0</v>
      </c>
      <c r="G31" s="3" t="n">
        <f>IFERROR(SUMPRODUCT((RENT_DUE!$B$2:$B$1000="BODEN-BLOCK-2025")*(RENT_DUE!$D$2:$D$1000&gt;=DATE(2025,4,22))*(RENT_DUE!$D$2:$D$1000&lt;=DATE(2025,5,21))*RENT_DUE!$L$2:$L$1000), 0)</f>
        <v>0.0</v>
      </c>
      <c r="H31" s="3" t="n">
        <f>IFERROR(SUMPRODUCT((RENT_RECEIVED!$B$2:$B$1000="BODEN-BLOCK-2025")*(RENT_RECEIVED!$E$2:$E$1000&gt;=DATE(2025,4,22))*(RENT_RECEIVED!$E$2:$E$1000&lt;=DATE(2025,5,21))*RENT_RECEIVED!$O$2:$O$1000), 0)</f>
        <v>0.0</v>
      </c>
      <c r="I31" t="inlineStr">
        <is>
          <t/>
        </is>
      </c>
      <c r="J31" s="3" t="n">
        <f>IFERROR(SUMIFS(RENT_DUE!$L$2:$L$10000, RENT_DUE!$B$2:$B$10000, "BODEN-BLOCK-2025", RENT_DUE!$D$2:$D$10000, "&lt;"&amp;DATE(2025,4,22)), 0) - IFERROR(SUMIFS(RENT_RECEIVED!$O$2:$O$10000, RENT_RECEIVED!$B$2:$B$10000, "BODEN-BLOCK-2025", RENT_RECEIVED!$E$2:$E$10000, "&lt;"&amp;DATE(2025,4,22)), 0)</f>
        <v>0.0</v>
      </c>
      <c r="K31" s="3" t="n">
        <f>G31 - H31</f>
        <v>0.0</v>
      </c>
      <c r="L31" s="3" t="n">
        <f>J31 + K31</f>
        <v>0.0</v>
      </c>
      <c r="M31" s="3" t="n">
        <f>H31 * 0.0000</f>
        <v>0.0</v>
      </c>
      <c r="N31" s="3" t="n">
        <f>H31 * 0.0500</f>
        <v>0.0</v>
      </c>
      <c r="O31" s="3" t="n">
        <f>ABS(M31 + N31)</f>
        <v>0.0</v>
      </c>
      <c r="P31" t="inlineStr">
        <is>
          <t/>
        </is>
      </c>
      <c r="Q31" s="3" t="n">
        <f>SUMIFS(EXPENSES!E:E, EXPENSES!B:B, "BODEN-BLOCK-2025", EXPENSES!D:D, "&gt;="&amp;DATE(2025,4,22), EXPENSES!D:D, "&lt;="&amp;DATE(2025,5,21))</f>
        <v>0.0</v>
      </c>
      <c r="R31" t="inlineStr">
        <is>
          <t>HIST-2025-04-1532</t>
        </is>
      </c>
      <c r="S31" s="3" t="n">
        <f>H31 - O31 - Q31</f>
        <v>0.0</v>
      </c>
      <c r="T31" t="inlineStr">
        <is>
          <t>Boden House NG10</t>
        </is>
      </c>
      <c r="U31" s="3" t="n">
        <f>IFERROR(SUMIFS(PROPERTY_ACCOUNT!D:D, PROPERTY_ACCOUNT!A:A, T31, PROPERTY_ACCOUNT!B:B, "opening"), 0)</f>
        <v>0.0</v>
      </c>
      <c r="V31" s="3" t="n">
        <f>IFERROR(SUMIFS(PROPERTY_ACCOUNT!D:D, PROPERTY_ACCOUNT!A:A, T31, PROPERTY_ACCOUNT!B:B, "in"), 0)</f>
        <v>0.0</v>
      </c>
      <c r="W31" s="3" t="n">
        <f>IFERROR(SUMIFS(PROPERTY_ACCOUNT!D:D, PROPERTY_ACCOUNT!A:A, T31, PROPERTY_ACCOUNT!B:B, "out"), 0)</f>
        <v>0.0</v>
      </c>
      <c r="X31" s="3" t="n">
        <f>U31 + V31 - W31</f>
        <v>0.0</v>
      </c>
      <c r="Y31" s="3" t="n">
        <v>0.0</v>
      </c>
      <c r="Z31" s="3" t="n">
        <f>S31-Y31</f>
        <v>0.0</v>
      </c>
      <c r="AA31" t="inlineStr">
        <is>
          <t>PAID</t>
        </is>
      </c>
      <c r="AB31" t="inlineStr">
        <is>
          <t>MULTIPLE</t>
        </is>
      </c>
      <c r="AC31" s="2" t="n">
        <v>45993.0</v>
      </c>
    </row>
    <row r="32">
      <c r="A32" s="5" t="inlineStr">
        <is>
          <t>TOTALS</t>
        </is>
      </c>
      <c r="G32" s="6" t="n">
        <f>SUM(G2:G31)</f>
        <v>0.0</v>
      </c>
      <c r="H32" s="6" t="n">
        <f>SUM(H2:H31)</f>
        <v>0.0</v>
      </c>
      <c r="I32" t="inlineStr">
        <is>
          <t/>
        </is>
      </c>
      <c r="J32" s="6" t="n">
        <f>SUM(J2:J31)</f>
        <v>0.0</v>
      </c>
      <c r="K32" s="6" t="n">
        <f>SUM(K2:K31)</f>
        <v>0.0</v>
      </c>
      <c r="L32" s="6" t="n">
        <f>SUM(L2:L31)</f>
        <v>0.0</v>
      </c>
      <c r="M32" s="6" t="n">
        <f>SUM(M2:M31)</f>
        <v>0.0</v>
      </c>
      <c r="N32" s="6" t="n">
        <f>SUM(N2:N31)</f>
        <v>0.0</v>
      </c>
      <c r="O32" s="6" t="n">
        <f>SUM(O2:O31)</f>
        <v>0.0</v>
      </c>
      <c r="P32" t="inlineStr">
        <is>
          <t/>
        </is>
      </c>
      <c r="Q32" s="6" t="n">
        <f>SUM(Q2:Q31)</f>
        <v>0.0</v>
      </c>
      <c r="R32" t="inlineStr">
        <is>
          <t/>
        </is>
      </c>
      <c r="S32" s="6" t="n">
        <f>SUM(S2:S31)</f>
        <v>0.0</v>
      </c>
      <c r="T32" t="inlineStr">
        <is>
          <t/>
        </is>
      </c>
      <c r="U32" s="6" t="n">
        <f>SUM(U2:U31)</f>
        <v>0.0</v>
      </c>
      <c r="V32" s="6" t="n">
        <f>SUM(V2:V31)</f>
        <v>0.0</v>
      </c>
      <c r="W32" s="6" t="n">
        <f>SUM(W2:W31)</f>
        <v>0.0</v>
      </c>
      <c r="X32" s="6" t="n">
        <f>SUM(X2:X31)</f>
        <v>0.0</v>
      </c>
    </row>
    <row r="34">
      <c r="A34" s="5" t="inlineStr">
        <is>
          <t>PAYMENT RECONCILIATION</t>
        </is>
      </c>
    </row>
    <row r="35">
      <c r="A35" t="inlineStr">
        <is>
          <t>Period: 2025-04-22 to 2025-05-21</t>
        </is>
      </c>
    </row>
    <row r="37">
      <c r="A37" s="5" t="inlineStr">
        <is>
          <t>BROUGHT FORWARD (items from prior periods paid this period)</t>
        </is>
      </c>
    </row>
    <row r="38">
      <c r="A38" t="inlineStr">
        <is>
          <t xml:space="preserve">  Prior Period Income:</t>
        </is>
      </c>
    </row>
    <row r="39">
      <c r="A39" t="inlineStr">
        <is>
          <t xml:space="preserve">    2025-03-28 | Flat 22 - 3 West Gate | rent</t>
        </is>
      </c>
      <c r="B39" s="3" t="n">
        <v>629.0</v>
      </c>
    </row>
    <row r="40">
      <c r="A40" t="inlineStr">
        <is>
          <t xml:space="preserve">    2025-03-28 | Flat 26 - 3 West Gate | rent</t>
        </is>
      </c>
      <c r="B40" s="3" t="n">
        <v>403.0</v>
      </c>
    </row>
    <row r="41">
      <c r="A41" t="inlineStr">
        <is>
          <t xml:space="preserve">    2025-03-30 | Flat 6 - 3 West Gate | rent</t>
        </is>
      </c>
      <c r="B41" s="3" t="n">
        <v>629.0</v>
      </c>
    </row>
    <row r="42">
      <c r="A42" t="inlineStr">
        <is>
          <t xml:space="preserve">    2025-03-31 | Flat 28 - 3 West Gate | rent</t>
        </is>
      </c>
      <c r="B42" s="3" t="n">
        <v>629.0</v>
      </c>
    </row>
    <row r="43">
      <c r="A43" t="inlineStr">
        <is>
          <t xml:space="preserve">    2025-04-01 | Flat 11 - 3 West Gate | rent</t>
        </is>
      </c>
      <c r="B43" s="3" t="n">
        <v>675.75</v>
      </c>
    </row>
    <row r="44">
      <c r="A44" t="inlineStr">
        <is>
          <t xml:space="preserve">    2025-04-01 | Flat 20 - 3 West Gate | rent</t>
        </is>
      </c>
      <c r="B44" s="3" t="n">
        <v>595.0</v>
      </c>
    </row>
    <row r="45">
      <c r="A45" t="inlineStr">
        <is>
          <t xml:space="preserve">    2025-04-01 | Flat 9 - 3 West Gate | rent</t>
        </is>
      </c>
      <c r="B45" s="3" t="n">
        <v>595.0</v>
      </c>
    </row>
    <row r="46">
      <c r="A46" t="inlineStr">
        <is>
          <t xml:space="preserve">    2025-04-02 | Flat 2 - 3 West Gate | rent</t>
        </is>
      </c>
      <c r="B46" s="3" t="n">
        <v>629.0</v>
      </c>
    </row>
    <row r="47">
      <c r="A47" t="inlineStr">
        <is>
          <t xml:space="preserve">    2025-04-02 | Flat 27 - 3 West Gate | rent</t>
        </is>
      </c>
      <c r="B47" s="3" t="n">
        <v>595.0</v>
      </c>
    </row>
    <row r="48">
      <c r="A48" t="inlineStr">
        <is>
          <t xml:space="preserve">    2025-04-02 | Flat 29 - 3 West Gate | rent</t>
        </is>
      </c>
      <c r="B48" s="3" t="n">
        <v>629.0</v>
      </c>
    </row>
    <row r="49">
      <c r="A49" t="inlineStr">
        <is>
          <t xml:space="preserve">    2025-04-03 | Flat 19 - 3 West Gate | rent</t>
        </is>
      </c>
      <c r="B49" s="3" t="n">
        <v>629.0</v>
      </c>
    </row>
    <row r="50">
      <c r="A50" t="inlineStr">
        <is>
          <t xml:space="preserve">    2025-04-03 | Flat 4 - 3 West Gate | rent</t>
        </is>
      </c>
      <c r="B50" s="3" t="n">
        <v>726.75</v>
      </c>
    </row>
    <row r="51">
      <c r="A51" t="inlineStr">
        <is>
          <t xml:space="preserve">    2025-04-04 | Flat 1 - 3 West Gate | rent</t>
        </is>
      </c>
      <c r="B51" s="3" t="n">
        <v>675.75</v>
      </c>
    </row>
    <row r="52">
      <c r="A52" t="inlineStr">
        <is>
          <t xml:space="preserve">    2025-04-04 | Flat 8 - 3 West Gate | rent</t>
        </is>
      </c>
      <c r="B52" s="3" t="n">
        <v>573.75</v>
      </c>
    </row>
    <row r="53">
      <c r="A53" t="inlineStr">
        <is>
          <t xml:space="preserve">    2025-04-07 | Flat 10 - 3 West Gate | rent</t>
        </is>
      </c>
      <c r="B53" s="3" t="n">
        <v>624.75</v>
      </c>
    </row>
    <row r="54">
      <c r="A54" t="inlineStr">
        <is>
          <t xml:space="preserve">    2025-04-07 | Flat 13 - 3 West Gate | rent</t>
        </is>
      </c>
      <c r="B54" s="3" t="n">
        <v>680.0</v>
      </c>
    </row>
    <row r="55">
      <c r="A55" t="inlineStr">
        <is>
          <t xml:space="preserve">    2025-04-10 | Flat 30 - 3 West Gate | rent</t>
        </is>
      </c>
      <c r="B55" s="3" t="n">
        <v>629.0</v>
      </c>
    </row>
    <row r="56">
      <c r="A56" t="inlineStr">
        <is>
          <t xml:space="preserve">    2025-04-12 | Flat 16 - 3 West Gate | rent</t>
        </is>
      </c>
      <c r="B56" s="3" t="n">
        <v>629.0</v>
      </c>
    </row>
    <row r="57">
      <c r="A57" t="inlineStr">
        <is>
          <t xml:space="preserve">    2025-04-14 | Flat 12 - 3 West Gate | rent</t>
        </is>
      </c>
      <c r="B57" s="3" t="n">
        <v>573.75</v>
      </c>
    </row>
    <row r="58">
      <c r="A58" t="inlineStr">
        <is>
          <t xml:space="preserve">    2025-04-14 | Flat 18 - 3 West Gate | rent</t>
        </is>
      </c>
      <c r="B58" s="3" t="n">
        <v>629.0</v>
      </c>
    </row>
    <row r="59">
      <c r="A59" t="inlineStr">
        <is>
          <t xml:space="preserve">    2025-04-14 | Flat 3 - 3 West Gate | rent</t>
        </is>
      </c>
      <c r="B59" s="3" t="n">
        <v>629.0</v>
      </c>
    </row>
    <row r="60">
      <c r="A60" t="inlineStr">
        <is>
          <t xml:space="preserve">    2025-04-15 | Flat 21 - 3 West Gate | rent</t>
        </is>
      </c>
      <c r="B60" s="3" t="n">
        <v>675.75</v>
      </c>
    </row>
    <row r="61">
      <c r="A61" t="inlineStr">
        <is>
          <t xml:space="preserve">    2025-04-17 | Flat 5 - 3 West Gate | rent</t>
        </is>
      </c>
      <c r="B61" s="3" t="n">
        <v>629.0</v>
      </c>
    </row>
    <row r="62">
      <c r="A62" t="inlineStr">
        <is>
          <t xml:space="preserve">    2025-04-18 | Apartment F - Knighton Hayes Manor | rent</t>
        </is>
      </c>
      <c r="B62" s="3" t="n">
        <v>1012.5</v>
      </c>
    </row>
    <row r="63">
      <c r="A63" t="inlineStr">
        <is>
          <t xml:space="preserve">    2025-04-18 | Flat 24 - 3 West Gate | rent</t>
        </is>
      </c>
      <c r="B63" s="3" t="n">
        <v>688.5</v>
      </c>
    </row>
    <row r="64">
      <c r="A64" t="inlineStr">
        <is>
          <t xml:space="preserve">    2025-04-20 | Flat 17 - 3 West Gate | rent</t>
        </is>
      </c>
      <c r="B64" s="3" t="n">
        <v>595.0</v>
      </c>
    </row>
    <row r="65">
      <c r="A65" s="5" t="inlineStr">
        <is>
          <t xml:space="preserve">  Prior Period Income Total (26 items):</t>
        </is>
      </c>
      <c r="B65" s="6" t="n">
        <v>16609.25</v>
      </c>
    </row>
    <row r="66">
      <c r="A66" t="inlineStr">
        <is>
          <t xml:space="preserve">  Prior Period Expenses: None</t>
        </is>
      </c>
    </row>
    <row r="67">
      <c r="A67" s="5" t="inlineStr">
        <is>
          <t xml:space="preserve">  NET B/F (Income - Expenses):</t>
        </is>
      </c>
      <c r="B67" s="6" t="n">
        <v>16609.25</v>
      </c>
    </row>
    <row r="69">
      <c r="A69" s="5" t="inlineStr">
        <is>
          <t>THIS PERIOD ACTIVITY (see transactions above for details)</t>
        </is>
      </c>
    </row>
    <row r="70">
      <c r="A70" t="inlineStr">
        <is>
          <t xml:space="preserve">  Period Income (3 transactions)</t>
        </is>
      </c>
      <c r="B70" s="3" t="n">
        <v>1887.0</v>
      </c>
    </row>
    <row r="71">
      <c r="A71" t="inlineStr">
        <is>
          <t xml:space="preserve">  Period Expenses (1 transactions)</t>
        </is>
      </c>
      <c r="B71" s="3" t="n">
        <v>200.0</v>
      </c>
    </row>
    <row r="72">
      <c r="A72" s="5" t="inlineStr">
        <is>
          <t xml:space="preserve">  Net Activity (Income - Expenses):</t>
        </is>
      </c>
      <c r="B72" s="6" t="n">
        <v>1687.0</v>
      </c>
    </row>
    <row r="74">
      <c r="A74" s="5" t="inlineStr">
        <is>
          <t>PAYMENTS MADE THIS PERIOD</t>
        </is>
      </c>
    </row>
    <row r="75">
      <c r="A75" t="inlineStr">
        <is>
          <t xml:space="preserve">  HIST-2025-04-1532 (2025-04-25)</t>
        </is>
      </c>
      <c r="B75" s="6" t="n">
        <v>18296.25</v>
      </c>
    </row>
    <row r="76">
      <c r="A76" t="inlineStr">
        <is>
          <t xml:space="preserve">    Covers: 29 income (£18496.25) - 1 expenses (£200.00) = £18296.25</t>
        </is>
      </c>
    </row>
    <row r="77">
      <c r="A77" s="5" t="inlineStr">
        <is>
          <t xml:space="preserve">  Total Payments Made:</t>
        </is>
      </c>
      <c r="B77" s="6" t="n">
        <v>18296.25</v>
      </c>
    </row>
    <row r="78">
      <c r="A78" t="inlineStr">
        <is>
          <t xml:space="preserve">  (See PAYMENT_ALLOCATIONS sheet for full details)</t>
        </is>
      </c>
    </row>
    <row r="80">
      <c r="A80" s="5" t="inlineStr">
        <is>
          <t>SUMMARY</t>
        </is>
      </c>
    </row>
    <row r="81">
      <c r="A81" t="inlineStr">
        <is>
          <t xml:space="preserve">  Total Allocated (Income - Expenses):</t>
        </is>
      </c>
      <c r="B81" s="3" t="n">
        <v>18296.25</v>
      </c>
    </row>
    <row r="82">
      <c r="A82" t="inlineStr">
        <is>
          <t xml:space="preserve">  Total Payments Made:</t>
        </is>
      </c>
      <c r="B82" s="3" t="n">
        <v>18296.25</v>
      </c>
    </row>
    <row r="83">
      <c r="A83" t="inlineStr">
        <is>
          <t xml:space="preserve">  Unallocated Payment Amounts:</t>
        </is>
      </c>
      <c r="B83" s="3" t="n">
        <v>0.0</v>
      </c>
    </row>
    <row r="85">
      <c r="A85" t="inlineStr">
        <is>
          <t>Check: Allocated 18296.25 + Unallocated 0.00 = 18296.25 vs Payments 18296.25</t>
        </is>
      </c>
    </row>
  </sheetData>
  <pageMargins bottom="0.75" footer="0.3" header="0.3" left="0.7" right="0.7" top="0.75"/>
</worksheet>
</file>

<file path=xl/worksheets/sheet12.xml><?xml version="1.0" encoding="utf-8"?>
<worksheet xmlns="http://schemas.openxmlformats.org/spreadsheetml/2006/main">
  <dimension ref="A1:AC90"/>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IFERROR(SUMPRODUCT((RENT_DUE!$B$2:$B$1000="LEASE-BH-F1-2025")*(RENT_DUE!$D$2:$D$1000&gt;=DATE(2025,5,22))*(RENT_DUE!$D$2:$D$1000&lt;=DATE(2025,6,21))*RENT_DUE!$L$2:$L$1000), 0)</f>
        <v>0.0</v>
      </c>
      <c r="H2" s="3" t="n">
        <f>IFERROR(SUMPRODUCT((RENT_RECEIVED!$B$2:$B$1000="LEASE-BH-F1-2025")*(RENT_RECEIVED!$E$2:$E$1000&gt;=DATE(2025,5,22))*(RENT_RECEIVED!$E$2:$E$1000&lt;=DATE(2025,6,21))*RENT_RECEIVED!$O$2:$O$1000), 0)</f>
        <v>0.0</v>
      </c>
      <c r="I2" t="inlineStr">
        <is>
          <t>HIST-2025-07-1591, HIST-2025-07-1603</t>
        </is>
      </c>
      <c r="J2" s="3" t="n">
        <f>IFERROR(SUMIFS(RENT_DUE!$L$2:$L$10000, RENT_DUE!$B$2:$B$10000, "LEASE-BH-F1-2025", RENT_DUE!$D$2:$D$10000, "&lt;"&amp;DATE(2025,5,22)), 0) - IFERROR(SUMIFS(RENT_RECEIVED!$O$2:$O$10000, RENT_RECEIVED!$B$2:$B$10000, "LEASE-BH-F1-2025", RENT_RECEIVED!$E$2:$E$10000, "&lt;"&amp;DATE(2025,5,22)), 0)</f>
        <v>0.0</v>
      </c>
      <c r="K2" s="3" t="n">
        <f>G2 - H2</f>
        <v>0.0</v>
      </c>
      <c r="L2" s="3" t="n">
        <f>J2 + K2</f>
        <v>0.0</v>
      </c>
      <c r="M2" s="3" t="n">
        <f>H2 * 0.1500</f>
        <v>0.0</v>
      </c>
      <c r="N2" s="3" t="n">
        <f>H2 * 0.0000</f>
        <v>0.0</v>
      </c>
      <c r="O2" s="3" t="n">
        <f>ABS(M2 + N2)</f>
        <v>0.0</v>
      </c>
      <c r="P2" t="inlineStr">
        <is>
          <t/>
        </is>
      </c>
      <c r="Q2" s="3" t="n">
        <f>SUMIFS(EXPENSES!E:E, EXPENSES!B:B, "LEASE-BH-F1-2025", EXPENSES!D:D, "&gt;="&amp;DATE(2025,5,22), EXPENSES!D:D, "&lt;="&amp;DATE(2025,6,21))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IFERROR(SUMPRODUCT((RENT_DUE!$B$2:$B$1000="LEASE-BH-F2-2025")*(RENT_DUE!$D$2:$D$1000&gt;=DATE(2025,5,22))*(RENT_DUE!$D$2:$D$1000&lt;=DATE(2025,6,21))*RENT_DUE!$L$2:$L$1000), 0)</f>
        <v>0.0</v>
      </c>
      <c r="H3" s="3" t="n">
        <f>IFERROR(SUMPRODUCT((RENT_RECEIVED!$B$2:$B$1000="LEASE-BH-F2-2025")*(RENT_RECEIVED!$E$2:$E$1000&gt;=DATE(2025,5,22))*(RENT_RECEIVED!$E$2:$E$1000&lt;=DATE(2025,6,21))*RENT_RECEIVED!$O$2:$O$1000), 0)</f>
        <v>0.0</v>
      </c>
      <c r="I3" t="inlineStr">
        <is>
          <t>HIST-2025-07-1603</t>
        </is>
      </c>
      <c r="J3" s="3" t="n">
        <f>IFERROR(SUMIFS(RENT_DUE!$L$2:$L$10000, RENT_DUE!$B$2:$B$10000, "LEASE-BH-F2-2025", RENT_DUE!$D$2:$D$10000, "&lt;"&amp;DATE(2025,5,22)), 0) - IFERROR(SUMIFS(RENT_RECEIVED!$O$2:$O$10000, RENT_RECEIVED!$B$2:$B$10000, "LEASE-BH-F2-2025", RENT_RECEIVED!$E$2:$E$10000, "&lt;"&amp;DATE(2025,5,22)), 0)</f>
        <v>0.0</v>
      </c>
      <c r="K3" s="3" t="n">
        <f>G3 - H3</f>
        <v>0.0</v>
      </c>
      <c r="L3" s="3" t="n">
        <f>J3 + K3</f>
        <v>0.0</v>
      </c>
      <c r="M3" s="3" t="n">
        <f>H3 * 0.1500</f>
        <v>0.0</v>
      </c>
      <c r="N3" s="3" t="n">
        <f>H3 * 0.0000</f>
        <v>0.0</v>
      </c>
      <c r="O3" s="3" t="n">
        <f>ABS(M3 + N3)</f>
        <v>0.0</v>
      </c>
      <c r="P3" t="inlineStr">
        <is>
          <t/>
        </is>
      </c>
      <c r="Q3" s="3" t="n">
        <f>SUMIFS(EXPENSES!E:E, EXPENSES!B:B, "LEASE-BH-F2-2025", EXPENSES!D:D, "&gt;="&amp;DATE(2025,5,22), EXPENSES!D:D, "&lt;="&amp;DATE(2025,6,21))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IFERROR(SUMPRODUCT((RENT_DUE!$B$2:$B$1000="LEASE-BH-F3-2025")*(RENT_DUE!$D$2:$D$1000&gt;=DATE(2025,5,22))*(RENT_DUE!$D$2:$D$1000&lt;=DATE(2025,6,21))*RENT_DUE!$L$2:$L$1000), 0)</f>
        <v>0.0</v>
      </c>
      <c r="H4" s="3" t="n">
        <f>IFERROR(SUMPRODUCT((RENT_RECEIVED!$B$2:$B$1000="LEASE-BH-F3-2025")*(RENT_RECEIVED!$E$2:$E$1000&gt;=DATE(2025,5,22))*(RENT_RECEIVED!$E$2:$E$1000&lt;=DATE(2025,6,21))*RENT_RECEIVED!$O$2:$O$1000), 0)</f>
        <v>0.0</v>
      </c>
      <c r="I4" t="inlineStr">
        <is>
          <t>HIST-2025-07-1591</t>
        </is>
      </c>
      <c r="J4" s="3" t="n">
        <f>IFERROR(SUMIFS(RENT_DUE!$L$2:$L$10000, RENT_DUE!$B$2:$B$10000, "LEASE-BH-F3-2025", RENT_DUE!$D$2:$D$10000, "&lt;"&amp;DATE(2025,5,22)), 0) - IFERROR(SUMIFS(RENT_RECEIVED!$O$2:$O$10000, RENT_RECEIVED!$B$2:$B$10000, "LEASE-BH-F3-2025", RENT_RECEIVED!$E$2:$E$10000, "&lt;"&amp;DATE(2025,5,22)), 0)</f>
        <v>0.0</v>
      </c>
      <c r="K4" s="3" t="n">
        <f>G4 - H4</f>
        <v>0.0</v>
      </c>
      <c r="L4" s="3" t="n">
        <f>J4 + K4</f>
        <v>0.0</v>
      </c>
      <c r="M4" s="3" t="n">
        <f>H4 * 0.1500</f>
        <v>0.0</v>
      </c>
      <c r="N4" s="3" t="n">
        <f>H4 * 0.0000</f>
        <v>0.0</v>
      </c>
      <c r="O4" s="3" t="n">
        <f>ABS(M4 + N4)</f>
        <v>0.0</v>
      </c>
      <c r="P4" t="inlineStr">
        <is>
          <t/>
        </is>
      </c>
      <c r="Q4" s="3" t="n">
        <f>SUMIFS(EXPENSES!E:E, EXPENSES!B:B, "LEASE-BH-F3-2025", EXPENSES!D:D, "&gt;="&amp;DATE(2025,5,22), EXPENSES!D:D, "&lt;="&amp;DATE(2025,6,21))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IFERROR(SUMPRODUCT((RENT_DUE!$B$2:$B$1000="LEASE-BH-F4-2025")*(RENT_DUE!$D$2:$D$1000&gt;=DATE(2025,5,22))*(RENT_DUE!$D$2:$D$1000&lt;=DATE(2025,6,21))*RENT_DUE!$L$2:$L$1000), 0)</f>
        <v>0.0</v>
      </c>
      <c r="H5" s="3" t="n">
        <f>IFERROR(SUMPRODUCT((RENT_RECEIVED!$B$2:$B$1000="LEASE-BH-F4-2025")*(RENT_RECEIVED!$E$2:$E$1000&gt;=DATE(2025,5,22))*(RENT_RECEIVED!$E$2:$E$1000&lt;=DATE(2025,6,21))*RENT_RECEIVED!$O$2:$O$1000), 0)</f>
        <v>0.0</v>
      </c>
      <c r="I5" t="inlineStr">
        <is>
          <t>HIST-2025-07-1603</t>
        </is>
      </c>
      <c r="J5" s="3" t="n">
        <f>IFERROR(SUMIFS(RENT_DUE!$L$2:$L$10000, RENT_DUE!$B$2:$B$10000, "LEASE-BH-F4-2025", RENT_DUE!$D$2:$D$10000, "&lt;"&amp;DATE(2025,5,22)), 0) - IFERROR(SUMIFS(RENT_RECEIVED!$O$2:$O$10000, RENT_RECEIVED!$B$2:$B$10000, "LEASE-BH-F4-2025", RENT_RECEIVED!$E$2:$E$10000, "&lt;"&amp;DATE(2025,5,22)), 0)</f>
        <v>0.0</v>
      </c>
      <c r="K5" s="3" t="n">
        <f>G5 - H5</f>
        <v>0.0</v>
      </c>
      <c r="L5" s="3" t="n">
        <f>J5 + K5</f>
        <v>0.0</v>
      </c>
      <c r="M5" s="3" t="n">
        <f>H5 * 0.1500</f>
        <v>0.0</v>
      </c>
      <c r="N5" s="3" t="n">
        <f>H5 * 0.0000</f>
        <v>0.0</v>
      </c>
      <c r="O5" s="3" t="n">
        <f>ABS(M5 + N5)</f>
        <v>0.0</v>
      </c>
      <c r="P5" t="inlineStr">
        <is>
          <t/>
        </is>
      </c>
      <c r="Q5" s="3" t="n">
        <f>SUMIFS(EXPENSES!E:E, EXPENSES!B:B, "LEASE-BH-F4-2025", EXPENSES!D:D, "&gt;="&amp;DATE(2025,5,22), EXPENSES!D:D, "&lt;="&amp;DATE(2025,6,21))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IFERROR(SUMPRODUCT((RENT_DUE!$B$2:$B$1000="LEASE-BH-F5-2025")*(RENT_DUE!$D$2:$D$1000&gt;=DATE(2025,5,22))*(RENT_DUE!$D$2:$D$1000&lt;=DATE(2025,6,21))*RENT_DUE!$L$2:$L$1000), 0)</f>
        <v>0.0</v>
      </c>
      <c r="H6" s="3" t="n">
        <f>IFERROR(SUMPRODUCT((RENT_RECEIVED!$B$2:$B$1000="LEASE-BH-F5-2025")*(RENT_RECEIVED!$E$2:$E$1000&gt;=DATE(2025,5,22))*(RENT_RECEIVED!$E$2:$E$1000&lt;=DATE(2025,6,21))*RENT_RECEIVED!$O$2:$O$1000), 0)</f>
        <v>0.0</v>
      </c>
      <c r="I6" t="inlineStr">
        <is>
          <t/>
        </is>
      </c>
      <c r="J6" s="3" t="n">
        <f>IFERROR(SUMIFS(RENT_DUE!$L$2:$L$10000, RENT_DUE!$B$2:$B$10000, "LEASE-BH-F5-2025", RENT_DUE!$D$2:$D$10000, "&lt;"&amp;DATE(2025,5,22)), 0) - IFERROR(SUMIFS(RENT_RECEIVED!$O$2:$O$10000, RENT_RECEIVED!$B$2:$B$10000, "LEASE-BH-F5-2025", RENT_RECEIVED!$E$2:$E$10000, "&lt;"&amp;DATE(2025,5,22)), 0)</f>
        <v>0.0</v>
      </c>
      <c r="K6" s="3" t="n">
        <f>G6 - H6</f>
        <v>0.0</v>
      </c>
      <c r="L6" s="3" t="n">
        <f>J6 + K6</f>
        <v>0.0</v>
      </c>
      <c r="M6" s="3" t="n">
        <f>H6 * 0.1500</f>
        <v>0.0</v>
      </c>
      <c r="N6" s="3" t="n">
        <f>H6 * 0.0000</f>
        <v>0.0</v>
      </c>
      <c r="O6" s="3" t="n">
        <f>ABS(M6 + N6)</f>
        <v>0.0</v>
      </c>
      <c r="P6" t="inlineStr">
        <is>
          <t/>
        </is>
      </c>
      <c r="Q6" s="3" t="n">
        <f>SUMIFS(EXPENSES!E:E, EXPENSES!B:B, "LEASE-BH-F5-2025", EXPENSES!D:D, "&gt;="&amp;DATE(2025,5,22), EXPENSES!D:D, "&lt;="&amp;DATE(2025,6,21))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IFERROR(SUMPRODUCT((RENT_DUE!$B$2:$B$1000="LEASE-BH-F6-2025")*(RENT_DUE!$D$2:$D$1000&gt;=DATE(2025,5,22))*(RENT_DUE!$D$2:$D$1000&lt;=DATE(2025,6,21))*RENT_DUE!$L$2:$L$1000), 0)</f>
        <v>0.0</v>
      </c>
      <c r="H7" s="3" t="n">
        <f>IFERROR(SUMPRODUCT((RENT_RECEIVED!$B$2:$B$1000="LEASE-BH-F6-2025")*(RENT_RECEIVED!$E$2:$E$1000&gt;=DATE(2025,5,22))*(RENT_RECEIVED!$E$2:$E$1000&lt;=DATE(2025,6,21))*RENT_RECEIVED!$O$2:$O$1000), 0)</f>
        <v>0.0</v>
      </c>
      <c r="I7" t="inlineStr">
        <is>
          <t>HIST-2025-05-1565</t>
        </is>
      </c>
      <c r="J7" s="3" t="n">
        <f>IFERROR(SUMIFS(RENT_DUE!$L$2:$L$10000, RENT_DUE!$B$2:$B$10000, "LEASE-BH-F6-2025", RENT_DUE!$D$2:$D$10000, "&lt;"&amp;DATE(2025,5,22)), 0) - IFERROR(SUMIFS(RENT_RECEIVED!$O$2:$O$10000, RENT_RECEIVED!$B$2:$B$10000, "LEASE-BH-F6-2025", RENT_RECEIVED!$E$2:$E$10000, "&lt;"&amp;DATE(2025,5,22)), 0)</f>
        <v>0.0</v>
      </c>
      <c r="K7" s="3" t="n">
        <f>G7 - H7</f>
        <v>0.0</v>
      </c>
      <c r="L7" s="3" t="n">
        <f>J7 + K7</f>
        <v>0.0</v>
      </c>
      <c r="M7" s="3" t="n">
        <f>H7 * 0.1500</f>
        <v>0.0</v>
      </c>
      <c r="N7" s="3" t="n">
        <f>H7 * 0.0000</f>
        <v>0.0</v>
      </c>
      <c r="O7" s="3" t="n">
        <f>ABS(M7 + N7)</f>
        <v>0.0</v>
      </c>
      <c r="P7" t="inlineStr">
        <is>
          <t/>
        </is>
      </c>
      <c r="Q7" s="3" t="n">
        <f>SUMIFS(EXPENSES!E:E, EXPENSES!B:B, "LEASE-BH-F6-2025", EXPENSES!D:D, "&gt;="&amp;DATE(2025,5,22), EXPENSES!D:D, "&lt;="&amp;DATE(2025,6,21))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f>IFERROR(SUMPRODUCT((RENT_DUE!$B$2:$B$1000="LEASE-BH-F7-2025")*(RENT_DUE!$D$2:$D$1000&gt;=DATE(2025,5,22))*(RENT_DUE!$D$2:$D$1000&lt;=DATE(2025,6,21))*RENT_DUE!$L$2:$L$1000), 0)</f>
        <v>0.0</v>
      </c>
      <c r="H8" s="3" t="n">
        <f>IFERROR(SUMPRODUCT((RENT_RECEIVED!$B$2:$B$1000="LEASE-BH-F7-2025")*(RENT_RECEIVED!$E$2:$E$1000&gt;=DATE(2025,5,22))*(RENT_RECEIVED!$E$2:$E$1000&lt;=DATE(2025,6,21))*RENT_RECEIVED!$O$2:$O$1000), 0)</f>
        <v>0.0</v>
      </c>
      <c r="I8" t="inlineStr">
        <is>
          <t/>
        </is>
      </c>
      <c r="J8" s="3" t="n">
        <f>IFERROR(SUMIFS(RENT_DUE!$L$2:$L$10000, RENT_DUE!$B$2:$B$10000, "LEASE-BH-F7-2025", RENT_DUE!$D$2:$D$10000, "&lt;"&amp;DATE(2025,5,22)), 0) - IFERROR(SUMIFS(RENT_RECEIVED!$O$2:$O$10000, RENT_RECEIVED!$B$2:$B$10000, "LEASE-BH-F7-2025", RENT_RECEIVED!$E$2:$E$10000, "&lt;"&amp;DATE(2025,5,22)), 0)</f>
        <v>0.0</v>
      </c>
      <c r="K8" s="3" t="n">
        <f>G8 - H8</f>
        <v>0.0</v>
      </c>
      <c r="L8" s="3" t="n">
        <f>J8 + K8</f>
        <v>0.0</v>
      </c>
      <c r="M8" s="3" t="n">
        <f>H8 * 0.1500</f>
        <v>0.0</v>
      </c>
      <c r="N8" s="3" t="n">
        <f>H8 * 0.0000</f>
        <v>0.0</v>
      </c>
      <c r="O8" s="3" t="n">
        <f>ABS(M8 + N8)</f>
        <v>0.0</v>
      </c>
      <c r="P8" t="inlineStr">
        <is>
          <t/>
        </is>
      </c>
      <c r="Q8" s="3" t="n">
        <f>SUMIFS(EXPENSES!E:E, EXPENSES!B:B, "LEASE-BH-F7-2025", EXPENSES!D:D, "&gt;="&amp;DATE(2025,5,22), EXPENSES!D:D, "&lt;="&amp;DATE(2025,6,21))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IFERROR(SUMPRODUCT((RENT_DUE!$B$2:$B$1000="LEASE-BH-F8-2025")*(RENT_DUE!$D$2:$D$1000&gt;=DATE(2025,5,22))*(RENT_DUE!$D$2:$D$1000&lt;=DATE(2025,6,21))*RENT_DUE!$L$2:$L$1000), 0)</f>
        <v>0.0</v>
      </c>
      <c r="H9" s="3" t="n">
        <f>IFERROR(SUMPRODUCT((RENT_RECEIVED!$B$2:$B$1000="LEASE-BH-F8-2025")*(RENT_RECEIVED!$E$2:$E$1000&gt;=DATE(2025,5,22))*(RENT_RECEIVED!$E$2:$E$1000&lt;=DATE(2025,6,21))*RENT_RECEIVED!$O$2:$O$1000), 0)</f>
        <v>0.0</v>
      </c>
      <c r="I9" t="inlineStr">
        <is>
          <t>HIST-2025-07-1591</t>
        </is>
      </c>
      <c r="J9" s="3" t="n">
        <f>IFERROR(SUMIFS(RENT_DUE!$L$2:$L$10000, RENT_DUE!$B$2:$B$10000, "LEASE-BH-F8-2025", RENT_DUE!$D$2:$D$10000, "&lt;"&amp;DATE(2025,5,22)), 0) - IFERROR(SUMIFS(RENT_RECEIVED!$O$2:$O$10000, RENT_RECEIVED!$B$2:$B$10000, "LEASE-BH-F8-2025", RENT_RECEIVED!$E$2:$E$10000, "&lt;"&amp;DATE(2025,5,22)), 0)</f>
        <v>0.0</v>
      </c>
      <c r="K9" s="3" t="n">
        <f>G9 - H9</f>
        <v>0.0</v>
      </c>
      <c r="L9" s="3" t="n">
        <f>J9 + K9</f>
        <v>0.0</v>
      </c>
      <c r="M9" s="3" t="n">
        <f>H9 * 0.1500</f>
        <v>0.0</v>
      </c>
      <c r="N9" s="3" t="n">
        <f>H9 * 0.0000</f>
        <v>0.0</v>
      </c>
      <c r="O9" s="3" t="n">
        <f>ABS(M9 + N9)</f>
        <v>0.0</v>
      </c>
      <c r="P9" t="inlineStr">
        <is>
          <t/>
        </is>
      </c>
      <c r="Q9" s="3" t="n">
        <f>SUMIFS(EXPENSES!E:E, EXPENSES!B:B, "LEASE-BH-F8-2025", EXPENSES!D:D, "&gt;="&amp;DATE(2025,5,22), EXPENSES!D:D, "&lt;="&amp;DATE(2025,6,21))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IFERROR(SUMPRODUCT((RENT_DUE!$B$2:$B$1000="LEASE-BH-F9-2025")*(RENT_DUE!$D$2:$D$1000&gt;=DATE(2025,5,22))*(RENT_DUE!$D$2:$D$1000&lt;=DATE(2025,6,21))*RENT_DUE!$L$2:$L$1000), 0)</f>
        <v>0.0</v>
      </c>
      <c r="H10" s="3" t="n">
        <f>IFERROR(SUMPRODUCT((RENT_RECEIVED!$B$2:$B$1000="LEASE-BH-F9-2025")*(RENT_RECEIVED!$E$2:$E$1000&gt;=DATE(2025,5,22))*(RENT_RECEIVED!$E$2:$E$1000&lt;=DATE(2025,6,21))*RENT_RECEIVED!$O$2:$O$1000), 0)</f>
        <v>0.0</v>
      </c>
      <c r="I10" t="inlineStr">
        <is>
          <t>HIST-2025-07-1603</t>
        </is>
      </c>
      <c r="J10" s="3" t="n">
        <f>IFERROR(SUMIFS(RENT_DUE!$L$2:$L$10000, RENT_DUE!$B$2:$B$10000, "LEASE-BH-F9-2025", RENT_DUE!$D$2:$D$10000, "&lt;"&amp;DATE(2025,5,22)), 0) - IFERROR(SUMIFS(RENT_RECEIVED!$O$2:$O$10000, RENT_RECEIVED!$B$2:$B$10000, "LEASE-BH-F9-2025", RENT_RECEIVED!$E$2:$E$10000, "&lt;"&amp;DATE(2025,5,22)),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"&gt;="&amp;DATE(2025,5,22), EXPENSES!D:D, "&lt;="&amp;DATE(2025,6,21))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f>IFERROR(SUMPRODUCT((RENT_DUE!$B$2:$B$1000="LEASE-BH-F10-2025")*(RENT_DUE!$D$2:$D$1000&gt;=DATE(2025,5,22))*(RENT_DUE!$D$2:$D$1000&lt;=DATE(2025,6,21))*RENT_DUE!$L$2:$L$1000), 0)</f>
        <v>0.0</v>
      </c>
      <c r="H11" s="3" t="n">
        <f>IFERROR(SUMPRODUCT((RENT_RECEIVED!$B$2:$B$1000="LEASE-BH-F10-2025")*(RENT_RECEIVED!$E$2:$E$1000&gt;=DATE(2025,5,22))*(RENT_RECEIVED!$E$2:$E$1000&lt;=DATE(2025,6,21))*RENT_RECEIVED!$O$2:$O$1000), 0)</f>
        <v>0.0</v>
      </c>
      <c r="I11" t="inlineStr">
        <is>
          <t>HIST-2025-07-1591</t>
        </is>
      </c>
      <c r="J11" s="3" t="n">
        <f>IFERROR(SUMIFS(RENT_DUE!$L$2:$L$10000, RENT_DUE!$B$2:$B$10000, "LEASE-BH-F10-2025", RENT_DUE!$D$2:$D$10000, "&lt;"&amp;DATE(2025,5,22)), 0) - IFERROR(SUMIFS(RENT_RECEIVED!$O$2:$O$10000, RENT_RECEIVED!$B$2:$B$10000, "LEASE-BH-F10-2025", RENT_RECEIVED!$E$2:$E$10000, "&lt;"&amp;DATE(2025,5,22)),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"&gt;="&amp;DATE(2025,5,22), EXPENSES!D:D, "&lt;="&amp;DATE(2025,6,21))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LEASE-BH-F11-2025</t>
        </is>
      </c>
      <c r="B12" t="inlineStr">
        <is>
          <t>Flat 11 - 3 West Gate</t>
        </is>
      </c>
      <c r="C12" t="inlineStr">
        <is>
          <t>Achal (Delegated for Udayan)</t>
        </is>
      </c>
      <c r="D12" t="inlineStr">
        <is>
          <t>Mr Richard Perrotta</t>
        </is>
      </c>
      <c r="E12" s="2" t="n">
        <v>45722.0</v>
      </c>
      <c r="F12" t="n">
        <v>26.0</v>
      </c>
      <c r="G12" s="3" t="n">
        <f>IFERROR(SUMPRODUCT((RENT_DUE!$B$2:$B$1000="LEASE-BH-F11-2025")*(RENT_DUE!$D$2:$D$1000&gt;=DATE(2025,5,22))*(RENT_DUE!$D$2:$D$1000&lt;=DATE(2025,6,21))*RENT_DUE!$L$2:$L$1000), 0)</f>
        <v>0.0</v>
      </c>
      <c r="H12" s="3" t="n">
        <f>IFERROR(SUMPRODUCT((RENT_RECEIVED!$B$2:$B$1000="LEASE-BH-F11-2025")*(RENT_RECEIVED!$E$2:$E$1000&gt;=DATE(2025,5,22))*(RENT_RECEIVED!$E$2:$E$1000&lt;=DATE(2025,6,21))*RENT_RECEIVED!$O$2:$O$1000), 0)</f>
        <v>0.0</v>
      </c>
      <c r="I12" t="inlineStr">
        <is>
          <t>HIST-2025-07-1603</t>
        </is>
      </c>
      <c r="J12" s="3" t="n">
        <f>IFERROR(SUMIFS(RENT_DUE!$L$2:$L$10000, RENT_DUE!$B$2:$B$10000, "LEASE-BH-F11-2025", RENT_DUE!$D$2:$D$10000, "&lt;"&amp;DATE(2025,5,22)), 0) - IFERROR(SUMIFS(RENT_RECEIVED!$O$2:$O$10000, RENT_RECEIVED!$B$2:$B$10000, "LEASE-BH-F11-2025", RENT_RECEIVED!$E$2:$E$10000, "&lt;"&amp;DATE(2025,5,22)), 0)</f>
        <v>0.0</v>
      </c>
      <c r="K12" s="3" t="n">
        <f>G12 - H12</f>
        <v>0.0</v>
      </c>
      <c r="L12" s="3" t="n">
        <f>J12 + K12</f>
        <v>0.0</v>
      </c>
      <c r="M12" s="3" t="n">
        <f>H12 * 0.1500</f>
        <v>0.0</v>
      </c>
      <c r="N12" s="3" t="n">
        <f>H12 * 0.0000</f>
        <v>0.0</v>
      </c>
      <c r="O12" s="3" t="n">
        <f>ABS(M12 + N12)</f>
        <v>0.0</v>
      </c>
      <c r="P12" t="inlineStr">
        <is>
          <t/>
        </is>
      </c>
      <c r="Q12" s="3" t="n">
        <f>SUMIFS(EXPENSES!E:E, EXPENSES!B:B, "LEASE-BH-F11-2025", EXPENSES!D:D, "&gt;="&amp;DATE(2025,5,22), EXPENSES!D:D, "&lt;="&amp;DATE(2025,6,21))</f>
        <v>0.0</v>
      </c>
      <c r="R12" t="inlineStr">
        <is>
          <t/>
        </is>
      </c>
      <c r="S12" s="3" t="n">
        <f>H12 - O12 - Q12</f>
        <v>0.0</v>
      </c>
      <c r="T12" t="inlineStr">
        <is>
          <t/>
        </is>
      </c>
      <c r="U12" t="inlineStr">
        <is>
          <t/>
        </is>
      </c>
      <c r="V12" t="inlineStr">
        <is>
          <t/>
        </is>
      </c>
      <c r="W12" t="inlineStr">
        <is>
          <t/>
        </is>
      </c>
      <c r="X12" t="inlineStr">
        <is>
          <t/>
        </is>
      </c>
      <c r="Y12" s="3" t="n">
        <v>5979.75</v>
      </c>
      <c r="Z12" s="3" t="n">
        <f>S12-Y12</f>
        <v>0.0</v>
      </c>
      <c r="AA12" t="inlineStr">
        <is>
          <t>PAID</t>
        </is>
      </c>
      <c r="AB12" t="inlineStr">
        <is>
          <t>MULTIPLE</t>
        </is>
      </c>
      <c r="AC12" s="2" t="n">
        <v>45981.0</v>
      </c>
    </row>
    <row r="13">
      <c r="A13" t="inlineStr">
        <is>
          <t>LEASE-BH-F12-2025</t>
        </is>
      </c>
      <c r="B13" t="inlineStr">
        <is>
          <t>Flat 12 - 3 West Gate</t>
        </is>
      </c>
      <c r="C13" t="inlineStr">
        <is>
          <t>Achal (Delegated for Udayan)</t>
        </is>
      </c>
      <c r="D13" t="inlineStr">
        <is>
          <t>MR J SOOPIYADAKATH THEKKE PURAYIL &amp; MS S</t>
        </is>
      </c>
      <c r="E13" s="2" t="n">
        <v>45754.0</v>
      </c>
      <c r="F13" t="n">
        <v>7.0</v>
      </c>
      <c r="G13" s="3" t="n">
        <f>IFERROR(SUMPRODUCT((RENT_DUE!$B$2:$B$1000="LEASE-BH-F12-2025")*(RENT_DUE!$D$2:$D$1000&gt;=DATE(2025,5,22))*(RENT_DUE!$D$2:$D$1000&lt;=DATE(2025,6,21))*RENT_DUE!$L$2:$L$1000), 0)</f>
        <v>0.0</v>
      </c>
      <c r="H13" s="3" t="n">
        <f>IFERROR(SUMPRODUCT((RENT_RECEIVED!$B$2:$B$1000="LEASE-BH-F12-2025")*(RENT_RECEIVED!$E$2:$E$1000&gt;=DATE(2025,5,22))*(RENT_RECEIVED!$E$2:$E$1000&lt;=DATE(2025,6,21))*RENT_RECEIVED!$O$2:$O$1000), 0)</f>
        <v>0.0</v>
      </c>
      <c r="I13" t="inlineStr">
        <is>
          <t/>
        </is>
      </c>
      <c r="J13" s="3" t="n">
        <f>IFERROR(SUMIFS(RENT_DUE!$L$2:$L$10000, RENT_DUE!$B$2:$B$10000, "LEASE-BH-F12-2025", RENT_DUE!$D$2:$D$10000, "&lt;"&amp;DATE(2025,5,22)), 0) - IFERROR(SUMIFS(RENT_RECEIVED!$O$2:$O$10000, RENT_RECEIVED!$B$2:$B$10000, "LEASE-BH-F12-2025", RENT_RECEIVED!$E$2:$E$10000, "&lt;"&amp;DATE(2025,5,22)), 0)</f>
        <v>0.0</v>
      </c>
      <c r="K13" s="3" t="n">
        <f>G13 - H13</f>
        <v>0.0</v>
      </c>
      <c r="L13" s="3" t="n">
        <f>J13 + K13</f>
        <v>0.0</v>
      </c>
      <c r="M13" s="3" t="n">
        <f>H13 * 0.1500</f>
        <v>0.0</v>
      </c>
      <c r="N13" s="3" t="n">
        <f>H13 * 0.0000</f>
        <v>0.0</v>
      </c>
      <c r="O13" s="3" t="n">
        <f>ABS(M13 + N13)</f>
        <v>0.0</v>
      </c>
      <c r="P13" t="inlineStr">
        <is>
          <t/>
        </is>
      </c>
      <c r="Q13" s="3" t="n">
        <f>SUMIFS(EXPENSES!E:E, EXPENSES!B:B, "LEASE-BH-F12-2025", EXPENSES!D:D, "&gt;="&amp;DATE(2025,5,22), EXPENSES!D:D, "&lt;="&amp;DATE(2025,6,21))</f>
        <v>0.0</v>
      </c>
      <c r="R13" t="inlineStr">
        <is>
          <t/>
        </is>
      </c>
      <c r="S13" s="3" t="n">
        <f>H13 - O13 - Q13</f>
        <v>0.0</v>
      </c>
      <c r="T13" t="inlineStr">
        <is>
          <t/>
        </is>
      </c>
      <c r="U13" t="inlineStr">
        <is>
          <t/>
        </is>
      </c>
      <c r="V13" t="inlineStr">
        <is>
          <t/>
        </is>
      </c>
      <c r="W13" t="inlineStr">
        <is>
          <t/>
        </is>
      </c>
      <c r="X13" t="inlineStr">
        <is>
          <t/>
        </is>
      </c>
      <c r="Y13" s="3" t="n">
        <v>1147.5</v>
      </c>
      <c r="Z13" s="3" t="n">
        <f>S13-Y13</f>
        <v>0.0</v>
      </c>
      <c r="AA13" t="inlineStr">
        <is>
          <t>PAID</t>
        </is>
      </c>
      <c r="AB13" t="inlineStr">
        <is>
          <t>MULTIPLE</t>
        </is>
      </c>
      <c r="AC13" s="2" t="n">
        <v>45804.0</v>
      </c>
    </row>
    <row r="14">
      <c r="A14" t="inlineStr">
        <is>
          <t>LEASE-BH-F13-2025</t>
        </is>
      </c>
      <c r="B14" t="inlineStr">
        <is>
          <t>Flat 13 - 3 West Gate</t>
        </is>
      </c>
      <c r="C14" t="inlineStr">
        <is>
          <t>Achal (Delegated for Udayan)</t>
        </is>
      </c>
      <c r="D14" t="inlineStr">
        <is>
          <t>Mr Nathan Holland</t>
        </is>
      </c>
      <c r="E14" s="2" t="n">
        <v>45719.0</v>
      </c>
      <c r="F14" t="n">
        <v>3.0</v>
      </c>
      <c r="G14" s="3" t="n">
        <f>IFERROR(SUMPRODUCT((RENT_DUE!$B$2:$B$1000="LEASE-BH-F13-2025")*(RENT_DUE!$D$2:$D$1000&gt;=DATE(2025,5,22))*(RENT_DUE!$D$2:$D$1000&lt;=DATE(2025,6,21))*RENT_DUE!$L$2:$L$1000), 0)</f>
        <v>0.0</v>
      </c>
      <c r="H14" s="3" t="n">
        <f>IFERROR(SUMPRODUCT((RENT_RECEIVED!$B$2:$B$1000="LEASE-BH-F13-2025")*(RENT_RECEIVED!$E$2:$E$1000&gt;=DATE(2025,5,22))*(RENT_RECEIVED!$E$2:$E$1000&lt;=DATE(2025,6,21))*RENT_RECEIVED!$O$2:$O$1000), 0)</f>
        <v>0.0</v>
      </c>
      <c r="I14" t="inlineStr">
        <is>
          <t>HIST-2025-07-1591</t>
        </is>
      </c>
      <c r="J14" s="3" t="n">
        <f>IFERROR(SUMIFS(RENT_DUE!$L$2:$L$10000, RENT_DUE!$B$2:$B$10000, "LEASE-BH-F13-2025", RENT_DUE!$D$2:$D$10000, "&lt;"&amp;DATE(2025,5,22)), 0) - IFERROR(SUMIFS(RENT_RECEIVED!$O$2:$O$10000, RENT_RECEIVED!$B$2:$B$10000, "LEASE-BH-F13-2025", RENT_RECEIVED!$E$2:$E$10000, "&lt;"&amp;DATE(2025,5,22)), 0)</f>
        <v>0.0</v>
      </c>
      <c r="K14" s="3" t="n">
        <f>G14 - H14</f>
        <v>0.0</v>
      </c>
      <c r="L14" s="3" t="n">
        <f>J14 + K14</f>
        <v>0.0</v>
      </c>
      <c r="M14" s="3" t="n">
        <f>H14 * 0.1500</f>
        <v>0.0</v>
      </c>
      <c r="N14" s="3" t="n">
        <f>H14 * 0.0000</f>
        <v>0.0</v>
      </c>
      <c r="O14" s="3" t="n">
        <f>ABS(M14 + N14)</f>
        <v>0.0</v>
      </c>
      <c r="P14" t="inlineStr">
        <is>
          <t/>
        </is>
      </c>
      <c r="Q14" s="3" t="n">
        <f>SUMIFS(EXPENSES!E:E, EXPENSES!B:B, "LEASE-BH-F13-2025", EXPENSES!D:D, "&gt;="&amp;DATE(2025,5,22), EXPENSES!D:D, "&lt;="&amp;DATE(2025,6,21))</f>
        <v>0.0</v>
      </c>
      <c r="R14" t="inlineStr">
        <is>
          <t/>
        </is>
      </c>
      <c r="S14" s="3" t="n">
        <f>H14 - O14 - Q14</f>
        <v>0.0</v>
      </c>
      <c r="T14" t="inlineStr">
        <is>
          <t/>
        </is>
      </c>
      <c r="U14" t="inlineStr">
        <is>
          <t/>
        </is>
      </c>
      <c r="V14" t="inlineStr">
        <is>
          <t/>
        </is>
      </c>
      <c r="W14" t="inlineStr">
        <is>
          <t/>
        </is>
      </c>
      <c r="X14" t="inlineStr">
        <is>
          <t/>
        </is>
      </c>
      <c r="Y14" s="3" t="n">
        <v>5440.0</v>
      </c>
      <c r="Z14" s="3" t="n">
        <f>S14-Y14</f>
        <v>0.0</v>
      </c>
      <c r="AA14" t="inlineStr">
        <is>
          <t>PAID</t>
        </is>
      </c>
      <c r="AB14" t="inlineStr">
        <is>
          <t>MULTIPLE</t>
        </is>
      </c>
      <c r="AC14" s="2" t="n">
        <v>45936.0</v>
      </c>
    </row>
    <row r="15">
      <c r="A15" t="inlineStr">
        <is>
          <t>LEASE-BH-F14-2025</t>
        </is>
      </c>
      <c r="B15" t="inlineStr">
        <is>
          <t>Flat 14 - 3 West Gate</t>
        </is>
      </c>
      <c r="C15" t="inlineStr">
        <is>
          <t>Achal (Delegated for Udayan)</t>
        </is>
      </c>
      <c r="D15" t="inlineStr">
        <is>
          <t>Ms Sarah Buckle, Mr Matthew Lewsley</t>
        </is>
      </c>
      <c r="E15" s="2" t="n">
        <v>45744.0</v>
      </c>
      <c r="F15" t="n">
        <v>28.0</v>
      </c>
      <c r="G15" s="3" t="n">
        <f>IFERROR(SUMPRODUCT((RENT_DUE!$B$2:$B$1000="LEASE-BH-F14-2025")*(RENT_DUE!$D$2:$D$1000&gt;=DATE(2025,5,22))*(RENT_DUE!$D$2:$D$1000&lt;=DATE(2025,6,21))*RENT_DUE!$L$2:$L$1000), 0)</f>
        <v>0.0</v>
      </c>
      <c r="H15" s="3" t="n">
        <f>IFERROR(SUMPRODUCT((RENT_RECEIVED!$B$2:$B$1000="LEASE-BH-F14-2025")*(RENT_RECEIVED!$E$2:$E$1000&gt;=DATE(2025,5,22))*(RENT_RECEIVED!$E$2:$E$1000&lt;=DATE(2025,6,21))*RENT_RECEIVED!$O$2:$O$1000), 0)</f>
        <v>0.0</v>
      </c>
      <c r="I15" t="inlineStr">
        <is>
          <t>HIST-2025-05-1564</t>
        </is>
      </c>
      <c r="J15" s="3" t="n">
        <f>IFERROR(SUMIFS(RENT_DUE!$L$2:$L$10000, RENT_DUE!$B$2:$B$10000, "LEASE-BH-F14-2025", RENT_DUE!$D$2:$D$10000, "&lt;"&amp;DATE(2025,5,22)), 0) - IFERROR(SUMIFS(RENT_RECEIVED!$O$2:$O$10000, RENT_RECEIVED!$B$2:$B$10000, "LEASE-BH-F14-2025", RENT_RECEIVED!$E$2:$E$10000, "&lt;"&amp;DATE(2025,5,22)), 0)</f>
        <v>0.0</v>
      </c>
      <c r="K15" s="3" t="n">
        <f>G15 - H15</f>
        <v>0.0</v>
      </c>
      <c r="L15" s="3" t="n">
        <f>J15 + K15</f>
        <v>0.0</v>
      </c>
      <c r="M15" s="3" t="n">
        <f>H15 * 0.1500</f>
        <v>0.0</v>
      </c>
      <c r="N15" s="3" t="n">
        <f>H15 * 0.0000</f>
        <v>0.0</v>
      </c>
      <c r="O15" s="3" t="n">
        <f>ABS(M15 + N15)</f>
        <v>0.0</v>
      </c>
      <c r="P15" t="inlineStr">
        <is>
          <t/>
        </is>
      </c>
      <c r="Q15" s="3" t="n">
        <f>SUMIFS(EXPENSES!E:E, EXPENSES!B:B, "LEASE-BH-F14-2025", EXPENSES!D:D, "&gt;="&amp;DATE(2025,5,22), EXPENSES!D:D, "&lt;="&amp;DATE(2025,6,21))</f>
        <v>0.0</v>
      </c>
      <c r="R15" t="inlineStr">
        <is>
          <t/>
        </is>
      </c>
      <c r="S15" s="3" t="n">
        <f>H15 - O15 - Q15</f>
        <v>0.0</v>
      </c>
      <c r="T15" t="inlineStr">
        <is>
          <t/>
        </is>
      </c>
      <c r="U15" t="inlineStr">
        <is>
          <t/>
        </is>
      </c>
      <c r="V15" t="inlineStr">
        <is>
          <t/>
        </is>
      </c>
      <c r="W15" t="inlineStr">
        <is>
          <t/>
        </is>
      </c>
      <c r="X15" t="inlineStr">
        <is>
          <t/>
        </is>
      </c>
      <c r="Y15" s="3" t="n">
        <v>5410.25</v>
      </c>
      <c r="Z15" s="3" t="n">
        <f>S15-Y15</f>
        <v>0.0</v>
      </c>
      <c r="AA15" t="inlineStr">
        <is>
          <t>PAID</t>
        </is>
      </c>
      <c r="AB15" t="inlineStr">
        <is>
          <t>MULTIPLE</t>
        </is>
      </c>
      <c r="AC15" s="2" t="n">
        <v>45992.0</v>
      </c>
    </row>
    <row r="16">
      <c r="A16" t="inlineStr">
        <is>
          <t>LEASE-BH-F15-2025</t>
        </is>
      </c>
      <c r="B16" t="inlineStr">
        <is>
          <t>Flat 15 - 3 West Gate</t>
        </is>
      </c>
      <c r="C16" t="inlineStr">
        <is>
          <t>Achal (Delegated for Udayan)</t>
        </is>
      </c>
      <c r="D16" t="inlineStr">
        <is>
          <t>Ms Lucy Cassell</t>
        </is>
      </c>
      <c r="E16" s="2" t="n">
        <v>45703.0</v>
      </c>
      <c r="F16" t="n">
        <v>15.0</v>
      </c>
      <c r="G16" s="3" t="n">
        <f>IFERROR(SUMPRODUCT((RENT_DUE!$B$2:$B$1000="LEASE-BH-F15-2025")*(RENT_DUE!$D$2:$D$1000&gt;=DATE(2025,5,22))*(RENT_DUE!$D$2:$D$1000&lt;=DATE(2025,6,21))*RENT_DUE!$L$2:$L$1000), 0)</f>
        <v>0.0</v>
      </c>
      <c r="H16" s="3" t="n">
        <f>IFERROR(SUMPRODUCT((RENT_RECEIVED!$B$2:$B$1000="LEASE-BH-F15-2025")*(RENT_RECEIVED!$E$2:$E$1000&gt;=DATE(2025,5,22))*(RENT_RECEIVED!$E$2:$E$1000&lt;=DATE(2025,6,21))*RENT_RECEIVED!$O$2:$O$1000), 0)</f>
        <v>0.0</v>
      </c>
      <c r="I16" t="inlineStr">
        <is>
          <t>AXNrOQQnXk</t>
        </is>
      </c>
      <c r="J16" s="3" t="n">
        <f>IFERROR(SUMIFS(RENT_DUE!$L$2:$L$10000, RENT_DUE!$B$2:$B$10000, "LEASE-BH-F15-2025", RENT_DUE!$D$2:$D$10000, "&lt;"&amp;DATE(2025,5,22)), 0) - IFERROR(SUMIFS(RENT_RECEIVED!$O$2:$O$10000, RENT_RECEIVED!$B$2:$B$10000, "LEASE-BH-F15-2025", RENT_RECEIVED!$E$2:$E$10000, "&lt;"&amp;DATE(2025,5,22)), 0)</f>
        <v>0.0</v>
      </c>
      <c r="K16" s="3" t="n">
        <f>G16 - H16</f>
        <v>0.0</v>
      </c>
      <c r="L16" s="3" t="n">
        <f>J16 + K16</f>
        <v>0.0</v>
      </c>
      <c r="M16" s="3" t="n">
        <f>H16 * 0.1500</f>
        <v>0.0</v>
      </c>
      <c r="N16" s="3" t="n">
        <f>H16 * 0.0000</f>
        <v>0.0</v>
      </c>
      <c r="O16" s="3" t="n">
        <f>ABS(M16 + N16)</f>
        <v>0.0</v>
      </c>
      <c r="P16" t="inlineStr">
        <is>
          <t/>
        </is>
      </c>
      <c r="Q16" s="3" t="n">
        <f>SUMIFS(EXPENSES!E:E, EXPENSES!B:B, "LEASE-BH-F15-2025", EXPENSES!D:D, "&gt;="&amp;DATE(2025,5,22), EXPENSES!D:D, "&lt;="&amp;DATE(2025,6,21))</f>
        <v>0.0</v>
      </c>
      <c r="R16" t="inlineStr">
        <is>
          <t/>
        </is>
      </c>
      <c r="S16" s="3" t="n">
        <f>H16 - O16 - Q16</f>
        <v>0.0</v>
      </c>
      <c r="T16" t="inlineStr">
        <is>
          <t/>
        </is>
      </c>
      <c r="U16" t="inlineStr">
        <is>
          <t/>
        </is>
      </c>
      <c r="V16" t="inlineStr">
        <is>
          <t/>
        </is>
      </c>
      <c r="W16" t="inlineStr">
        <is>
          <t/>
        </is>
      </c>
      <c r="X16" t="inlineStr">
        <is>
          <t/>
        </is>
      </c>
      <c r="Y16" s="3" t="n">
        <v>6170.0</v>
      </c>
      <c r="Z16" s="3" t="n">
        <f>S16-Y16</f>
        <v>0.0</v>
      </c>
      <c r="AA16" t="inlineStr">
        <is>
          <t>PAID</t>
        </is>
      </c>
      <c r="AB16" t="inlineStr">
        <is>
          <t>MULTIPLE</t>
        </is>
      </c>
      <c r="AC16" s="2" t="n">
        <v>45982.0</v>
      </c>
    </row>
    <row r="17">
      <c r="A17" t="inlineStr">
        <is>
          <t>LEASE-BH-F16-2025</t>
        </is>
      </c>
      <c r="B17" t="inlineStr">
        <is>
          <t>Flat 16 - 3 West Gate</t>
        </is>
      </c>
      <c r="C17" t="inlineStr">
        <is>
          <t>Achal (Delegated for Udayan)</t>
        </is>
      </c>
      <c r="D17" t="inlineStr">
        <is>
          <t>Mr Riley Paul Beresford, Ms Gina Louise Judge</t>
        </is>
      </c>
      <c r="E17" s="2" t="n">
        <v>45726.0</v>
      </c>
      <c r="F17" t="n">
        <v>10.0</v>
      </c>
      <c r="G17" s="3" t="n">
        <f>IFERROR(SUMPRODUCT((RENT_DUE!$B$2:$B$1000="LEASE-BH-F16-2025")*(RENT_DUE!$D$2:$D$1000&gt;=DATE(2025,5,22))*(RENT_DUE!$D$2:$D$1000&lt;=DATE(2025,6,21))*RENT_DUE!$L$2:$L$1000), 0)</f>
        <v>0.0</v>
      </c>
      <c r="H17" s="3" t="n">
        <f>IFERROR(SUMPRODUCT((RENT_RECEIVED!$B$2:$B$1000="LEASE-BH-F16-2025")*(RENT_RECEIVED!$E$2:$E$1000&gt;=DATE(2025,5,22))*(RENT_RECEIVED!$E$2:$E$1000&lt;=DATE(2025,6,21))*RENT_RECEIVED!$O$2:$O$1000), 0)</f>
        <v>0.0</v>
      </c>
      <c r="I17" t="inlineStr">
        <is>
          <t>HIST-2025-07-1591</t>
        </is>
      </c>
      <c r="J17" s="3" t="n">
        <f>IFERROR(SUMIFS(RENT_DUE!$L$2:$L$10000, RENT_DUE!$B$2:$B$10000, "LEASE-BH-F16-2025", RENT_DUE!$D$2:$D$10000, "&lt;"&amp;DATE(2025,5,22)), 0) - IFERROR(SUMIFS(RENT_RECEIVED!$O$2:$O$10000, RENT_RECEIVED!$B$2:$B$10000, "LEASE-BH-F16-2025", RENT_RECEIVED!$E$2:$E$10000, "&lt;"&amp;DATE(2025,5,22)), 0)</f>
        <v>0.0</v>
      </c>
      <c r="K17" s="3" t="n">
        <f>G17 - H17</f>
        <v>0.0</v>
      </c>
      <c r="L17" s="3" t="n">
        <f>J17 + K17</f>
        <v>0.0</v>
      </c>
      <c r="M17" s="3" t="n">
        <f>H17 * 0.1500</f>
        <v>0.0</v>
      </c>
      <c r="N17" s="3" t="n">
        <f>H17 * 0.0000</f>
        <v>0.0</v>
      </c>
      <c r="O17" s="3" t="n">
        <f>ABS(M17 + N17)</f>
        <v>0.0</v>
      </c>
      <c r="P17" t="inlineStr">
        <is>
          <t/>
        </is>
      </c>
      <c r="Q17" s="3" t="n">
        <f>SUMIFS(EXPENSES!E:E, EXPENSES!B:B, "LEASE-BH-F16-2025", EXPENSES!D:D, "&gt;="&amp;DATE(2025,5,22), EXPENSES!D:D, "&lt;="&amp;DATE(2025,6,21))</f>
        <v>0.0</v>
      </c>
      <c r="R17" t="inlineStr">
        <is>
          <t/>
        </is>
      </c>
      <c r="S17" s="3" t="n">
        <f>H17 - O17 - Q17</f>
        <v>0.0</v>
      </c>
      <c r="T17" t="inlineStr">
        <is>
          <t/>
        </is>
      </c>
      <c r="U17" t="inlineStr">
        <is>
          <t/>
        </is>
      </c>
      <c r="V17" t="inlineStr">
        <is>
          <t/>
        </is>
      </c>
      <c r="W17" t="inlineStr">
        <is>
          <t/>
        </is>
      </c>
      <c r="X17" t="inlineStr">
        <is>
          <t/>
        </is>
      </c>
      <c r="Y17" s="3" t="n">
        <v>3641.31</v>
      </c>
      <c r="Z17" s="3" t="n">
        <f>S17-Y17</f>
        <v>0.0</v>
      </c>
      <c r="AA17" t="inlineStr">
        <is>
          <t>PAID</t>
        </is>
      </c>
      <c r="AB17" t="inlineStr">
        <is>
          <t>MULTIPLE</t>
        </is>
      </c>
      <c r="AC17" s="2" t="n">
        <v>45891.0</v>
      </c>
    </row>
    <row r="18">
      <c r="A18" t="inlineStr">
        <is>
          <t>LEASE-BH-F17-2025</t>
        </is>
      </c>
      <c r="B18" t="inlineStr">
        <is>
          <t>Flat 17 - 3 West Gate</t>
        </is>
      </c>
      <c r="C18" t="inlineStr">
        <is>
          <t>Achal (Delegated for Udayan)</t>
        </is>
      </c>
      <c r="D18" t="inlineStr">
        <is>
          <t>Mr Harsh Patel</t>
        </is>
      </c>
      <c r="E18" s="2" t="n">
        <v>45705.0</v>
      </c>
      <c r="F18" t="n">
        <v>17.0</v>
      </c>
      <c r="G18" s="3" t="n">
        <f>IFERROR(SUMPRODUCT((RENT_DUE!$B$2:$B$1000="LEASE-BH-F17-2025")*(RENT_DUE!$D$2:$D$1000&gt;=DATE(2025,5,22))*(RENT_DUE!$D$2:$D$1000&lt;=DATE(2025,6,21))*RENT_DUE!$L$2:$L$1000), 0)</f>
        <v>0.0</v>
      </c>
      <c r="H18" s="3" t="n">
        <f>IFERROR(SUMPRODUCT((RENT_RECEIVED!$B$2:$B$1000="LEASE-BH-F17-2025")*(RENT_RECEIVED!$E$2:$E$1000&gt;=DATE(2025,5,22))*(RENT_RECEIVED!$E$2:$E$1000&lt;=DATE(2025,6,21))*RENT_RECEIVED!$O$2:$O$1000), 0)</f>
        <v>0.0</v>
      </c>
      <c r="I18" t="inlineStr">
        <is>
          <t/>
        </is>
      </c>
      <c r="J18" s="3" t="n">
        <f>IFERROR(SUMIFS(RENT_DUE!$L$2:$L$10000, RENT_DUE!$B$2:$B$10000, "LEASE-BH-F17-2025", RENT_DUE!$D$2:$D$10000, "&lt;"&amp;DATE(2025,5,22)), 0) - IFERROR(SUMIFS(RENT_RECEIVED!$O$2:$O$10000, RENT_RECEIVED!$B$2:$B$10000, "LEASE-BH-F17-2025", RENT_RECEIVED!$E$2:$E$10000, "&lt;"&amp;DATE(2025,5,22)), 0)</f>
        <v>0.0</v>
      </c>
      <c r="K18" s="3" t="n">
        <f>G18 - H18</f>
        <v>0.0</v>
      </c>
      <c r="L18" s="3" t="n">
        <f>J18 + K18</f>
        <v>0.0</v>
      </c>
      <c r="M18" s="3" t="n">
        <f>H18 * 0.1500</f>
        <v>0.0</v>
      </c>
      <c r="N18" s="3" t="n">
        <f>H18 * 0.0000</f>
        <v>0.0</v>
      </c>
      <c r="O18" s="3" t="n">
        <f>ABS(M18 + N18)</f>
        <v>0.0</v>
      </c>
      <c r="P18" t="inlineStr">
        <is>
          <t/>
        </is>
      </c>
      <c r="Q18" s="3" t="n">
        <f>SUMIFS(EXPENSES!E:E, EXPENSES!B:B, "LEASE-BH-F17-2025", EXPENSES!D:D, "&gt;="&amp;DATE(2025,5,22), EXPENSES!D:D, "&lt;="&amp;DATE(2025,6,21))</f>
        <v>0.0</v>
      </c>
      <c r="R18" t="inlineStr">
        <is>
          <t/>
        </is>
      </c>
      <c r="S18" s="3" t="n">
        <f>H18 - O18 - Q18</f>
        <v>0.0</v>
      </c>
      <c r="T18" t="inlineStr">
        <is>
          <t/>
        </is>
      </c>
      <c r="U18" t="inlineStr">
        <is>
          <t/>
        </is>
      </c>
      <c r="V18" t="inlineStr">
        <is>
          <t/>
        </is>
      </c>
      <c r="W18" t="inlineStr">
        <is>
          <t/>
        </is>
      </c>
      <c r="X18" t="inlineStr">
        <is>
          <t/>
        </is>
      </c>
      <c r="Y18" s="3" t="n">
        <v>5800.0</v>
      </c>
      <c r="Z18" s="3" t="n">
        <f>S18-Y18</f>
        <v>0.0</v>
      </c>
      <c r="AA18" t="inlineStr">
        <is>
          <t>PAID</t>
        </is>
      </c>
      <c r="AB18" t="inlineStr">
        <is>
          <t>MULTIPLE</t>
        </is>
      </c>
      <c r="AC18" s="2" t="n">
        <v>45982.0</v>
      </c>
    </row>
    <row r="19">
      <c r="A19" t="inlineStr">
        <is>
          <t>LEASE-BH-F18-2025</t>
        </is>
      </c>
      <c r="B19" t="inlineStr">
        <is>
          <t>Flat 18 - 3 West Gate</t>
        </is>
      </c>
      <c r="C19" t="inlineStr">
        <is>
          <t>Achal (Delegated for Udayan)</t>
        </is>
      </c>
      <c r="D19" t="inlineStr">
        <is>
          <t>Marie Dinko</t>
        </is>
      </c>
      <c r="E19" s="2" t="n">
        <v>45687.0</v>
      </c>
      <c r="F19" t="n">
        <v>30.0</v>
      </c>
      <c r="G19" s="3" t="n">
        <v>0.0</v>
      </c>
      <c r="H19" s="3" t="n">
        <f>IFERROR(SUMPRODUCT((RENT_RECEIVED!$B$2:$B$1000="LEASE-BH-F18-2025")*(RENT_RECEIVED!$E$2:$E$1000&gt;=DATE(2025,5,22))*(RENT_RECEIVED!$E$2:$E$1000&lt;=DATE(2025,6,21))*RENT_RECEIVED!$O$2:$O$1000), 0)</f>
        <v>0.0</v>
      </c>
      <c r="I19" t="inlineStr">
        <is>
          <t>HIST-2025-07-1591</t>
        </is>
      </c>
      <c r="J19" s="3" t="n">
        <f>IFERROR(SUMIFS(RENT_DUE!$L$2:$L$10000, RENT_DUE!$B$2:$B$10000, "LEASE-BH-F18-2025", RENT_DUE!$D$2:$D$10000, "&lt;"&amp;DATE(2025,5,22)), 0) - IFERROR(SUMIFS(RENT_RECEIVED!$O$2:$O$10000, RENT_RECEIVED!$B$2:$B$10000, "LEASE-BH-F18-2025", RENT_RECEIVED!$E$2:$E$10000, "&lt;"&amp;DATE(2025,5,22)), 0)</f>
        <v>0.0</v>
      </c>
      <c r="K19" s="3" t="n">
        <f>G19 - H19</f>
        <v>0.0</v>
      </c>
      <c r="L19" s="3" t="n">
        <f>J19 + K19</f>
        <v>0.0</v>
      </c>
      <c r="M19" s="3" t="n">
        <f>H19 * 0.1500</f>
        <v>0.0</v>
      </c>
      <c r="N19" s="3" t="n">
        <f>H19 * 0.0000</f>
        <v>0.0</v>
      </c>
      <c r="O19" s="3" t="n">
        <f>ABS(M19 + N19)</f>
        <v>0.0</v>
      </c>
      <c r="P19" t="inlineStr">
        <is>
          <t/>
        </is>
      </c>
      <c r="Q19" s="3" t="n">
        <f>SUMIFS(EXPENSES!E:E, EXPENSES!B:B, "LEASE-BH-F18-2025", EXPENSES!D:D, "&gt;="&amp;DATE(2025,5,22), EXPENSES!D:D, "&lt;="&amp;DATE(2025,6,21))</f>
        <v>0.0</v>
      </c>
      <c r="R19" t="inlineStr">
        <is>
          <t/>
        </is>
      </c>
      <c r="S19" s="3" t="n">
        <f>H19 - O19 - Q19</f>
        <v>0.0</v>
      </c>
      <c r="T19" t="inlineStr">
        <is>
          <t/>
        </is>
      </c>
      <c r="U19" t="inlineStr">
        <is>
          <t/>
        </is>
      </c>
      <c r="V19" t="inlineStr">
        <is>
          <t/>
        </is>
      </c>
      <c r="W19" t="inlineStr">
        <is>
          <t/>
        </is>
      </c>
      <c r="X19" t="inlineStr">
        <is>
          <t/>
        </is>
      </c>
      <c r="Y19" s="3" t="n">
        <v>2044.25</v>
      </c>
      <c r="Z19" s="3" t="n">
        <f>S19-Y19</f>
        <v>0.0</v>
      </c>
      <c r="AA19" t="inlineStr">
        <is>
          <t>PAID</t>
        </is>
      </c>
      <c r="AB19" t="inlineStr">
        <is>
          <t>MULTIPLE</t>
        </is>
      </c>
      <c r="AC19" s="2" t="n">
        <v>45804.0</v>
      </c>
    </row>
    <row r="20">
      <c r="A20" t="inlineStr">
        <is>
          <t>LEASE-BH-F18-2025B</t>
        </is>
      </c>
      <c r="B20" t="inlineStr">
        <is>
          <t>Flat 18 - 3 West Gate</t>
        </is>
      </c>
      <c r="C20" t="inlineStr">
        <is>
          <t>Achal (Delegated for Udayan)</t>
        </is>
      </c>
      <c r="D20" t="inlineStr">
        <is>
          <t>Nirmali Gedara and Janith Hetti Arachchilage</t>
        </is>
      </c>
      <c r="E20" s="2" t="n">
        <v>45818.0</v>
      </c>
      <c r="F20" t="n">
        <v>10.0</v>
      </c>
      <c r="G20" s="3" t="n">
        <f>IFERROR(SUMPRODUCT((RENT_DUE!$B$2:$B$1000="LEASE-BH-F18-2025B")*(RENT_DUE!$D$2:$D$1000&gt;=DATE(2025,5,22))*(RENT_DUE!$D$2:$D$1000&lt;=DATE(2025,6,21))*RENT_DUE!$L$2:$L$1000), 0)</f>
        <v>0.0</v>
      </c>
      <c r="H20" s="3" t="n">
        <f>IFERROR(SUMPRODUCT((RENT_RECEIVED!$B$2:$B$1000="LEASE-BH-F18-2025B")*(RENT_RECEIVED!$E$2:$E$1000&gt;=DATE(2025,5,22))*(RENT_RECEIVED!$E$2:$E$1000&lt;=DATE(2025,6,21))*RENT_RECEIVED!$O$2:$O$1000), 0)</f>
        <v>0.0</v>
      </c>
      <c r="I20" t="inlineStr">
        <is>
          <t>HIST-2025-07-1591</t>
        </is>
      </c>
      <c r="J20" s="3" t="n">
        <f>IFERROR(SUMIFS(RENT_DUE!$L$2:$L$10000, RENT_DUE!$B$2:$B$10000, "LEASE-BH-F18-2025B", RENT_DUE!$D$2:$D$10000, "&lt;"&amp;DATE(2025,5,22)), 0) - IFERROR(SUMIFS(RENT_RECEIVED!$O$2:$O$10000, RENT_RECEIVED!$B$2:$B$10000, "LEASE-BH-F18-2025B", RENT_RECEIVED!$E$2:$E$10000, "&lt;"&amp;DATE(2025,5,22)), 0)</f>
        <v>0.0</v>
      </c>
      <c r="K20" s="3" t="n">
        <f>G20 - H20</f>
        <v>0.0</v>
      </c>
      <c r="L20" s="3" t="n">
        <f>J20 + K20</f>
        <v>0.0</v>
      </c>
      <c r="M20" s="3" t="n">
        <f>H20 * 0.1500</f>
        <v>0.0</v>
      </c>
      <c r="N20" s="3" t="n">
        <f>H20 * 0.0000</f>
        <v>0.0</v>
      </c>
      <c r="O20" s="3" t="n">
        <f>ABS(M20 + N20)</f>
        <v>0.0</v>
      </c>
      <c r="P20" t="inlineStr">
        <is>
          <t/>
        </is>
      </c>
      <c r="Q20" s="3" t="n">
        <f>SUMIFS(EXPENSES!E:E, EXPENSES!B:B, "LEASE-BH-F18-2025B", EXPENSES!D:D, "&gt;="&amp;DATE(2025,5,22), EXPENSES!D:D, "&lt;="&amp;DATE(2025,6,21))</f>
        <v>0.0</v>
      </c>
      <c r="R20" t="inlineStr">
        <is>
          <t/>
        </is>
      </c>
      <c r="S20" s="3" t="n">
        <f>H20 - O20 - Q20</f>
        <v>0.0</v>
      </c>
      <c r="T20" t="inlineStr">
        <is>
          <t/>
        </is>
      </c>
      <c r="U20" t="inlineStr">
        <is>
          <t/>
        </is>
      </c>
      <c r="V20" t="inlineStr">
        <is>
          <t/>
        </is>
      </c>
      <c r="W20" t="inlineStr">
        <is>
          <t/>
        </is>
      </c>
      <c r="X20" t="inlineStr">
        <is>
          <t/>
        </is>
      </c>
      <c r="Y20" s="3" t="n">
        <v>4189.5</v>
      </c>
      <c r="Z20" s="3" t="n">
        <f>S20-Y20</f>
        <v>0.0</v>
      </c>
      <c r="AA20" t="inlineStr">
        <is>
          <t>PAID</t>
        </is>
      </c>
      <c r="AB20" t="inlineStr">
        <is>
          <t>MULTIPLE</t>
        </is>
      </c>
      <c r="AC20" s="2" t="n">
        <v>45982.0</v>
      </c>
    </row>
    <row r="21">
      <c r="A21" t="inlineStr">
        <is>
          <t>LEASE-BH-F19-2025</t>
        </is>
      </c>
      <c r="B21" t="inlineStr">
        <is>
          <t>Flat 19 - 3 West Gate</t>
        </is>
      </c>
      <c r="C21" t="inlineStr">
        <is>
          <t>Achal (Delegated for Udayan)</t>
        </is>
      </c>
      <c r="D21" t="inlineStr">
        <is>
          <t>Mr Joshua Banks, Miss Layla Middlemass</t>
        </is>
      </c>
      <c r="E21" s="2" t="n">
        <v>45730.0</v>
      </c>
      <c r="F21" t="n">
        <v>14.0</v>
      </c>
      <c r="G21" s="3" t="n">
        <f>IFERROR(SUMPRODUCT((RENT_DUE!$B$2:$B$1000="LEASE-BH-F19-2025")*(RENT_DUE!$D$2:$D$1000&gt;=DATE(2025,5,22))*(RENT_DUE!$D$2:$D$1000&lt;=DATE(2025,6,21))*RENT_DUE!$L$2:$L$1000), 0)</f>
        <v>0.0</v>
      </c>
      <c r="H21" s="3" t="n">
        <f>IFERROR(SUMPRODUCT((RENT_RECEIVED!$B$2:$B$1000="LEASE-BH-F19-2025")*(RENT_RECEIVED!$E$2:$E$1000&gt;=DATE(2025,5,22))*(RENT_RECEIVED!$E$2:$E$1000&lt;=DATE(2025,6,21))*RENT_RECEIVED!$O$2:$O$1000), 0)</f>
        <v>0.0</v>
      </c>
      <c r="I21" t="inlineStr">
        <is>
          <t>HIST-2025-07-1603</t>
        </is>
      </c>
      <c r="J21" s="3" t="n">
        <f>IFERROR(SUMIFS(RENT_DUE!$L$2:$L$10000, RENT_DUE!$B$2:$B$10000, "LEASE-BH-F19-2025", RENT_DUE!$D$2:$D$10000, "&lt;"&amp;DATE(2025,5,22)), 0) - IFERROR(SUMIFS(RENT_RECEIVED!$O$2:$O$10000, RENT_RECEIVED!$B$2:$B$10000, "LEASE-BH-F19-2025", RENT_RECEIVED!$E$2:$E$10000, "&lt;"&amp;DATE(2025,5,22)), 0)</f>
        <v>0.0</v>
      </c>
      <c r="K21" s="3" t="n">
        <f>G21 - H21</f>
        <v>0.0</v>
      </c>
      <c r="L21" s="3" t="n">
        <f>J21 + K21</f>
        <v>0.0</v>
      </c>
      <c r="M21" s="3" t="n">
        <f>H21 * 0.1500</f>
        <v>0.0</v>
      </c>
      <c r="N21" s="3" t="n">
        <f>H21 * 0.0000</f>
        <v>0.0</v>
      </c>
      <c r="O21" s="3" t="n">
        <f>ABS(M21 + N21)</f>
        <v>0.0</v>
      </c>
      <c r="P21" t="inlineStr">
        <is>
          <t/>
        </is>
      </c>
      <c r="Q21" s="3" t="n">
        <f>SUMIFS(EXPENSES!E:E, EXPENSES!B:B, "LEASE-BH-F19-2025", EXPENSES!D:D, "&gt;="&amp;DATE(2025,5,22), EXPENSES!D:D, "&lt;="&amp;DATE(2025,6,21))</f>
        <v>0.0</v>
      </c>
      <c r="R21" t="inlineStr">
        <is>
          <t/>
        </is>
      </c>
      <c r="S21" s="3" t="n">
        <f>H21 - O21 - Q21</f>
        <v>0.0</v>
      </c>
      <c r="T21" t="inlineStr">
        <is>
          <t/>
        </is>
      </c>
      <c r="U21" t="inlineStr">
        <is>
          <t/>
        </is>
      </c>
      <c r="V21" t="inlineStr">
        <is>
          <t/>
        </is>
      </c>
      <c r="W21" t="inlineStr">
        <is>
          <t/>
        </is>
      </c>
      <c r="X21" t="inlineStr">
        <is>
          <t/>
        </is>
      </c>
      <c r="Y21" s="3" t="n">
        <v>2888.3</v>
      </c>
      <c r="Z21" s="3" t="n">
        <f>S21-Y21</f>
        <v>0.0</v>
      </c>
      <c r="AA21" t="inlineStr">
        <is>
          <t>PAID</t>
        </is>
      </c>
      <c r="AB21" t="inlineStr">
        <is>
          <t>MULTIPLE</t>
        </is>
      </c>
      <c r="AC21" s="2" t="n">
        <v>45846.0</v>
      </c>
    </row>
    <row r="22">
      <c r="A22" t="inlineStr">
        <is>
          <t>LEASE-BH-F20-2025</t>
        </is>
      </c>
      <c r="B22" t="inlineStr">
        <is>
          <t>Flat 20 - 3 West Gate</t>
        </is>
      </c>
      <c r="C22" t="inlineStr">
        <is>
          <t>Achal (Delegated for Udayan)</t>
        </is>
      </c>
      <c r="D22" t="inlineStr">
        <is>
          <t>Mr James Kay</t>
        </is>
      </c>
      <c r="E22" s="2" t="n">
        <v>45732.0</v>
      </c>
      <c r="F22" t="n">
        <v>16.0</v>
      </c>
      <c r="G22" s="3" t="n">
        <f>IFERROR(SUMPRODUCT((RENT_DUE!$B$2:$B$1000="LEASE-BH-F20-2025")*(RENT_DUE!$D$2:$D$1000&gt;=DATE(2025,5,22))*(RENT_DUE!$D$2:$D$1000&lt;=DATE(2025,6,21))*RENT_DUE!$L$2:$L$1000), 0)</f>
        <v>0.0</v>
      </c>
      <c r="H22" s="3" t="n">
        <f>IFERROR(SUMPRODUCT((RENT_RECEIVED!$B$2:$B$1000="LEASE-BH-F20-2025")*(RENT_RECEIVED!$E$2:$E$1000&gt;=DATE(2025,5,22))*(RENT_RECEIVED!$E$2:$E$1000&lt;=DATE(2025,6,21))*RENT_RECEIVED!$O$2:$O$1000), 0)</f>
        <v>0.0</v>
      </c>
      <c r="I22" t="inlineStr">
        <is>
          <t>HIST-2025-07-1603</t>
        </is>
      </c>
      <c r="J22" s="3" t="n">
        <f>IFERROR(SUMIFS(RENT_DUE!$L$2:$L$10000, RENT_DUE!$B$2:$B$10000, "LEASE-BH-F20-2025", RENT_DUE!$D$2:$D$10000, "&lt;"&amp;DATE(2025,5,22)), 0) - IFERROR(SUMIFS(RENT_RECEIVED!$O$2:$O$10000, RENT_RECEIVED!$B$2:$B$10000, "LEASE-BH-F20-2025", RENT_RECEIVED!$E$2:$E$10000, "&lt;"&amp;DATE(2025,5,22)), 0)</f>
        <v>0.0</v>
      </c>
      <c r="K22" s="3" t="n">
        <f>G22 - H22</f>
        <v>0.0</v>
      </c>
      <c r="L22" s="3" t="n">
        <f>J22 + K22</f>
        <v>0.0</v>
      </c>
      <c r="M22" s="3" t="n">
        <f>H22 * 0.1500</f>
        <v>0.0</v>
      </c>
      <c r="N22" s="3" t="n">
        <f>H22 * 0.0000</f>
        <v>0.0</v>
      </c>
      <c r="O22" s="3" t="n">
        <f>ABS(M22 + N22)</f>
        <v>0.0</v>
      </c>
      <c r="P22" t="inlineStr">
        <is>
          <t/>
        </is>
      </c>
      <c r="Q22" s="3" t="n">
        <f>SUMIFS(EXPENSES!E:E, EXPENSES!B:B, "LEASE-BH-F20-2025", EXPENSES!D:D, "&gt;="&amp;DATE(2025,5,22), EXPENSES!D:D, "&lt;="&amp;DATE(2025,6,21))</f>
        <v>0.0</v>
      </c>
      <c r="R22" t="inlineStr">
        <is>
          <t/>
        </is>
      </c>
      <c r="S22" s="3" t="n">
        <f>H22 - O22 - Q22</f>
        <v>0.0</v>
      </c>
      <c r="T22" t="inlineStr">
        <is>
          <t/>
        </is>
      </c>
      <c r="U22" t="inlineStr">
        <is>
          <t/>
        </is>
      </c>
      <c r="V22" t="inlineStr">
        <is>
          <t/>
        </is>
      </c>
      <c r="W22" t="inlineStr">
        <is>
          <t/>
        </is>
      </c>
      <c r="X22" t="inlineStr">
        <is>
          <t/>
        </is>
      </c>
      <c r="Y22" s="3" t="n">
        <v>5255.0</v>
      </c>
      <c r="Z22" s="3" t="n">
        <f>S22-Y22</f>
        <v>0.0</v>
      </c>
      <c r="AA22" t="inlineStr">
        <is>
          <t>PAID</t>
        </is>
      </c>
      <c r="AB22" t="inlineStr">
        <is>
          <t>MULTIPLE</t>
        </is>
      </c>
      <c r="AC22" s="2" t="n">
        <v>45982.0</v>
      </c>
    </row>
    <row r="23">
      <c r="A23" t="inlineStr">
        <is>
          <t>LEASE-BH-F21-2025</t>
        </is>
      </c>
      <c r="B23" t="inlineStr">
        <is>
          <t>Flat 21 - 3 West Gate</t>
        </is>
      </c>
      <c r="C23" t="inlineStr">
        <is>
          <t>Achal (Delegated for Udayan)</t>
        </is>
      </c>
      <c r="D23" t="inlineStr">
        <is>
          <t>Mr Felwin Francis</t>
        </is>
      </c>
      <c r="E23" s="2" t="n">
        <v>45687.0</v>
      </c>
      <c r="F23" t="n">
        <v>30.0</v>
      </c>
      <c r="G23" s="3" t="n">
        <f>IFERROR(SUMPRODUCT((RENT_DUE!$B$2:$B$1000="LEASE-BH-F21-2025")*(RENT_DUE!$D$2:$D$1000&gt;=DATE(2025,5,22))*(RENT_DUE!$D$2:$D$1000&lt;=DATE(2025,6,21))*RENT_DUE!$L$2:$L$1000), 0)</f>
        <v>0.0</v>
      </c>
      <c r="H23" s="3" t="n">
        <f>IFERROR(SUMPRODUCT((RENT_RECEIVED!$B$2:$B$1000="LEASE-BH-F21-2025")*(RENT_RECEIVED!$E$2:$E$1000&gt;=DATE(2025,5,22))*(RENT_RECEIVED!$E$2:$E$1000&lt;=DATE(2025,6,21))*RENT_RECEIVED!$O$2:$O$1000), 0)</f>
        <v>0.0</v>
      </c>
      <c r="I23" t="inlineStr">
        <is>
          <t>HIST-2025-07-1591</t>
        </is>
      </c>
      <c r="J23" s="3" t="n">
        <f>IFERROR(SUMIFS(RENT_DUE!$L$2:$L$10000, RENT_DUE!$B$2:$B$10000, "LEASE-BH-F21-2025", RENT_DUE!$D$2:$D$10000, "&lt;"&amp;DATE(2025,5,22)), 0) - IFERROR(SUMIFS(RENT_RECEIVED!$O$2:$O$10000, RENT_RECEIVED!$B$2:$B$10000, "LEASE-BH-F21-2025", RENT_RECEIVED!$E$2:$E$10000, "&lt;"&amp;DATE(2025,5,22)), 0)</f>
        <v>0.0</v>
      </c>
      <c r="K23" s="3" t="n">
        <f>G23 - H23</f>
        <v>0.0</v>
      </c>
      <c r="L23" s="3" t="n">
        <f>J23 + K23</f>
        <v>0.0</v>
      </c>
      <c r="M23" s="3" t="n">
        <f>H23 * 0.1500</f>
        <v>0.0</v>
      </c>
      <c r="N23" s="3" t="n">
        <f>H23 * 0.0000</f>
        <v>0.0</v>
      </c>
      <c r="O23" s="3" t="n">
        <f>ABS(M23 + N23)</f>
        <v>0.0</v>
      </c>
      <c r="P23" t="inlineStr">
        <is>
          <t/>
        </is>
      </c>
      <c r="Q23" s="3" t="n">
        <f>SUMIFS(EXPENSES!E:E, EXPENSES!B:B, "LEASE-BH-F21-2025", EXPENSES!D:D, "&gt;="&amp;DATE(2025,5,22), EXPENSES!D:D, "&lt;="&amp;DATE(2025,6,21))</f>
        <v>0.0</v>
      </c>
      <c r="R23" t="inlineStr">
        <is>
          <t/>
        </is>
      </c>
      <c r="S23" s="3" t="n">
        <f>H23 - O23 - Q23</f>
        <v>0.0</v>
      </c>
      <c r="T23" t="inlineStr">
        <is>
          <t/>
        </is>
      </c>
      <c r="U23" t="inlineStr">
        <is>
          <t/>
        </is>
      </c>
      <c r="V23" t="inlineStr">
        <is>
          <t/>
        </is>
      </c>
      <c r="W23" t="inlineStr">
        <is>
          <t/>
        </is>
      </c>
      <c r="X23" t="inlineStr">
        <is>
          <t/>
        </is>
      </c>
      <c r="Y23" s="3" t="n">
        <v>6637.5</v>
      </c>
      <c r="Z23" s="3" t="n">
        <f>S23-Y23</f>
        <v>0.0</v>
      </c>
      <c r="AA23" t="inlineStr">
        <is>
          <t>PAID</t>
        </is>
      </c>
      <c r="AB23" t="inlineStr">
        <is>
          <t>MULTIPLE</t>
        </is>
      </c>
      <c r="AC23" s="2" t="n">
        <v>45982.0</v>
      </c>
    </row>
    <row r="24">
      <c r="A24" t="inlineStr">
        <is>
          <t>LEASE-BH-F22-2025</t>
        </is>
      </c>
      <c r="B24" t="inlineStr">
        <is>
          <t>Flat 22 - 3 West Gate</t>
        </is>
      </c>
      <c r="C24" t="inlineStr">
        <is>
          <t>Achal (Delegated for Udayan)</t>
        </is>
      </c>
      <c r="D24" t="inlineStr">
        <is>
          <t>Mr Brian Lowe</t>
        </is>
      </c>
      <c r="E24" s="2" t="n">
        <v>45717.0</v>
      </c>
      <c r="F24" t="n">
        <v>1.0</v>
      </c>
      <c r="G24" s="3" t="n">
        <f>IFERROR(SUMPRODUCT((RENT_DUE!$B$2:$B$1000="LEASE-BH-F22-2025")*(RENT_DUE!$D$2:$D$1000&gt;=DATE(2025,5,22))*(RENT_DUE!$D$2:$D$1000&lt;=DATE(2025,6,21))*RENT_DUE!$L$2:$L$1000), 0)</f>
        <v>0.0</v>
      </c>
      <c r="H24" s="3" t="n">
        <f>IFERROR(SUMPRODUCT((RENT_RECEIVED!$B$2:$B$1000="LEASE-BH-F22-2025")*(RENT_RECEIVED!$E$2:$E$1000&gt;=DATE(2025,5,22))*(RENT_RECEIVED!$E$2:$E$1000&lt;=DATE(2025,6,21))*RENT_RECEIVED!$O$2:$O$1000), 0)</f>
        <v>0.0</v>
      </c>
      <c r="I24" t="inlineStr">
        <is>
          <t>HIST-2025-05-1564, HIST-2025-05-1565</t>
        </is>
      </c>
      <c r="J24" s="3" t="n">
        <f>IFERROR(SUMIFS(RENT_DUE!$L$2:$L$10000, RENT_DUE!$B$2:$B$10000, "LEASE-BH-F22-2025", RENT_DUE!$D$2:$D$10000, "&lt;"&amp;DATE(2025,5,22)), 0) - IFERROR(SUMIFS(RENT_RECEIVED!$O$2:$O$10000, RENT_RECEIVED!$B$2:$B$10000, "LEASE-BH-F22-2025", RENT_RECEIVED!$E$2:$E$10000, "&lt;"&amp;DATE(2025,5,22)), 0)</f>
        <v>0.0</v>
      </c>
      <c r="K24" s="3" t="n">
        <f>G24 - H24</f>
        <v>0.0</v>
      </c>
      <c r="L24" s="3" t="n">
        <f>J24 + K24</f>
        <v>0.0</v>
      </c>
      <c r="M24" s="3" t="n">
        <f>H24 * 0.1500</f>
        <v>0.0</v>
      </c>
      <c r="N24" s="3" t="n">
        <f>H24 * 0.0000</f>
        <v>0.0</v>
      </c>
      <c r="O24" s="3" t="n">
        <f>ABS(M24 + N24)</f>
        <v>0.0</v>
      </c>
      <c r="P24" t="inlineStr">
        <is>
          <t/>
        </is>
      </c>
      <c r="Q24" s="3" t="n">
        <f>SUMIFS(EXPENSES!E:E, EXPENSES!B:B, "LEASE-BH-F22-2025", EXPENSES!D:D, "&gt;="&amp;DATE(2025,5,22), EXPENSES!D:D, "&lt;="&amp;DATE(2025,6,21))</f>
        <v>0.0</v>
      </c>
      <c r="R24" t="inlineStr">
        <is>
          <t/>
        </is>
      </c>
      <c r="S24" s="3" t="n">
        <f>H24 - O24 - Q24</f>
        <v>0.0</v>
      </c>
      <c r="T24" t="inlineStr">
        <is>
          <t/>
        </is>
      </c>
      <c r="U24" t="inlineStr">
        <is>
          <t/>
        </is>
      </c>
      <c r="V24" t="inlineStr">
        <is>
          <t/>
        </is>
      </c>
      <c r="W24" t="inlineStr">
        <is>
          <t/>
        </is>
      </c>
      <c r="X24" t="inlineStr">
        <is>
          <t/>
        </is>
      </c>
      <c r="Y24" s="3" t="n">
        <v>5661.0</v>
      </c>
      <c r="Z24" s="3" t="n">
        <f>S24-Y24</f>
        <v>0.0</v>
      </c>
      <c r="AA24" t="inlineStr">
        <is>
          <t>PAID</t>
        </is>
      </c>
      <c r="AB24" t="inlineStr">
        <is>
          <t>MULTIPLE</t>
        </is>
      </c>
      <c r="AC24" s="2" t="n">
        <v>45982.0</v>
      </c>
    </row>
    <row r="25">
      <c r="A25" t="inlineStr">
        <is>
          <t>LEASE-BH-F24-2025</t>
        </is>
      </c>
      <c r="B25" t="inlineStr">
        <is>
          <t>Flat 24 - 3 West Gate</t>
        </is>
      </c>
      <c r="C25" t="inlineStr">
        <is>
          <t>Achal (Delegated for Udayan)</t>
        </is>
      </c>
      <c r="D25" t="inlineStr">
        <is>
          <t>Mr Ethan Maloney, Miss Soraya Fearon</t>
        </is>
      </c>
      <c r="E25" s="2" t="n">
        <v>45700.0</v>
      </c>
      <c r="F25" t="n">
        <v>12.0</v>
      </c>
      <c r="G25" s="3" t="n">
        <f>IFERROR(SUMPRODUCT((RENT_DUE!$B$2:$B$1000="LEASE-BH-F24-2025")*(RENT_DUE!$D$2:$D$1000&gt;=DATE(2025,5,22))*(RENT_DUE!$D$2:$D$1000&lt;=DATE(2025,6,21))*RENT_DUE!$L$2:$L$1000), 0)</f>
        <v>0.0</v>
      </c>
      <c r="H25" s="3" t="n">
        <f>IFERROR(SUMPRODUCT((RENT_RECEIVED!$B$2:$B$1000="LEASE-BH-F24-2025")*(RENT_RECEIVED!$E$2:$E$1000&gt;=DATE(2025,5,22))*(RENT_RECEIVED!$E$2:$E$1000&lt;=DATE(2025,6,21))*RENT_RECEIVED!$O$2:$O$1000), 0)</f>
        <v>0.0</v>
      </c>
      <c r="I25" t="inlineStr">
        <is>
          <t/>
        </is>
      </c>
      <c r="J25" s="3" t="n">
        <f>IFERROR(SUMIFS(RENT_DUE!$L$2:$L$10000, RENT_DUE!$B$2:$B$10000, "LEASE-BH-F24-2025", RENT_DUE!$D$2:$D$10000, "&lt;"&amp;DATE(2025,5,22)), 0) - IFERROR(SUMIFS(RENT_RECEIVED!$O$2:$O$10000, RENT_RECEIVED!$B$2:$B$10000, "LEASE-BH-F24-2025", RENT_RECEIVED!$E$2:$E$10000, "&lt;"&amp;DATE(2025,5,22)), 0)</f>
        <v>0.0</v>
      </c>
      <c r="K25" s="3" t="n">
        <f>G25 - H25</f>
        <v>0.0</v>
      </c>
      <c r="L25" s="3" t="n">
        <f>J25 + K25</f>
        <v>0.0</v>
      </c>
      <c r="M25" s="3" t="n">
        <f>H25 * 0.1500</f>
        <v>0.0</v>
      </c>
      <c r="N25" s="3" t="n">
        <f>H25 * 0.0000</f>
        <v>0.0</v>
      </c>
      <c r="O25" s="3" t="n">
        <f>ABS(M25 + N25)</f>
        <v>0.0</v>
      </c>
      <c r="P25" t="inlineStr">
        <is>
          <t/>
        </is>
      </c>
      <c r="Q25" s="3" t="n">
        <f>SUMIFS(EXPENSES!E:E, EXPENSES!B:B, "LEASE-BH-F24-2025", EXPENSES!D:D, "&gt;="&amp;DATE(2025,5,22), EXPENSES!D:D, "&lt;="&amp;DATE(2025,6,21))</f>
        <v>0.0</v>
      </c>
      <c r="R25" t="inlineStr">
        <is>
          <t/>
        </is>
      </c>
      <c r="S25" s="3" t="n">
        <f>H25 - O25 - Q25</f>
        <v>0.0</v>
      </c>
      <c r="T25" t="inlineStr">
        <is>
          <t/>
        </is>
      </c>
      <c r="U25" t="inlineStr">
        <is>
          <t/>
        </is>
      </c>
      <c r="V25" t="inlineStr">
        <is>
          <t/>
        </is>
      </c>
      <c r="W25" t="inlineStr">
        <is>
          <t/>
        </is>
      </c>
      <c r="X25" t="inlineStr">
        <is>
          <t/>
        </is>
      </c>
      <c r="Y25" s="3" t="n">
        <v>6765.0</v>
      </c>
      <c r="Z25" s="3" t="n">
        <f>S25-Y25</f>
        <v>0.0</v>
      </c>
      <c r="AA25" t="inlineStr">
        <is>
          <t>PAID</t>
        </is>
      </c>
      <c r="AB25" t="inlineStr">
        <is>
          <t>MULTIPLE</t>
        </is>
      </c>
      <c r="AC25" s="2" t="n">
        <v>45982.0</v>
      </c>
    </row>
    <row r="26">
      <c r="A26" t="inlineStr">
        <is>
          <t>LEASE-BH-F26-2025</t>
        </is>
      </c>
      <c r="B26" t="inlineStr">
        <is>
          <t>Flat 26 - 3 West Gate</t>
        </is>
      </c>
      <c r="C26" t="inlineStr">
        <is>
          <t>Achal (Delegated for Udayan)</t>
        </is>
      </c>
      <c r="D26" t="inlineStr">
        <is>
          <t>Mr Louis Scotting</t>
        </is>
      </c>
      <c r="E26" s="2" t="n">
        <v>45730.0</v>
      </c>
      <c r="F26" t="n">
        <v>14.0</v>
      </c>
      <c r="G26" s="3" t="n">
        <f>IFERROR(SUMPRODUCT((RENT_DUE!$B$2:$B$1000="LEASE-BH-F26-2025")*(RENT_DUE!$D$2:$D$1000&gt;=DATE(2025,5,22))*(RENT_DUE!$D$2:$D$1000&lt;=DATE(2025,6,21))*RENT_DUE!$L$2:$L$1000), 0)</f>
        <v>0.0</v>
      </c>
      <c r="H26" s="3" t="n">
        <f>IFERROR(SUMPRODUCT((RENT_RECEIVED!$B$2:$B$1000="LEASE-BH-F26-2025")*(RENT_RECEIVED!$E$2:$E$1000&gt;=DATE(2025,5,22))*(RENT_RECEIVED!$E$2:$E$1000&lt;=DATE(2025,6,21))*RENT_RECEIVED!$O$2:$O$1000), 0)</f>
        <v>0.0</v>
      </c>
      <c r="I26" t="inlineStr">
        <is>
          <t>HIST-2025-05-1565, HIST-2025-07-1603</t>
        </is>
      </c>
      <c r="J26" s="3" t="n">
        <f>IFERROR(SUMIFS(RENT_DUE!$L$2:$L$10000, RENT_DUE!$B$2:$B$10000, "LEASE-BH-F26-2025", RENT_DUE!$D$2:$D$10000, "&lt;"&amp;DATE(2025,5,22)), 0) - IFERROR(SUMIFS(RENT_RECEIVED!$O$2:$O$10000, RENT_RECEIVED!$B$2:$B$10000, "LEASE-BH-F26-2025", RENT_RECEIVED!$E$2:$E$10000, "&lt;"&amp;DATE(2025,5,22)), 0)</f>
        <v>0.0</v>
      </c>
      <c r="K26" s="3" t="n">
        <f>G26 - H26</f>
        <v>0.0</v>
      </c>
      <c r="L26" s="3" t="n">
        <f>J26 + K26</f>
        <v>0.0</v>
      </c>
      <c r="M26" s="3" t="n">
        <f>H26 * 0.1500</f>
        <v>0.0</v>
      </c>
      <c r="N26" s="3" t="n">
        <f>H26 * 0.0000</f>
        <v>0.0</v>
      </c>
      <c r="O26" s="3" t="n">
        <f>ABS(M26 + N26)</f>
        <v>0.0</v>
      </c>
      <c r="P26" t="inlineStr">
        <is>
          <t/>
        </is>
      </c>
      <c r="Q26" s="3" t="n">
        <f>SUMIFS(EXPENSES!E:E, EXPENSES!B:B, "LEASE-BH-F26-2025", EXPENSES!D:D, "&gt;="&amp;DATE(2025,5,22), EXPENSES!D:D, "&lt;="&amp;DATE(2025,6,21))</f>
        <v>0.0</v>
      </c>
      <c r="R26" t="inlineStr">
        <is>
          <t/>
        </is>
      </c>
      <c r="S26" s="3" t="n">
        <f>H26 - O26 - Q26</f>
        <v>0.0</v>
      </c>
      <c r="T26" t="inlineStr">
        <is>
          <t/>
        </is>
      </c>
      <c r="U26" t="inlineStr">
        <is>
          <t/>
        </is>
      </c>
      <c r="V26" t="inlineStr">
        <is>
          <t/>
        </is>
      </c>
      <c r="W26" t="inlineStr">
        <is>
          <t/>
        </is>
      </c>
      <c r="X26" t="inlineStr">
        <is>
          <t/>
        </is>
      </c>
      <c r="Y26" s="3" t="n">
        <v>5163.75</v>
      </c>
      <c r="Z26" s="3" t="n">
        <f>S26-Y26</f>
        <v>0.0</v>
      </c>
      <c r="AA26" t="inlineStr">
        <is>
          <t>PAID</t>
        </is>
      </c>
      <c r="AB26" t="inlineStr">
        <is>
          <t>MULTIPLE</t>
        </is>
      </c>
      <c r="AC26" s="2" t="n">
        <v>45992.0</v>
      </c>
    </row>
    <row r="27">
      <c r="A27" t="inlineStr">
        <is>
          <t>LEASE-BH-F27-2025</t>
        </is>
      </c>
      <c r="B27" t="inlineStr">
        <is>
          <t>Flat 27 - 3 West Gate</t>
        </is>
      </c>
      <c r="C27" t="inlineStr">
        <is>
          <t>Achal (Delegated for Udayan)</t>
        </is>
      </c>
      <c r="D27" t="inlineStr">
        <is>
          <t>Miss Sophie Murray</t>
        </is>
      </c>
      <c r="E27" s="2" t="n">
        <v>45716.0</v>
      </c>
      <c r="F27" t="n">
        <v>30.0</v>
      </c>
      <c r="G27" s="3" t="n">
        <f>IFERROR(SUMPRODUCT((RENT_DUE!$B$2:$B$1000="LEASE-BH-F27-2025")*(RENT_DUE!$D$2:$D$1000&gt;=DATE(2025,5,22))*(RENT_DUE!$D$2:$D$1000&lt;=DATE(2025,6,21))*RENT_DUE!$L$2:$L$1000), 0)</f>
        <v>0.0</v>
      </c>
      <c r="H27" s="3" t="n">
        <f>IFERROR(SUMPRODUCT((RENT_RECEIVED!$B$2:$B$1000="LEASE-BH-F27-2025")*(RENT_RECEIVED!$E$2:$E$1000&gt;=DATE(2025,5,22))*(RENT_RECEIVED!$E$2:$E$1000&lt;=DATE(2025,6,21))*RENT_RECEIVED!$O$2:$O$1000), 0)</f>
        <v>0.0</v>
      </c>
      <c r="I27" t="inlineStr">
        <is>
          <t>HIST-2025-07-1603</t>
        </is>
      </c>
      <c r="J27" s="3" t="n">
        <f>IFERROR(SUMIFS(RENT_DUE!$L$2:$L$10000, RENT_DUE!$B$2:$B$10000, "LEASE-BH-F27-2025", RENT_DUE!$D$2:$D$10000, "&lt;"&amp;DATE(2025,5,22)), 0) - IFERROR(SUMIFS(RENT_RECEIVED!$O$2:$O$10000, RENT_RECEIVED!$B$2:$B$10000, "LEASE-BH-F27-2025", RENT_RECEIVED!$E$2:$E$10000, "&lt;"&amp;DATE(2025,5,22)), 0)</f>
        <v>0.0</v>
      </c>
      <c r="K27" s="3" t="n">
        <f>G27 - H27</f>
        <v>0.0</v>
      </c>
      <c r="L27" s="3" t="n">
        <f>J27 + K27</f>
        <v>0.0</v>
      </c>
      <c r="M27" s="3" t="n">
        <f>H27 * 0.1500</f>
        <v>0.0</v>
      </c>
      <c r="N27" s="3" t="n">
        <f>H27 * 0.0000</f>
        <v>0.0</v>
      </c>
      <c r="O27" s="3" t="n">
        <f>ABS(M27 + N27)</f>
        <v>0.0</v>
      </c>
      <c r="P27" t="inlineStr">
        <is>
          <t/>
        </is>
      </c>
      <c r="Q27" s="3" t="n">
        <f>SUMIFS(EXPENSES!E:E, EXPENSES!B:B, "LEASE-BH-F27-2025", EXPENSES!D:D, "&gt;="&amp;DATE(2025,5,22), EXPENSES!D:D, "&lt;="&amp;DATE(2025,6,21))</f>
        <v>0.0</v>
      </c>
      <c r="R27" t="inlineStr">
        <is>
          <t/>
        </is>
      </c>
      <c r="S27" s="3" t="n">
        <f>H27 - O27 - Q27</f>
        <v>0.0</v>
      </c>
      <c r="T27" t="inlineStr">
        <is>
          <t/>
        </is>
      </c>
      <c r="U27" t="inlineStr">
        <is>
          <t/>
        </is>
      </c>
      <c r="V27" t="inlineStr">
        <is>
          <t/>
        </is>
      </c>
      <c r="W27" t="inlineStr">
        <is>
          <t/>
        </is>
      </c>
      <c r="X27" t="inlineStr">
        <is>
          <t/>
        </is>
      </c>
      <c r="Y27" s="3" t="n">
        <v>5355.0</v>
      </c>
      <c r="Z27" s="3" t="n">
        <f>S27-Y27</f>
        <v>0.0</v>
      </c>
      <c r="AA27" t="inlineStr">
        <is>
          <t>PAID</t>
        </is>
      </c>
      <c r="AB27" t="inlineStr">
        <is>
          <t>MULTIPLE</t>
        </is>
      </c>
      <c r="AC27" s="2" t="n">
        <v>45982.0</v>
      </c>
    </row>
    <row r="28">
      <c r="A28" t="inlineStr">
        <is>
          <t>LEASE-BH-F28-2025</t>
        </is>
      </c>
      <c r="B28" t="inlineStr">
        <is>
          <t>Flat 28 - 3 West Gate</t>
        </is>
      </c>
      <c r="C28" t="inlineStr">
        <is>
          <t>Achal (Delegated for Udayan)</t>
        </is>
      </c>
      <c r="D28" t="inlineStr">
        <is>
          <t>Ms Shiu Lun Cheung, Mr Chi Man Poon</t>
        </is>
      </c>
      <c r="E28" s="2" t="n">
        <v>45744.0</v>
      </c>
      <c r="F28" t="n">
        <v>18.0</v>
      </c>
      <c r="G28" s="3" t="n">
        <f>IFERROR(SUMPRODUCT((RENT_DUE!$B$2:$B$1000="LEASE-BH-F28-2025")*(RENT_DUE!$D$2:$D$1000&gt;=DATE(2025,5,22))*(RENT_DUE!$D$2:$D$1000&lt;=DATE(2025,6,21))*RENT_DUE!$L$2:$L$1000), 0)</f>
        <v>0.0</v>
      </c>
      <c r="H28" s="3" t="n">
        <f>IFERROR(SUMPRODUCT((RENT_RECEIVED!$B$2:$B$1000="LEASE-BH-F28-2025")*(RENT_RECEIVED!$E$2:$E$1000&gt;=DATE(2025,5,22))*(RENT_RECEIVED!$E$2:$E$1000&lt;=DATE(2025,6,21))*RENT_RECEIVED!$O$2:$O$1000), 0)</f>
        <v>0.0</v>
      </c>
      <c r="I28" t="inlineStr">
        <is>
          <t>HIST-2025-07-1603</t>
        </is>
      </c>
      <c r="J28" s="3" t="n">
        <f>IFERROR(SUMIFS(RENT_DUE!$L$2:$L$10000, RENT_DUE!$B$2:$B$10000, "LEASE-BH-F28-2025", RENT_DUE!$D$2:$D$10000, "&lt;"&amp;DATE(2025,5,22)), 0) - IFERROR(SUMIFS(RENT_RECEIVED!$O$2:$O$10000, RENT_RECEIVED!$B$2:$B$10000, "LEASE-BH-F28-2025", RENT_RECEIVED!$E$2:$E$10000, "&lt;"&amp;DATE(2025,5,22)), 0)</f>
        <v>0.0</v>
      </c>
      <c r="K28" s="3" t="n">
        <f>G28 - H28</f>
        <v>0.0</v>
      </c>
      <c r="L28" s="3" t="n">
        <f>J28 + K28</f>
        <v>0.0</v>
      </c>
      <c r="M28" s="3" t="n">
        <f>H28 * 0.1500</f>
        <v>0.0</v>
      </c>
      <c r="N28" s="3" t="n">
        <f>H28 * 0.0000</f>
        <v>0.0</v>
      </c>
      <c r="O28" s="3" t="n">
        <f>ABS(M28 + N28)</f>
        <v>0.0</v>
      </c>
      <c r="P28" t="inlineStr">
        <is>
          <t/>
        </is>
      </c>
      <c r="Q28" s="3" t="n">
        <f>SUMIFS(EXPENSES!E:E, EXPENSES!B:B, "LEASE-BH-F28-2025", EXPENSES!D:D, "&gt;="&amp;DATE(2025,5,22), EXPENSES!D:D, "&lt;="&amp;DATE(2025,6,21))</f>
        <v>0.0</v>
      </c>
      <c r="R28" t="inlineStr">
        <is>
          <t/>
        </is>
      </c>
      <c r="S28" s="3" t="n">
        <f>H28 - O28 - Q28</f>
        <v>0.0</v>
      </c>
      <c r="T28" t="inlineStr">
        <is>
          <t/>
        </is>
      </c>
      <c r="U28" t="inlineStr">
        <is>
          <t/>
        </is>
      </c>
      <c r="V28" t="inlineStr">
        <is>
          <t/>
        </is>
      </c>
      <c r="W28" t="inlineStr">
        <is>
          <t/>
        </is>
      </c>
      <c r="X28" t="inlineStr">
        <is>
          <t/>
        </is>
      </c>
      <c r="Y28" s="3" t="n">
        <v>0.0</v>
      </c>
      <c r="Z28" s="3" t="n">
        <f>S28-Y28</f>
        <v>0.0</v>
      </c>
      <c r="AA28" t="inlineStr">
        <is>
          <t>PAID</t>
        </is>
      </c>
      <c r="AB28" t="inlineStr">
        <is>
          <t>HIST-2025-10-1650</t>
        </is>
      </c>
      <c r="AC28" s="2" t="n">
        <v>45951.0</v>
      </c>
    </row>
    <row r="29">
      <c r="A29" t="inlineStr">
        <is>
          <t>LEASE-BH-F29-2025</t>
        </is>
      </c>
      <c r="B29" t="inlineStr">
        <is>
          <t>Flat 29 - 3 West Gate</t>
        </is>
      </c>
      <c r="C29" t="inlineStr">
        <is>
          <t>Achal (Delegated for Udayan)</t>
        </is>
      </c>
      <c r="D29" t="inlineStr">
        <is>
          <t>Mrs Margaret Fritchley</t>
        </is>
      </c>
      <c r="E29" s="2" t="n">
        <v>45715.0</v>
      </c>
      <c r="F29" t="n">
        <v>27.0</v>
      </c>
      <c r="G29" s="3" t="n">
        <f>IFERROR(SUMPRODUCT((RENT_DUE!$B$2:$B$1000="LEASE-BH-F29-2025")*(RENT_DUE!$D$2:$D$1000&gt;=DATE(2025,5,22))*(RENT_DUE!$D$2:$D$1000&lt;=DATE(2025,6,21))*RENT_DUE!$L$2:$L$1000), 0)</f>
        <v>0.0</v>
      </c>
      <c r="H29" s="3" t="n">
        <f>IFERROR(SUMPRODUCT((RENT_RECEIVED!$B$2:$B$1000="LEASE-BH-F29-2025")*(RENT_RECEIVED!$E$2:$E$1000&gt;=DATE(2025,5,22))*(RENT_RECEIVED!$E$2:$E$1000&lt;=DATE(2025,6,21))*RENT_RECEIVED!$O$2:$O$1000), 0)</f>
        <v>0.0</v>
      </c>
      <c r="I29" t="inlineStr">
        <is>
          <t>HIST-2025-07-1603</t>
        </is>
      </c>
      <c r="J29" s="3" t="n">
        <f>IFERROR(SUMIFS(RENT_DUE!$L$2:$L$10000, RENT_DUE!$B$2:$B$10000, "LEASE-BH-F29-2025", RENT_DUE!$D$2:$D$10000, "&lt;"&amp;DATE(2025,5,22)), 0) - IFERROR(SUMIFS(RENT_RECEIVED!$O$2:$O$10000, RENT_RECEIVED!$B$2:$B$10000, "LEASE-BH-F29-2025", RENT_RECEIVED!$E$2:$E$10000, "&lt;"&amp;DATE(2025,5,22)), 0)</f>
        <v>0.0</v>
      </c>
      <c r="K29" s="3" t="n">
        <f>G29 - H29</f>
        <v>0.0</v>
      </c>
      <c r="L29" s="3" t="n">
        <f>J29 + K29</f>
        <v>0.0</v>
      </c>
      <c r="M29" s="3" t="n">
        <f>H29 * 0.1500</f>
        <v>0.0</v>
      </c>
      <c r="N29" s="3" t="n">
        <f>H29 * 0.0000</f>
        <v>0.0</v>
      </c>
      <c r="O29" s="3" t="n">
        <f>ABS(M29 + N29)</f>
        <v>0.0</v>
      </c>
      <c r="P29" t="inlineStr">
        <is>
          <t/>
        </is>
      </c>
      <c r="Q29" s="3" t="n">
        <f>SUMIFS(EXPENSES!E:E, EXPENSES!B:B, "LEASE-BH-F29-2025", EXPENSES!D:D, "&gt;="&amp;DATE(2025,5,22), EXPENSES!D:D, "&lt;="&amp;DATE(2025,6,21))</f>
        <v>0.0</v>
      </c>
      <c r="R29" t="inlineStr">
        <is>
          <t/>
        </is>
      </c>
      <c r="S29" s="3" t="n">
        <f>H29 - O29 - Q29</f>
        <v>0.0</v>
      </c>
      <c r="T29" t="inlineStr">
        <is>
          <t/>
        </is>
      </c>
      <c r="U29" t="inlineStr">
        <is>
          <t/>
        </is>
      </c>
      <c r="V29" t="inlineStr">
        <is>
          <t/>
        </is>
      </c>
      <c r="W29" t="inlineStr">
        <is>
          <t/>
        </is>
      </c>
      <c r="X29" t="inlineStr">
        <is>
          <t/>
        </is>
      </c>
      <c r="Y29" s="3" t="n">
        <v>5541.0</v>
      </c>
      <c r="Z29" s="3" t="n">
        <f>S29-Y29</f>
        <v>0.0</v>
      </c>
      <c r="AA29" t="inlineStr">
        <is>
          <t>PAID</t>
        </is>
      </c>
      <c r="AB29" t="inlineStr">
        <is>
          <t>MULTIPLE</t>
        </is>
      </c>
      <c r="AC29" s="2" t="n">
        <v>45982.0</v>
      </c>
    </row>
    <row r="30">
      <c r="A30" t="inlineStr">
        <is>
          <t>LEASE-BH-F30-2025</t>
        </is>
      </c>
      <c r="B30" t="inlineStr">
        <is>
          <t>Flat 30 - 3 West Gate</t>
        </is>
      </c>
      <c r="C30" t="inlineStr">
        <is>
          <t>Achal (Delegated for Udayan)</t>
        </is>
      </c>
      <c r="D30" t="inlineStr">
        <is>
          <t>Mr Joel Bryan</t>
        </is>
      </c>
      <c r="E30" s="2" t="n">
        <v>45722.0</v>
      </c>
      <c r="F30" t="n">
        <v>6.0</v>
      </c>
      <c r="G30" s="3" t="n">
        <f>IFERROR(SUMPRODUCT((RENT_DUE!$B$2:$B$1000="LEASE-BH-F30-2025")*(RENT_DUE!$D$2:$D$1000&gt;=DATE(2025,5,22))*(RENT_DUE!$D$2:$D$1000&lt;=DATE(2025,6,21))*RENT_DUE!$L$2:$L$1000), 0)</f>
        <v>0.0</v>
      </c>
      <c r="H30" s="3" t="n">
        <f>IFERROR(SUMPRODUCT((RENT_RECEIVED!$B$2:$B$1000="LEASE-BH-F30-2025")*(RENT_RECEIVED!$E$2:$E$1000&gt;=DATE(2025,5,22))*(RENT_RECEIVED!$E$2:$E$1000&lt;=DATE(2025,6,21))*RENT_RECEIVED!$O$2:$O$1000), 0)</f>
        <v>0.0</v>
      </c>
      <c r="I30" t="inlineStr">
        <is>
          <t>HIST-2025-07-1591</t>
        </is>
      </c>
      <c r="J30" s="3" t="n">
        <f>IFERROR(SUMIFS(RENT_DUE!$L$2:$L$10000, RENT_DUE!$B$2:$B$10000, "LEASE-BH-F30-2025", RENT_DUE!$D$2:$D$10000, "&lt;"&amp;DATE(2025,5,22)), 0) - IFERROR(SUMIFS(RENT_RECEIVED!$O$2:$O$10000, RENT_RECEIVED!$B$2:$B$10000, "LEASE-BH-F30-2025", RENT_RECEIVED!$E$2:$E$10000, "&lt;"&amp;DATE(2025,5,22)), 0)</f>
        <v>0.0</v>
      </c>
      <c r="K30" s="3" t="n">
        <f>G30 - H30</f>
        <v>0.0</v>
      </c>
      <c r="L30" s="3" t="n">
        <f>J30 + K30</f>
        <v>0.0</v>
      </c>
      <c r="M30" s="3" t="n">
        <f>H30 * 0.1500</f>
        <v>0.0</v>
      </c>
      <c r="N30" s="3" t="n">
        <f>H30 * 0.0000</f>
        <v>0.0</v>
      </c>
      <c r="O30" s="3" t="n">
        <f>ABS(M30 + N30)</f>
        <v>0.0</v>
      </c>
      <c r="P30" t="inlineStr">
        <is>
          <t/>
        </is>
      </c>
      <c r="Q30" s="3" t="n">
        <f>SUMIFS(EXPENSES!E:E, EXPENSES!B:B, "LEASE-BH-F30-2025", EXPENSES!D:D, "&gt;="&amp;DATE(2025,5,22), EXPENSES!D:D, "&lt;="&amp;DATE(2025,6,21))</f>
        <v>0.0</v>
      </c>
      <c r="R30" t="inlineStr">
        <is>
          <t/>
        </is>
      </c>
      <c r="S30" s="3" t="n">
        <f>H30 - O30 - Q30</f>
        <v>0.0</v>
      </c>
      <c r="T30" t="inlineStr">
        <is>
          <t/>
        </is>
      </c>
      <c r="U30" t="inlineStr">
        <is>
          <t/>
        </is>
      </c>
      <c r="V30" t="inlineStr">
        <is>
          <t/>
        </is>
      </c>
      <c r="W30" t="inlineStr">
        <is>
          <t/>
        </is>
      </c>
      <c r="X30" t="inlineStr">
        <is>
          <t/>
        </is>
      </c>
      <c r="Y30" s="3" t="n">
        <v>5032.0</v>
      </c>
      <c r="Z30" s="3" t="n">
        <f>S30-Y30</f>
        <v>0.0</v>
      </c>
      <c r="AA30" t="inlineStr">
        <is>
          <t>PAID</t>
        </is>
      </c>
      <c r="AB30" t="inlineStr">
        <is>
          <t>MULTIPLE</t>
        </is>
      </c>
      <c r="AC30" s="2" t="n">
        <v>45992.0</v>
      </c>
    </row>
    <row r="31">
      <c r="A31" t="inlineStr">
        <is>
          <t>LEASE-KH-F-2024</t>
        </is>
      </c>
      <c r="B31" t="inlineStr">
        <is>
          <t>Apartment F - Knighton Hayes Manor</t>
        </is>
      </c>
      <c r="C31" t="inlineStr">
        <is>
          <t>Achal (Delegated for Udayan)</t>
        </is>
      </c>
      <c r="D31" t="inlineStr">
        <is>
          <t>Mr Riaz Hamid, Ismat Tarr-Hamid</t>
        </is>
      </c>
      <c r="E31" s="2" t="n">
        <v>45648.0</v>
      </c>
      <c r="F31" t="n">
        <v>22.0</v>
      </c>
      <c r="G31" s="3" t="n">
        <f>IFERROR(SUMPRODUCT((RENT_DUE!$B$2:$B$1000="LEASE-KH-F-2024")*(RENT_DUE!$D$2:$D$1000&gt;=DATE(2025,5,22))*(RENT_DUE!$D$2:$D$1000&lt;=DATE(2025,6,21))*RENT_DUE!$L$2:$L$1000), 0)</f>
        <v>0.0</v>
      </c>
      <c r="H31" s="3" t="n">
        <f>IFERROR(SUMPRODUCT((RENT_RECEIVED!$B$2:$B$1000="LEASE-KH-F-2024")*(RENT_RECEIVED!$E$2:$E$1000&gt;=DATE(2025,5,22))*(RENT_RECEIVED!$E$2:$E$1000&lt;=DATE(2025,6,21))*RENT_RECEIVED!$O$2:$O$1000), 0)</f>
        <v>0.0</v>
      </c>
      <c r="I31" t="inlineStr">
        <is>
          <t/>
        </is>
      </c>
      <c r="J31" s="3" t="n">
        <f>IFERROR(SUMIFS(RENT_DUE!$L$2:$L$10000, RENT_DUE!$B$2:$B$10000, "LEASE-KH-F-2024", RENT_DUE!$D$2:$D$10000, "&lt;"&amp;DATE(2025,5,22)), 0) - IFERROR(SUMIFS(RENT_RECEIVED!$O$2:$O$10000, RENT_RECEIVED!$B$2:$B$10000, "LEASE-KH-F-2024", RENT_RECEIVED!$E$2:$E$10000, "&lt;"&amp;DATE(2025,5,22)), 0)</f>
        <v>0.0</v>
      </c>
      <c r="K31" s="3" t="n">
        <f>G31 - H31</f>
        <v>0.0</v>
      </c>
      <c r="L31" s="3" t="n">
        <f>J31 + K31</f>
        <v>0.0</v>
      </c>
      <c r="M31" s="3" t="n">
        <f>H31 * 0.1000</f>
        <v>0.0</v>
      </c>
      <c r="N31" s="3" t="n">
        <f>H31 * 0.0000</f>
        <v>0.0</v>
      </c>
      <c r="O31" s="3" t="n">
        <f>ABS(M31 + N31)</f>
        <v>0.0</v>
      </c>
      <c r="P31" t="inlineStr">
        <is>
          <t/>
        </is>
      </c>
      <c r="Q31" s="3" t="n">
        <f>SUMIFS(EXPENSES!E:E, EXPENSES!B:B, "LEASE-KH-F-2024", EXPENSES!D:D, "&gt;="&amp;DATE(2025,5,22), EXPENSES!D:D, "&lt;="&amp;DATE(2025,6,21))</f>
        <v>0.0</v>
      </c>
      <c r="R31" t="inlineStr">
        <is>
          <t/>
        </is>
      </c>
      <c r="S31" s="3" t="n">
        <f>H31 - O31 - Q31</f>
        <v>0.0</v>
      </c>
      <c r="T31" t="inlineStr">
        <is>
          <t/>
        </is>
      </c>
      <c r="U31" t="inlineStr">
        <is>
          <t/>
        </is>
      </c>
      <c r="V31" t="inlineStr">
        <is>
          <t/>
        </is>
      </c>
      <c r="W31" t="inlineStr">
        <is>
          <t/>
        </is>
      </c>
      <c r="X31" t="inlineStr">
        <is>
          <t/>
        </is>
      </c>
      <c r="Y31" s="3" t="n">
        <v>12150.0</v>
      </c>
      <c r="Z31" s="3" t="n">
        <f>S31-Y31</f>
        <v>0.0</v>
      </c>
      <c r="AA31" t="inlineStr">
        <is>
          <t>PAID</t>
        </is>
      </c>
      <c r="AB31" t="inlineStr">
        <is>
          <t>MULTIPLE</t>
        </is>
      </c>
      <c r="AC31" s="2" t="n">
        <v>45982.0</v>
      </c>
    </row>
    <row r="32">
      <c r="A32" t="inlineStr">
        <is>
          <t>BODEN-BLOCK-2025</t>
        </is>
      </c>
      <c r="B32" t="inlineStr">
        <is>
          <t>Boden House Block - Block Property</t>
        </is>
      </c>
      <c r="C32" t="inlineStr">
        <is>
          <t>Achal (Delegated for Udayan)</t>
        </is>
      </c>
      <c r="D32" t="inlineStr">
        <is>
          <t>Prestvale Properties Limited</t>
        </is>
      </c>
      <c r="E32" s="2" t="n">
        <v>45717.0</v>
      </c>
      <c r="F32" t="n">
        <v>1.0</v>
      </c>
      <c r="G32" s="3" t="n">
        <f>IFERROR(SUMPRODUCT((RENT_DUE!$B$2:$B$1000="BODEN-BLOCK-2025")*(RENT_DUE!$D$2:$D$1000&gt;=DATE(2025,5,22))*(RENT_DUE!$D$2:$D$1000&lt;=DATE(2025,6,21))*RENT_DUE!$L$2:$L$1000), 0)</f>
        <v>0.0</v>
      </c>
      <c r="H32" s="3" t="n">
        <f>IFERROR(SUMPRODUCT((RENT_RECEIVED!$B$2:$B$1000="BODEN-BLOCK-2025")*(RENT_RECEIVED!$E$2:$E$1000&gt;=DATE(2025,5,22))*(RENT_RECEIVED!$E$2:$E$1000&lt;=DATE(2025,6,21))*RENT_RECEIVED!$O$2:$O$1000), 0)</f>
        <v>0.0</v>
      </c>
      <c r="I32" t="inlineStr">
        <is>
          <t/>
        </is>
      </c>
      <c r="J32" s="3" t="n">
        <f>IFERROR(SUMIFS(RENT_DUE!$L$2:$L$10000, RENT_DUE!$B$2:$B$10000, "BODEN-BLOCK-2025", RENT_DUE!$D$2:$D$10000, "&lt;"&amp;DATE(2025,5,22)), 0) - IFERROR(SUMIFS(RENT_RECEIVED!$O$2:$O$10000, RENT_RECEIVED!$B$2:$B$10000, "BODEN-BLOCK-2025", RENT_RECEIVED!$E$2:$E$10000, "&lt;"&amp;DATE(2025,5,22)), 0)</f>
        <v>0.0</v>
      </c>
      <c r="K32" s="3" t="n">
        <f>G32 - H32</f>
        <v>0.0</v>
      </c>
      <c r="L32" s="3" t="n">
        <f>J32 + K32</f>
        <v>0.0</v>
      </c>
      <c r="M32" s="3" t="n">
        <f>H32 * 0.0000</f>
        <v>0.0</v>
      </c>
      <c r="N32" s="3" t="n">
        <f>H32 * 0.0500</f>
        <v>0.0</v>
      </c>
      <c r="O32" s="3" t="n">
        <f>ABS(M32 + N32)</f>
        <v>0.0</v>
      </c>
      <c r="P32" t="inlineStr">
        <is>
          <t/>
        </is>
      </c>
      <c r="Q32" s="3" t="n">
        <f>SUMIFS(EXPENSES!E:E, EXPENSES!B:B, "BODEN-BLOCK-2025", EXPENSES!D:D, "&gt;="&amp;DATE(2025,5,22), EXPENSES!D:D, "&lt;="&amp;DATE(2025,6,21))</f>
        <v>0.0</v>
      </c>
      <c r="R32" t="inlineStr">
        <is>
          <t>HIST-2025-05-1564</t>
        </is>
      </c>
      <c r="S32" s="3" t="n">
        <f>H32 - O32 - Q32</f>
        <v>0.0</v>
      </c>
      <c r="T32" t="inlineStr">
        <is>
          <t>Boden House NG10</t>
        </is>
      </c>
      <c r="U32" s="3" t="n">
        <f>IFERROR(SUMIFS(PROPERTY_ACCOUNT!D:D, PROPERTY_ACCOUNT!A:A, T32, PROPERTY_ACCOUNT!B:B, "opening"), 0)</f>
        <v>0.0</v>
      </c>
      <c r="V32" s="3" t="n">
        <f>IFERROR(SUMIFS(PROPERTY_ACCOUNT!D:D, PROPERTY_ACCOUNT!A:A, T32, PROPERTY_ACCOUNT!B:B, "in"), 0)</f>
        <v>0.0</v>
      </c>
      <c r="W32" s="3" t="n">
        <f>IFERROR(SUMIFS(PROPERTY_ACCOUNT!D:D, PROPERTY_ACCOUNT!A:A, T32, PROPERTY_ACCOUNT!B:B, "out"), 0)</f>
        <v>0.0</v>
      </c>
      <c r="X32" s="3" t="n">
        <f>U32 + V32 - W32</f>
        <v>0.0</v>
      </c>
      <c r="Y32" s="3" t="n">
        <v>0.0</v>
      </c>
      <c r="Z32" s="3" t="n">
        <f>S32-Y32</f>
        <v>0.0</v>
      </c>
      <c r="AA32" t="inlineStr">
        <is>
          <t>PAID</t>
        </is>
      </c>
      <c r="AB32" t="inlineStr">
        <is>
          <t>MULTIPLE</t>
        </is>
      </c>
      <c r="AC32" s="2" t="n">
        <v>45993.0</v>
      </c>
    </row>
    <row r="33">
      <c r="A33" s="5" t="inlineStr">
        <is>
          <t>TOTALS</t>
        </is>
      </c>
      <c r="G33" s="6" t="n">
        <f>SUM(G2:G32)</f>
        <v>0.0</v>
      </c>
      <c r="H33" s="6" t="n">
        <f>SUM(H2:H32)</f>
        <v>0.0</v>
      </c>
      <c r="I33" t="inlineStr">
        <is>
          <t/>
        </is>
      </c>
      <c r="J33" s="6" t="n">
        <f>SUM(J2:J32)</f>
        <v>0.0</v>
      </c>
      <c r="K33" s="6" t="n">
        <f>SUM(K2:K32)</f>
        <v>0.0</v>
      </c>
      <c r="L33" s="6" t="n">
        <f>SUM(L2:L32)</f>
        <v>0.0</v>
      </c>
      <c r="M33" s="6" t="n">
        <f>SUM(M2:M32)</f>
        <v>0.0</v>
      </c>
      <c r="N33" s="6" t="n">
        <f>SUM(N2:N32)</f>
        <v>0.0</v>
      </c>
      <c r="O33" s="6" t="n">
        <f>SUM(O2:O32)</f>
        <v>0.0</v>
      </c>
      <c r="P33" t="inlineStr">
        <is>
          <t/>
        </is>
      </c>
      <c r="Q33" s="6" t="n">
        <f>SUM(Q2:Q32)</f>
        <v>0.0</v>
      </c>
      <c r="R33" t="inlineStr">
        <is>
          <t/>
        </is>
      </c>
      <c r="S33" s="6" t="n">
        <f>SUM(S2:S32)</f>
        <v>0.0</v>
      </c>
      <c r="T33" t="inlineStr">
        <is>
          <t/>
        </is>
      </c>
      <c r="U33" s="6" t="n">
        <f>SUM(U2:U32)</f>
        <v>0.0</v>
      </c>
      <c r="V33" s="6" t="n">
        <f>SUM(V2:V32)</f>
        <v>0.0</v>
      </c>
      <c r="W33" s="6" t="n">
        <f>SUM(W2:W32)</f>
        <v>0.0</v>
      </c>
      <c r="X33" s="6" t="n">
        <f>SUM(X2:X32)</f>
        <v>0.0</v>
      </c>
    </row>
    <row r="35">
      <c r="A35" s="5" t="inlineStr">
        <is>
          <t>PAYMENT RECONCILIATION</t>
        </is>
      </c>
    </row>
    <row r="36">
      <c r="A36" t="inlineStr">
        <is>
          <t>Period: 2025-05-22 to 2025-06-21</t>
        </is>
      </c>
    </row>
    <row r="38">
      <c r="A38" s="5" t="inlineStr">
        <is>
          <t>BROUGHT FORWARD (items from prior periods paid this period)</t>
        </is>
      </c>
    </row>
    <row r="39">
      <c r="A39" t="inlineStr">
        <is>
          <t xml:space="preserve">  Prior Period Income:</t>
        </is>
      </c>
    </row>
    <row r="40">
      <c r="A40" t="inlineStr">
        <is>
          <t xml:space="preserve">    2025-04-28 | Flat 22 - 3 West Gate | rent</t>
        </is>
      </c>
      <c r="B40" s="3" t="n">
        <v>51.0</v>
      </c>
    </row>
    <row r="41">
      <c r="A41" t="inlineStr">
        <is>
          <t xml:space="preserve">    2025-04-28 | Flat 26 - 3 West Gate | rent</t>
        </is>
      </c>
      <c r="B41" s="3" t="n">
        <v>573.75</v>
      </c>
    </row>
    <row r="42">
      <c r="A42" t="inlineStr">
        <is>
          <t xml:space="preserve">    2025-04-29 | Flat 28 - 3 West Gate | rent</t>
        </is>
      </c>
      <c r="B42" s="3" t="n">
        <v>629.0</v>
      </c>
    </row>
    <row r="43">
      <c r="A43" t="inlineStr">
        <is>
          <t xml:space="preserve">    2025-05-01 | Flat 20 - 3 West Gate | rent</t>
        </is>
      </c>
      <c r="B43" s="3" t="n">
        <v>595.0</v>
      </c>
    </row>
    <row r="44">
      <c r="A44" t="inlineStr">
        <is>
          <t xml:space="preserve">    2025-05-01 | Flat 9 - 3 West Gate | rent</t>
        </is>
      </c>
      <c r="B44" s="3" t="n">
        <v>595.0</v>
      </c>
    </row>
    <row r="45">
      <c r="A45" t="inlineStr">
        <is>
          <t xml:space="preserve">    2025-05-02 | Flat 11 - 3 West Gate | rent</t>
        </is>
      </c>
      <c r="B45" s="3" t="n">
        <v>675.75</v>
      </c>
    </row>
    <row r="46">
      <c r="A46" t="inlineStr">
        <is>
          <t xml:space="preserve">    2025-05-02 | Flat 2 - 3 West Gate | rent</t>
        </is>
      </c>
      <c r="B46" s="3" t="n">
        <v>629.0</v>
      </c>
    </row>
    <row r="47">
      <c r="A47" t="inlineStr">
        <is>
          <t xml:space="preserve">    2025-05-02 | Flat 27 - 3 West Gate | rent</t>
        </is>
      </c>
      <c r="B47" s="3" t="n">
        <v>595.0</v>
      </c>
    </row>
    <row r="48">
      <c r="A48" t="inlineStr">
        <is>
          <t xml:space="preserve">    2025-05-02 | Flat 29 - 3 West Gate | rent</t>
        </is>
      </c>
      <c r="B48" s="3" t="n">
        <v>629.0</v>
      </c>
    </row>
    <row r="49">
      <c r="A49" t="inlineStr">
        <is>
          <t xml:space="preserve">    2025-05-03 | Flat 4 - 3 West Gate | rent</t>
        </is>
      </c>
      <c r="B49" s="3" t="n">
        <v>726.75</v>
      </c>
    </row>
    <row r="50">
      <c r="A50" t="inlineStr">
        <is>
          <t xml:space="preserve">    2025-05-06 | Flat 1 - 3 West Gate | rent</t>
        </is>
      </c>
      <c r="B50" s="3" t="n">
        <v>675.75</v>
      </c>
    </row>
    <row r="51">
      <c r="A51" t="inlineStr">
        <is>
          <t xml:space="preserve">    2025-05-06 | Flat 10 - 3 West Gate | rent</t>
        </is>
      </c>
      <c r="B51" s="3" t="n">
        <v>624.75</v>
      </c>
    </row>
    <row r="52">
      <c r="A52" t="inlineStr">
        <is>
          <t xml:space="preserve">    2025-05-06 | Flat 13 - 3 West Gate | rent</t>
        </is>
      </c>
      <c r="B52" s="3" t="n">
        <v>680.0</v>
      </c>
    </row>
    <row r="53">
      <c r="A53" t="inlineStr">
        <is>
          <t xml:space="preserve">    2025-05-06 | Flat 19 - 3 West Gate | rent</t>
        </is>
      </c>
      <c r="B53" s="3" t="n">
        <v>629.0</v>
      </c>
    </row>
    <row r="54">
      <c r="A54" t="inlineStr">
        <is>
          <t xml:space="preserve">    2025-05-06 | Flat 8 - 3 West Gate | rent</t>
        </is>
      </c>
      <c r="B54" s="3" t="n">
        <v>573.75</v>
      </c>
    </row>
    <row r="55">
      <c r="A55" t="inlineStr">
        <is>
          <t xml:space="preserve">    2025-05-09 | Flat 12 - 3 West Gate | rent</t>
        </is>
      </c>
      <c r="B55" s="3" t="n">
        <v>573.75</v>
      </c>
    </row>
    <row r="56">
      <c r="A56" t="inlineStr">
        <is>
          <t xml:space="preserve">    2025-05-12 | Flat 16 - 3 West Gate | rent</t>
        </is>
      </c>
      <c r="B56" s="3" t="n">
        <v>629.0</v>
      </c>
    </row>
    <row r="57">
      <c r="A57" t="inlineStr">
        <is>
          <t xml:space="preserve">    2025-05-12 | Flat 30 - 3 West Gate | rent</t>
        </is>
      </c>
      <c r="B57" s="3" t="n">
        <v>629.0</v>
      </c>
    </row>
    <row r="58">
      <c r="A58" t="inlineStr">
        <is>
          <t xml:space="preserve">    2025-05-14 | Flat 3 - 3 West Gate | rent</t>
        </is>
      </c>
      <c r="B58" s="3" t="n">
        <v>629.0</v>
      </c>
    </row>
    <row r="59">
      <c r="A59" t="inlineStr">
        <is>
          <t xml:space="preserve">    2025-05-15 | Flat 18 - 3 West Gate | rent</t>
        </is>
      </c>
      <c r="B59" s="3" t="n">
        <v>157.25</v>
      </c>
    </row>
    <row r="60">
      <c r="A60" t="inlineStr">
        <is>
          <t xml:space="preserve">    2025-05-16 | Flat 21 - 3 West Gate | rent</t>
        </is>
      </c>
      <c r="B60" s="3" t="n">
        <v>675.75</v>
      </c>
    </row>
    <row r="61">
      <c r="A61" t="inlineStr">
        <is>
          <t xml:space="preserve">    2025-05-16 | Flat 24 - 3 West Gate | rent</t>
        </is>
      </c>
      <c r="B61" s="3" t="n">
        <v>688.5</v>
      </c>
    </row>
    <row r="62">
      <c r="A62" t="inlineStr">
        <is>
          <t xml:space="preserve">    2025-05-17 | Flat 5 - 3 West Gate | rent</t>
        </is>
      </c>
      <c r="B62" s="3" t="n">
        <v>629.0</v>
      </c>
    </row>
    <row r="63">
      <c r="A63" t="inlineStr">
        <is>
          <t xml:space="preserve">    2025-05-19 | Flat 15 - 3 West Gate | rent</t>
        </is>
      </c>
      <c r="B63" s="3" t="n">
        <v>1258.0</v>
      </c>
    </row>
    <row r="64">
      <c r="A64" t="inlineStr">
        <is>
          <t xml:space="preserve">    2025-05-19 | Flat 7 - 3 West Gate | rent</t>
        </is>
      </c>
      <c r="B64" s="3" t="n">
        <v>1190.0</v>
      </c>
    </row>
    <row r="65">
      <c r="A65" t="inlineStr">
        <is>
          <t xml:space="preserve">    2025-05-20 | Flat 17 - 3 West Gate | rent</t>
        </is>
      </c>
      <c r="B65" s="3" t="n">
        <v>595.0</v>
      </c>
    </row>
    <row r="66">
      <c r="A66" s="5" t="inlineStr">
        <is>
          <t xml:space="preserve">  Prior Period Income Total (26 items):</t>
        </is>
      </c>
      <c r="B66" s="6" t="n">
        <v>16536.75</v>
      </c>
    </row>
    <row r="67">
      <c r="A67" t="inlineStr">
        <is>
          <t xml:space="preserve">  Prior Period Expenses: None</t>
        </is>
      </c>
    </row>
    <row r="68">
      <c r="A68" s="5" t="inlineStr">
        <is>
          <t xml:space="preserve">  NET B/F (Income - Expenses):</t>
        </is>
      </c>
      <c r="B68" s="6" t="n">
        <v>16536.75</v>
      </c>
    </row>
    <row r="70">
      <c r="A70" s="5" t="inlineStr">
        <is>
          <t>THIS PERIOD ACTIVITY (see transactions above for details)</t>
        </is>
      </c>
    </row>
    <row r="71">
      <c r="A71" t="inlineStr">
        <is>
          <t xml:space="preserve">  Period Income (6 transactions)</t>
        </is>
      </c>
      <c r="B71" s="3" t="n">
        <v>2765.87</v>
      </c>
    </row>
    <row r="72">
      <c r="A72" t="inlineStr">
        <is>
          <t xml:space="preserve">  Period Expenses (3 transactions)</t>
        </is>
      </c>
      <c r="B72" s="3" t="n">
        <v>638.85</v>
      </c>
    </row>
    <row r="73">
      <c r="A73" s="5" t="inlineStr">
        <is>
          <t xml:space="preserve">  Net Activity (Income - Expenses):</t>
        </is>
      </c>
      <c r="B73" s="6" t="n">
        <v>2127.02</v>
      </c>
    </row>
    <row r="75">
      <c r="A75" s="5" t="inlineStr">
        <is>
          <t>PAYMENTS MADE THIS PERIOD</t>
        </is>
      </c>
    </row>
    <row r="76">
      <c r="A76" t="inlineStr">
        <is>
          <t xml:space="preserve">  HIST-2025-05-1564 (2025-05-27)</t>
        </is>
      </c>
      <c r="B76" s="6" t="n">
        <v>17111.56</v>
      </c>
    </row>
    <row r="77">
      <c r="A77" t="inlineStr">
        <is>
          <t xml:space="preserve">    Covers: 28 income (£17750.41) - 3 expenses (£638.85) = £17111.56</t>
        </is>
      </c>
    </row>
    <row r="78">
      <c r="A78" t="inlineStr">
        <is>
          <t xml:space="preserve">  HIST-2025-05-1565 (2025-05-28)</t>
        </is>
      </c>
      <c r="B78" s="6" t="n">
        <v>923.21</v>
      </c>
    </row>
    <row r="79">
      <c r="A79" t="inlineStr">
        <is>
          <t xml:space="preserve">    Covers: 3 income (£923.21) = £923.21</t>
        </is>
      </c>
    </row>
    <row r="80">
      <c r="A80" t="inlineStr">
        <is>
          <t xml:space="preserve">  AXNrOQQnXk (2025-06-17)</t>
        </is>
      </c>
      <c r="B80" s="6" t="n">
        <v>629.0</v>
      </c>
    </row>
    <row r="81">
      <c r="A81" t="inlineStr">
        <is>
          <t xml:space="preserve">    Covers: 1 income (£629.00) = £629.00</t>
        </is>
      </c>
    </row>
    <row r="82">
      <c r="A82" s="5" t="inlineStr">
        <is>
          <t xml:space="preserve">  Total Payments Made:</t>
        </is>
      </c>
      <c r="B82" s="6" t="n">
        <v>18663.77</v>
      </c>
    </row>
    <row r="83">
      <c r="A83" t="inlineStr">
        <is>
          <t xml:space="preserve">  (See PAYMENT_ALLOCATIONS sheet for full details)</t>
        </is>
      </c>
    </row>
    <row r="85">
      <c r="A85" s="5" t="inlineStr">
        <is>
          <t>SUMMARY</t>
        </is>
      </c>
    </row>
    <row r="86">
      <c r="A86" t="inlineStr">
        <is>
          <t xml:space="preserve">  Total Allocated (Income - Expenses):</t>
        </is>
      </c>
      <c r="B86" s="3" t="n">
        <v>18663.77</v>
      </c>
    </row>
    <row r="87">
      <c r="A87" t="inlineStr">
        <is>
          <t xml:space="preserve">  Total Payments Made:</t>
        </is>
      </c>
      <c r="B87" s="3" t="n">
        <v>18663.77</v>
      </c>
    </row>
    <row r="88">
      <c r="A88" t="inlineStr">
        <is>
          <t xml:space="preserve">  Unallocated Payment Amounts:</t>
        </is>
      </c>
      <c r="B88" s="3" t="n">
        <v>0.0</v>
      </c>
    </row>
    <row r="90">
      <c r="A90" t="inlineStr">
        <is>
          <t>Check: Allocated 18663.77 + Unallocated 0.00 = 18663.77 vs Payments 18663.77</t>
        </is>
      </c>
    </row>
  </sheetData>
  <pageMargins bottom="0.75" footer="0.3" header="0.3" left="0.7" right="0.7" top="0.75"/>
</worksheet>
</file>

<file path=xl/worksheets/sheet13.xml><?xml version="1.0" encoding="utf-8"?>
<worksheet xmlns="http://schemas.openxmlformats.org/spreadsheetml/2006/main">
  <dimension ref="A1:AC89"/>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IFERROR(SUMPRODUCT((RENT_DUE!$B$2:$B$1000="LEASE-BH-F1-2025")*(RENT_DUE!$D$2:$D$1000&gt;=DATE(2025,6,22))*(RENT_DUE!$D$2:$D$1000&lt;=DATE(2025,7,21))*RENT_DUE!$L$2:$L$1000), 0)</f>
        <v>0.0</v>
      </c>
      <c r="H2" s="3" t="n">
        <f>IFERROR(SUMPRODUCT((RENT_RECEIVED!$B$2:$B$1000="LEASE-BH-F1-2025")*(RENT_RECEIVED!$E$2:$E$1000&gt;=DATE(2025,6,22))*(RENT_RECEIVED!$E$2:$E$1000&lt;=DATE(2025,7,21))*RENT_RECEIVED!$O$2:$O$1000), 0)</f>
        <v>0.0</v>
      </c>
      <c r="I2" t="inlineStr">
        <is>
          <t>HIST-2025-07-1591</t>
        </is>
      </c>
      <c r="J2" s="3" t="n">
        <f>IFERROR(SUMIFS(RENT_DUE!$L$2:$L$10000, RENT_DUE!$B$2:$B$10000, "LEASE-BH-F1-2025", RENT_DUE!$D$2:$D$10000, "&lt;"&amp;DATE(2025,6,22)), 0) - IFERROR(SUMIFS(RENT_RECEIVED!$O$2:$O$10000, RENT_RECEIVED!$B$2:$B$10000, "LEASE-BH-F1-2025", RENT_RECEIVED!$E$2:$E$10000, "&lt;"&amp;DATE(2025,6,22)), 0)</f>
        <v>0.0</v>
      </c>
      <c r="K2" s="3" t="n">
        <f>G2 - H2</f>
        <v>0.0</v>
      </c>
      <c r="L2" s="3" t="n">
        <f>J2 + K2</f>
        <v>0.0</v>
      </c>
      <c r="M2" s="3" t="n">
        <f>H2 * 0.1500</f>
        <v>0.0</v>
      </c>
      <c r="N2" s="3" t="n">
        <f>H2 * 0.0000</f>
        <v>0.0</v>
      </c>
      <c r="O2" s="3" t="n">
        <f>ABS(M2 + N2)</f>
        <v>0.0</v>
      </c>
      <c r="P2" t="inlineStr">
        <is>
          <t/>
        </is>
      </c>
      <c r="Q2" s="3" t="n">
        <f>SUMIFS(EXPENSES!E:E, EXPENSES!B:B, "LEASE-BH-F1-2025", EXPENSES!D:D, "&gt;="&amp;DATE(2025,6,22), EXPENSES!D:D, "&lt;="&amp;DATE(2025,7,21))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IFERROR(SUMPRODUCT((RENT_DUE!$B$2:$B$1000="LEASE-BH-F2-2025")*(RENT_DUE!$D$2:$D$1000&gt;=DATE(2025,6,22))*(RENT_DUE!$D$2:$D$1000&lt;=DATE(2025,7,21))*RENT_DUE!$L$2:$L$1000), 0)</f>
        <v>0.0</v>
      </c>
      <c r="H3" s="3" t="n">
        <f>IFERROR(SUMPRODUCT((RENT_RECEIVED!$B$2:$B$1000="LEASE-BH-F2-2025")*(RENT_RECEIVED!$E$2:$E$1000&gt;=DATE(2025,6,22))*(RENT_RECEIVED!$E$2:$E$1000&lt;=DATE(2025,7,21))*RENT_RECEIVED!$O$2:$O$1000), 0)</f>
        <v>0.0</v>
      </c>
      <c r="I3" t="inlineStr">
        <is>
          <t>HIST-2025-07-1591</t>
        </is>
      </c>
      <c r="J3" s="3" t="n">
        <f>IFERROR(SUMIFS(RENT_DUE!$L$2:$L$10000, RENT_DUE!$B$2:$B$10000, "LEASE-BH-F2-2025", RENT_DUE!$D$2:$D$10000, "&lt;"&amp;DATE(2025,6,22)), 0) - IFERROR(SUMIFS(RENT_RECEIVED!$O$2:$O$10000, RENT_RECEIVED!$B$2:$B$10000, "LEASE-BH-F2-2025", RENT_RECEIVED!$E$2:$E$10000, "&lt;"&amp;DATE(2025,6,22)), 0)</f>
        <v>0.0</v>
      </c>
      <c r="K3" s="3" t="n">
        <f>G3 - H3</f>
        <v>0.0</v>
      </c>
      <c r="L3" s="3" t="n">
        <f>J3 + K3</f>
        <v>0.0</v>
      </c>
      <c r="M3" s="3" t="n">
        <f>H3 * 0.1500</f>
        <v>0.0</v>
      </c>
      <c r="N3" s="3" t="n">
        <f>H3 * 0.0000</f>
        <v>0.0</v>
      </c>
      <c r="O3" s="3" t="n">
        <f>ABS(M3 + N3)</f>
        <v>0.0</v>
      </c>
      <c r="P3" t="inlineStr">
        <is>
          <t/>
        </is>
      </c>
      <c r="Q3" s="3" t="n">
        <f>SUMIFS(EXPENSES!E:E, EXPENSES!B:B, "LEASE-BH-F2-2025", EXPENSES!D:D, "&gt;="&amp;DATE(2025,6,22), EXPENSES!D:D, "&lt;="&amp;DATE(2025,7,21))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IFERROR(SUMPRODUCT((RENT_DUE!$B$2:$B$1000="LEASE-BH-F3-2025")*(RENT_DUE!$D$2:$D$1000&gt;=DATE(2025,6,22))*(RENT_DUE!$D$2:$D$1000&lt;=DATE(2025,7,21))*RENT_DUE!$L$2:$L$1000), 0)</f>
        <v>0.0</v>
      </c>
      <c r="H4" s="3" t="n">
        <f>IFERROR(SUMPRODUCT((RENT_RECEIVED!$B$2:$B$1000="LEASE-BH-F3-2025")*(RENT_RECEIVED!$E$2:$E$1000&gt;=DATE(2025,6,22))*(RENT_RECEIVED!$E$2:$E$1000&lt;=DATE(2025,7,21))*RENT_RECEIVED!$O$2:$O$1000), 0)</f>
        <v>0.0</v>
      </c>
      <c r="I4" t="inlineStr">
        <is>
          <t>HIST-2025-07-1591</t>
        </is>
      </c>
      <c r="J4" s="3" t="n">
        <f>IFERROR(SUMIFS(RENT_DUE!$L$2:$L$10000, RENT_DUE!$B$2:$B$10000, "LEASE-BH-F3-2025", RENT_DUE!$D$2:$D$10000, "&lt;"&amp;DATE(2025,6,22)), 0) - IFERROR(SUMIFS(RENT_RECEIVED!$O$2:$O$10000, RENT_RECEIVED!$B$2:$B$10000, "LEASE-BH-F3-2025", RENT_RECEIVED!$E$2:$E$10000, "&lt;"&amp;DATE(2025,6,22)), 0)</f>
        <v>0.0</v>
      </c>
      <c r="K4" s="3" t="n">
        <f>G4 - H4</f>
        <v>0.0</v>
      </c>
      <c r="L4" s="3" t="n">
        <f>J4 + K4</f>
        <v>0.0</v>
      </c>
      <c r="M4" s="3" t="n">
        <f>H4 * 0.1500</f>
        <v>0.0</v>
      </c>
      <c r="N4" s="3" t="n">
        <f>H4 * 0.0000</f>
        <v>0.0</v>
      </c>
      <c r="O4" s="3" t="n">
        <f>ABS(M4 + N4)</f>
        <v>0.0</v>
      </c>
      <c r="P4" t="inlineStr">
        <is>
          <t/>
        </is>
      </c>
      <c r="Q4" s="3" t="n">
        <f>SUMIFS(EXPENSES!E:E, EXPENSES!B:B, "LEASE-BH-F3-2025", EXPENSES!D:D, "&gt;="&amp;DATE(2025,6,22), EXPENSES!D:D, "&lt;="&amp;DATE(2025,7,21))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IFERROR(SUMPRODUCT((RENT_DUE!$B$2:$B$1000="LEASE-BH-F4-2025")*(RENT_DUE!$D$2:$D$1000&gt;=DATE(2025,6,22))*(RENT_DUE!$D$2:$D$1000&lt;=DATE(2025,7,21))*RENT_DUE!$L$2:$L$1000), 0)</f>
        <v>0.0</v>
      </c>
      <c r="H5" s="3" t="n">
        <f>IFERROR(SUMPRODUCT((RENT_RECEIVED!$B$2:$B$1000="LEASE-BH-F4-2025")*(RENT_RECEIVED!$E$2:$E$1000&gt;=DATE(2025,6,22))*(RENT_RECEIVED!$E$2:$E$1000&lt;=DATE(2025,7,21))*RENT_RECEIVED!$O$2:$O$1000), 0)</f>
        <v>0.0</v>
      </c>
      <c r="I5" t="inlineStr">
        <is>
          <t/>
        </is>
      </c>
      <c r="J5" s="3" t="n">
        <f>IFERROR(SUMIFS(RENT_DUE!$L$2:$L$10000, RENT_DUE!$B$2:$B$10000, "LEASE-BH-F4-2025", RENT_DUE!$D$2:$D$10000, "&lt;"&amp;DATE(2025,6,22)), 0) - IFERROR(SUMIFS(RENT_RECEIVED!$O$2:$O$10000, RENT_RECEIVED!$B$2:$B$10000, "LEASE-BH-F4-2025", RENT_RECEIVED!$E$2:$E$10000, "&lt;"&amp;DATE(2025,6,22)), 0)</f>
        <v>0.0</v>
      </c>
      <c r="K5" s="3" t="n">
        <f>G5 - H5</f>
        <v>0.0</v>
      </c>
      <c r="L5" s="3" t="n">
        <f>J5 + K5</f>
        <v>0.0</v>
      </c>
      <c r="M5" s="3" t="n">
        <f>H5 * 0.1500</f>
        <v>0.0</v>
      </c>
      <c r="N5" s="3" t="n">
        <f>H5 * 0.0000</f>
        <v>0.0</v>
      </c>
      <c r="O5" s="3" t="n">
        <f>ABS(M5 + N5)</f>
        <v>0.0</v>
      </c>
      <c r="P5" t="inlineStr">
        <is>
          <t/>
        </is>
      </c>
      <c r="Q5" s="3" t="n">
        <f>SUMIFS(EXPENSES!E:E, EXPENSES!B:B, "LEASE-BH-F4-2025", EXPENSES!D:D, "&gt;="&amp;DATE(2025,6,22), EXPENSES!D:D, "&lt;="&amp;DATE(2025,7,21))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IFERROR(SUMPRODUCT((RENT_DUE!$B$2:$B$1000="LEASE-BH-F5-2025")*(RENT_DUE!$D$2:$D$1000&gt;=DATE(2025,6,22))*(RENT_DUE!$D$2:$D$1000&lt;=DATE(2025,7,21))*RENT_DUE!$L$2:$L$1000), 0)</f>
        <v>0.0</v>
      </c>
      <c r="H6" s="3" t="n">
        <f>IFERROR(SUMPRODUCT((RENT_RECEIVED!$B$2:$B$1000="LEASE-BH-F5-2025")*(RENT_RECEIVED!$E$2:$E$1000&gt;=DATE(2025,6,22))*(RENT_RECEIVED!$E$2:$E$1000&lt;=DATE(2025,7,21))*RENT_RECEIVED!$O$2:$O$1000), 0)</f>
        <v>0.0</v>
      </c>
      <c r="I6" t="inlineStr">
        <is>
          <t>zJBjND23JQ</t>
        </is>
      </c>
      <c r="J6" s="3" t="n">
        <f>IFERROR(SUMIFS(RENT_DUE!$L$2:$L$10000, RENT_DUE!$B$2:$B$10000, "LEASE-BH-F5-2025", RENT_DUE!$D$2:$D$10000, "&lt;"&amp;DATE(2025,6,22)), 0) - IFERROR(SUMIFS(RENT_RECEIVED!$O$2:$O$10000, RENT_RECEIVED!$B$2:$B$10000, "LEASE-BH-F5-2025", RENT_RECEIVED!$E$2:$E$10000, "&lt;"&amp;DATE(2025,6,22)), 0)</f>
        <v>0.0</v>
      </c>
      <c r="K6" s="3" t="n">
        <f>G6 - H6</f>
        <v>0.0</v>
      </c>
      <c r="L6" s="3" t="n">
        <f>J6 + K6</f>
        <v>0.0</v>
      </c>
      <c r="M6" s="3" t="n">
        <f>H6 * 0.1500</f>
        <v>0.0</v>
      </c>
      <c r="N6" s="3" t="n">
        <f>H6 * 0.0000</f>
        <v>0.0</v>
      </c>
      <c r="O6" s="3" t="n">
        <f>ABS(M6 + N6)</f>
        <v>0.0</v>
      </c>
      <c r="P6" t="inlineStr">
        <is>
          <t/>
        </is>
      </c>
      <c r="Q6" s="3" t="n">
        <f>SUMIFS(EXPENSES!E:E, EXPENSES!B:B, "LEASE-BH-F5-2025", EXPENSES!D:D, "&gt;="&amp;DATE(2025,6,22), EXPENSES!D:D, "&lt;="&amp;DATE(2025,7,21))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IFERROR(SUMPRODUCT((RENT_DUE!$B$2:$B$1000="LEASE-BH-F6-2025")*(RENT_DUE!$D$2:$D$1000&gt;=DATE(2025,6,22))*(RENT_DUE!$D$2:$D$1000&lt;=DATE(2025,7,21))*RENT_DUE!$L$2:$L$1000), 0)</f>
        <v>0.0</v>
      </c>
      <c r="H7" s="3" t="n">
        <f>IFERROR(SUMPRODUCT((RENT_RECEIVED!$B$2:$B$1000="LEASE-BH-F6-2025")*(RENT_RECEIVED!$E$2:$E$1000&gt;=DATE(2025,6,22))*(RENT_RECEIVED!$E$2:$E$1000&lt;=DATE(2025,7,21))*RENT_RECEIVED!$O$2:$O$1000), 0)</f>
        <v>0.0</v>
      </c>
      <c r="I7" t="inlineStr">
        <is>
          <t/>
        </is>
      </c>
      <c r="J7" s="3" t="n">
        <f>IFERROR(SUMIFS(RENT_DUE!$L$2:$L$10000, RENT_DUE!$B$2:$B$10000, "LEASE-BH-F6-2025", RENT_DUE!$D$2:$D$10000, "&lt;"&amp;DATE(2025,6,22)), 0) - IFERROR(SUMIFS(RENT_RECEIVED!$O$2:$O$10000, RENT_RECEIVED!$B$2:$B$10000, "LEASE-BH-F6-2025", RENT_RECEIVED!$E$2:$E$10000, "&lt;"&amp;DATE(2025,6,22)), 0)</f>
        <v>0.0</v>
      </c>
      <c r="K7" s="3" t="n">
        <f>G7 - H7</f>
        <v>0.0</v>
      </c>
      <c r="L7" s="3" t="n">
        <f>J7 + K7</f>
        <v>0.0</v>
      </c>
      <c r="M7" s="3" t="n">
        <f>H7 * 0.1500</f>
        <v>0.0</v>
      </c>
      <c r="N7" s="3" t="n">
        <f>H7 * 0.0000</f>
        <v>0.0</v>
      </c>
      <c r="O7" s="3" t="n">
        <f>ABS(M7 + N7)</f>
        <v>0.0</v>
      </c>
      <c r="P7" t="inlineStr">
        <is>
          <t/>
        </is>
      </c>
      <c r="Q7" s="3" t="n">
        <f>SUMIFS(EXPENSES!E:E, EXPENSES!B:B, "LEASE-BH-F6-2025", EXPENSES!D:D, "&gt;="&amp;DATE(2025,6,22), EXPENSES!D:D, "&lt;="&amp;DATE(2025,7,21))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f>IFERROR(SUMPRODUCT((RENT_DUE!$B$2:$B$1000="LEASE-BH-F7-2025")*(RENT_DUE!$D$2:$D$1000&gt;=DATE(2025,6,22))*(RENT_DUE!$D$2:$D$1000&lt;=DATE(2025,7,21))*RENT_DUE!$L$2:$L$1000), 0)</f>
        <v>0.0</v>
      </c>
      <c r="H8" s="3" t="n">
        <f>IFERROR(SUMPRODUCT((RENT_RECEIVED!$B$2:$B$1000="LEASE-BH-F7-2025")*(RENT_RECEIVED!$E$2:$E$1000&gt;=DATE(2025,6,22))*(RENT_RECEIVED!$E$2:$E$1000&lt;=DATE(2025,7,21))*RENT_RECEIVED!$O$2:$O$1000), 0)</f>
        <v>0.0</v>
      </c>
      <c r="I8" t="inlineStr">
        <is>
          <t>zJBjND23JQ</t>
        </is>
      </c>
      <c r="J8" s="3" t="n">
        <f>IFERROR(SUMIFS(RENT_DUE!$L$2:$L$10000, RENT_DUE!$B$2:$B$10000, "LEASE-BH-F7-2025", RENT_DUE!$D$2:$D$10000, "&lt;"&amp;DATE(2025,6,22)), 0) - IFERROR(SUMIFS(RENT_RECEIVED!$O$2:$O$10000, RENT_RECEIVED!$B$2:$B$10000, "LEASE-BH-F7-2025", RENT_RECEIVED!$E$2:$E$10000, "&lt;"&amp;DATE(2025,6,22)), 0)</f>
        <v>0.0</v>
      </c>
      <c r="K8" s="3" t="n">
        <f>G8 - H8</f>
        <v>0.0</v>
      </c>
      <c r="L8" s="3" t="n">
        <f>J8 + K8</f>
        <v>0.0</v>
      </c>
      <c r="M8" s="3" t="n">
        <f>H8 * 0.1500</f>
        <v>0.0</v>
      </c>
      <c r="N8" s="3" t="n">
        <f>H8 * 0.0000</f>
        <v>0.0</v>
      </c>
      <c r="O8" s="3" t="n">
        <f>ABS(M8 + N8)</f>
        <v>0.0</v>
      </c>
      <c r="P8" t="inlineStr">
        <is>
          <t/>
        </is>
      </c>
      <c r="Q8" s="3" t="n">
        <f>SUMIFS(EXPENSES!E:E, EXPENSES!B:B, "LEASE-BH-F7-2025", EXPENSES!D:D, "&gt;="&amp;DATE(2025,6,22), EXPENSES!D:D, "&lt;="&amp;DATE(2025,7,21))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IFERROR(SUMPRODUCT((RENT_DUE!$B$2:$B$1000="LEASE-BH-F8-2025")*(RENT_DUE!$D$2:$D$1000&gt;=DATE(2025,6,22))*(RENT_DUE!$D$2:$D$1000&lt;=DATE(2025,7,21))*RENT_DUE!$L$2:$L$1000), 0)</f>
        <v>0.0</v>
      </c>
      <c r="H9" s="3" t="n">
        <f>IFERROR(SUMPRODUCT((RENT_RECEIVED!$B$2:$B$1000="LEASE-BH-F8-2025")*(RENT_RECEIVED!$E$2:$E$1000&gt;=DATE(2025,6,22))*(RENT_RECEIVED!$E$2:$E$1000&lt;=DATE(2025,7,21))*RENT_RECEIVED!$O$2:$O$1000), 0)</f>
        <v>0.0</v>
      </c>
      <c r="I9" t="inlineStr">
        <is>
          <t/>
        </is>
      </c>
      <c r="J9" s="3" t="n">
        <f>IFERROR(SUMIFS(RENT_DUE!$L$2:$L$10000, RENT_DUE!$B$2:$B$10000, "LEASE-BH-F8-2025", RENT_DUE!$D$2:$D$10000, "&lt;"&amp;DATE(2025,6,22)), 0) - IFERROR(SUMIFS(RENT_RECEIVED!$O$2:$O$10000, RENT_RECEIVED!$B$2:$B$10000, "LEASE-BH-F8-2025", RENT_RECEIVED!$E$2:$E$10000, "&lt;"&amp;DATE(2025,6,22)), 0)</f>
        <v>0.0</v>
      </c>
      <c r="K9" s="3" t="n">
        <f>G9 - H9</f>
        <v>0.0</v>
      </c>
      <c r="L9" s="3" t="n">
        <f>J9 + K9</f>
        <v>0.0</v>
      </c>
      <c r="M9" s="3" t="n">
        <f>H9 * 0.1500</f>
        <v>0.0</v>
      </c>
      <c r="N9" s="3" t="n">
        <f>H9 * 0.0000</f>
        <v>0.0</v>
      </c>
      <c r="O9" s="3" t="n">
        <f>ABS(M9 + N9)</f>
        <v>0.0</v>
      </c>
      <c r="P9" t="inlineStr">
        <is>
          <t/>
        </is>
      </c>
      <c r="Q9" s="3" t="n">
        <f>SUMIFS(EXPENSES!E:E, EXPENSES!B:B, "LEASE-BH-F8-2025", EXPENSES!D:D, "&gt;="&amp;DATE(2025,6,22), EXPENSES!D:D, "&lt;="&amp;DATE(2025,7,21))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IFERROR(SUMPRODUCT((RENT_DUE!$B$2:$B$1000="LEASE-BH-F9-2025")*(RENT_DUE!$D$2:$D$1000&gt;=DATE(2025,6,22))*(RENT_DUE!$D$2:$D$1000&lt;=DATE(2025,7,21))*RENT_DUE!$L$2:$L$1000), 0)</f>
        <v>0.0</v>
      </c>
      <c r="H10" s="3" t="n">
        <f>IFERROR(SUMPRODUCT((RENT_RECEIVED!$B$2:$B$1000="LEASE-BH-F9-2025")*(RENT_RECEIVED!$E$2:$E$1000&gt;=DATE(2025,6,22))*(RENT_RECEIVED!$E$2:$E$1000&lt;=DATE(2025,7,21))*RENT_RECEIVED!$O$2:$O$1000), 0)</f>
        <v>0.0</v>
      </c>
      <c r="I10" t="inlineStr">
        <is>
          <t/>
        </is>
      </c>
      <c r="J10" s="3" t="n">
        <f>IFERROR(SUMIFS(RENT_DUE!$L$2:$L$10000, RENT_DUE!$B$2:$B$10000, "LEASE-BH-F9-2025", RENT_DUE!$D$2:$D$10000, "&lt;"&amp;DATE(2025,6,22)), 0) - IFERROR(SUMIFS(RENT_RECEIVED!$O$2:$O$10000, RENT_RECEIVED!$B$2:$B$10000, "LEASE-BH-F9-2025", RENT_RECEIVED!$E$2:$E$10000, "&lt;"&amp;DATE(2025,6,22)),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"&gt;="&amp;DATE(2025,6,22), EXPENSES!D:D, "&lt;="&amp;DATE(2025,7,21))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f>IFERROR(SUMPRODUCT((RENT_DUE!$B$2:$B$1000="LEASE-BH-F10-2025")*(RENT_DUE!$D$2:$D$1000&gt;=DATE(2025,6,22))*(RENT_DUE!$D$2:$D$1000&lt;=DATE(2025,7,21))*RENT_DUE!$L$2:$L$1000), 0)</f>
        <v>0.0</v>
      </c>
      <c r="H11" s="3" t="n">
        <f>IFERROR(SUMPRODUCT((RENT_RECEIVED!$B$2:$B$1000="LEASE-BH-F10-2025")*(RENT_RECEIVED!$E$2:$E$1000&gt;=DATE(2025,6,22))*(RENT_RECEIVED!$E$2:$E$1000&lt;=DATE(2025,7,21))*RENT_RECEIVED!$O$2:$O$1000), 0)</f>
        <v>0.0</v>
      </c>
      <c r="I11" t="inlineStr">
        <is>
          <t/>
        </is>
      </c>
      <c r="J11" s="3" t="n">
        <f>IFERROR(SUMIFS(RENT_DUE!$L$2:$L$10000, RENT_DUE!$B$2:$B$10000, "LEASE-BH-F10-2025", RENT_DUE!$D$2:$D$10000, "&lt;"&amp;DATE(2025,6,22)), 0) - IFERROR(SUMIFS(RENT_RECEIVED!$O$2:$O$10000, RENT_RECEIVED!$B$2:$B$10000, "LEASE-BH-F10-2025", RENT_RECEIVED!$E$2:$E$10000, "&lt;"&amp;DATE(2025,6,22)),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"&gt;="&amp;DATE(2025,6,22), EXPENSES!D:D, "&lt;="&amp;DATE(2025,7,21))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LEASE-BH-F11-2025</t>
        </is>
      </c>
      <c r="B12" t="inlineStr">
        <is>
          <t>Flat 11 - 3 West Gate</t>
        </is>
      </c>
      <c r="C12" t="inlineStr">
        <is>
          <t>Achal (Delegated for Udayan)</t>
        </is>
      </c>
      <c r="D12" t="inlineStr">
        <is>
          <t>Mr Richard Perrotta</t>
        </is>
      </c>
      <c r="E12" s="2" t="n">
        <v>45722.0</v>
      </c>
      <c r="F12" t="n">
        <v>26.0</v>
      </c>
      <c r="G12" s="3" t="n">
        <f>IFERROR(SUMPRODUCT((RENT_DUE!$B$2:$B$1000="LEASE-BH-F11-2025")*(RENT_DUE!$D$2:$D$1000&gt;=DATE(2025,6,22))*(RENT_DUE!$D$2:$D$1000&lt;=DATE(2025,7,21))*RENT_DUE!$L$2:$L$1000), 0)</f>
        <v>0.0</v>
      </c>
      <c r="H12" s="3" t="n">
        <f>IFERROR(SUMPRODUCT((RENT_RECEIVED!$B$2:$B$1000="LEASE-BH-F11-2025")*(RENT_RECEIVED!$E$2:$E$1000&gt;=DATE(2025,6,22))*(RENT_RECEIVED!$E$2:$E$1000&lt;=DATE(2025,7,21))*RENT_RECEIVED!$O$2:$O$1000), 0)</f>
        <v>0.0</v>
      </c>
      <c r="I12" t="inlineStr">
        <is>
          <t/>
        </is>
      </c>
      <c r="J12" s="3" t="n">
        <f>IFERROR(SUMIFS(RENT_DUE!$L$2:$L$10000, RENT_DUE!$B$2:$B$10000, "LEASE-BH-F11-2025", RENT_DUE!$D$2:$D$10000, "&lt;"&amp;DATE(2025,6,22)), 0) - IFERROR(SUMIFS(RENT_RECEIVED!$O$2:$O$10000, RENT_RECEIVED!$B$2:$B$10000, "LEASE-BH-F11-2025", RENT_RECEIVED!$E$2:$E$10000, "&lt;"&amp;DATE(2025,6,22)), 0)</f>
        <v>0.0</v>
      </c>
      <c r="K12" s="3" t="n">
        <f>G12 - H12</f>
        <v>0.0</v>
      </c>
      <c r="L12" s="3" t="n">
        <f>J12 + K12</f>
        <v>0.0</v>
      </c>
      <c r="M12" s="3" t="n">
        <f>H12 * 0.1500</f>
        <v>0.0</v>
      </c>
      <c r="N12" s="3" t="n">
        <f>H12 * 0.0000</f>
        <v>0.0</v>
      </c>
      <c r="O12" s="3" t="n">
        <f>ABS(M12 + N12)</f>
        <v>0.0</v>
      </c>
      <c r="P12" t="inlineStr">
        <is>
          <t/>
        </is>
      </c>
      <c r="Q12" s="3" t="n">
        <f>SUMIFS(EXPENSES!E:E, EXPENSES!B:B, "LEASE-BH-F11-2025", EXPENSES!D:D, "&gt;="&amp;DATE(2025,6,22), EXPENSES!D:D, "&lt;="&amp;DATE(2025,7,21))</f>
        <v>0.0</v>
      </c>
      <c r="R12" t="inlineStr">
        <is>
          <t/>
        </is>
      </c>
      <c r="S12" s="3" t="n">
        <f>H12 - O12 - Q12</f>
        <v>0.0</v>
      </c>
      <c r="T12" t="inlineStr">
        <is>
          <t/>
        </is>
      </c>
      <c r="U12" t="inlineStr">
        <is>
          <t/>
        </is>
      </c>
      <c r="V12" t="inlineStr">
        <is>
          <t/>
        </is>
      </c>
      <c r="W12" t="inlineStr">
        <is>
          <t/>
        </is>
      </c>
      <c r="X12" t="inlineStr">
        <is>
          <t/>
        </is>
      </c>
      <c r="Y12" s="3" t="n">
        <v>5979.75</v>
      </c>
      <c r="Z12" s="3" t="n">
        <f>S12-Y12</f>
        <v>0.0</v>
      </c>
      <c r="AA12" t="inlineStr">
        <is>
          <t>PAID</t>
        </is>
      </c>
      <c r="AB12" t="inlineStr">
        <is>
          <t>MULTIPLE</t>
        </is>
      </c>
      <c r="AC12" s="2" t="n">
        <v>45981.0</v>
      </c>
    </row>
    <row r="13">
      <c r="A13" t="inlineStr">
        <is>
          <t>LEASE-BH-F12-2025</t>
        </is>
      </c>
      <c r="B13" t="inlineStr">
        <is>
          <t>Flat 12 - 3 West Gate</t>
        </is>
      </c>
      <c r="C13" t="inlineStr">
        <is>
          <t>Achal (Delegated for Udayan)</t>
        </is>
      </c>
      <c r="D13" t="inlineStr">
        <is>
          <t>MR J SOOPIYADAKATH THEKKE PURAYIL &amp; MS S</t>
        </is>
      </c>
      <c r="E13" s="2" t="n">
        <v>45754.0</v>
      </c>
      <c r="F13" t="n">
        <v>7.0</v>
      </c>
      <c r="G13" s="3" t="n">
        <v>0.0</v>
      </c>
      <c r="H13" s="3" t="n">
        <f>IFERROR(SUMPRODUCT((RENT_RECEIVED!$B$2:$B$1000="LEASE-BH-F12-2025")*(RENT_RECEIVED!$E$2:$E$1000&gt;=DATE(2025,6,22))*(RENT_RECEIVED!$E$2:$E$1000&lt;=DATE(2025,7,21))*RENT_RECEIVED!$O$2:$O$1000), 0)</f>
        <v>0.0</v>
      </c>
      <c r="I13" t="inlineStr">
        <is>
          <t/>
        </is>
      </c>
      <c r="J13" s="3" t="n">
        <f>IFERROR(SUMIFS(RENT_DUE!$L$2:$L$10000, RENT_DUE!$B$2:$B$10000, "LEASE-BH-F12-2025", RENT_DUE!$D$2:$D$10000, "&lt;"&amp;DATE(2025,6,22)), 0) - IFERROR(SUMIFS(RENT_RECEIVED!$O$2:$O$10000, RENT_RECEIVED!$B$2:$B$10000, "LEASE-BH-F12-2025", RENT_RECEIVED!$E$2:$E$10000, "&lt;"&amp;DATE(2025,6,22)), 0)</f>
        <v>0.0</v>
      </c>
      <c r="K13" s="3" t="n">
        <f>G13 - H13</f>
        <v>0.0</v>
      </c>
      <c r="L13" s="3" t="n">
        <f>J13 + K13</f>
        <v>0.0</v>
      </c>
      <c r="M13" s="3" t="n">
        <f>H13 * 0.1500</f>
        <v>0.0</v>
      </c>
      <c r="N13" s="3" t="n">
        <f>H13 * 0.0000</f>
        <v>0.0</v>
      </c>
      <c r="O13" s="3" t="n">
        <f>ABS(M13 + N13)</f>
        <v>0.0</v>
      </c>
      <c r="P13" t="inlineStr">
        <is>
          <t/>
        </is>
      </c>
      <c r="Q13" s="3" t="n">
        <f>SUMIFS(EXPENSES!E:E, EXPENSES!B:B, "LEASE-BH-F12-2025", EXPENSES!D:D, "&gt;="&amp;DATE(2025,6,22), EXPENSES!D:D, "&lt;="&amp;DATE(2025,7,21))</f>
        <v>0.0</v>
      </c>
      <c r="R13" t="inlineStr">
        <is>
          <t/>
        </is>
      </c>
      <c r="S13" s="3" t="n">
        <f>H13 - O13 - Q13</f>
        <v>0.0</v>
      </c>
      <c r="T13" t="inlineStr">
        <is>
          <t/>
        </is>
      </c>
      <c r="U13" t="inlineStr">
        <is>
          <t/>
        </is>
      </c>
      <c r="V13" t="inlineStr">
        <is>
          <t/>
        </is>
      </c>
      <c r="W13" t="inlineStr">
        <is>
          <t/>
        </is>
      </c>
      <c r="X13" t="inlineStr">
        <is>
          <t/>
        </is>
      </c>
      <c r="Y13" s="3" t="n">
        <v>1147.5</v>
      </c>
      <c r="Z13" s="3" t="n">
        <f>S13-Y13</f>
        <v>0.0</v>
      </c>
      <c r="AA13" t="inlineStr">
        <is>
          <t>PAID</t>
        </is>
      </c>
      <c r="AB13" t="inlineStr">
        <is>
          <t>MULTIPLE</t>
        </is>
      </c>
      <c r="AC13" s="2" t="n">
        <v>45804.0</v>
      </c>
    </row>
    <row r="14">
      <c r="A14" t="inlineStr">
        <is>
          <t>LEASE-BH-F13-2025</t>
        </is>
      </c>
      <c r="B14" t="inlineStr">
        <is>
          <t>Flat 13 - 3 West Gate</t>
        </is>
      </c>
      <c r="C14" t="inlineStr">
        <is>
          <t>Achal (Delegated for Udayan)</t>
        </is>
      </c>
      <c r="D14" t="inlineStr">
        <is>
          <t>Mr Nathan Holland</t>
        </is>
      </c>
      <c r="E14" s="2" t="n">
        <v>45719.0</v>
      </c>
      <c r="F14" t="n">
        <v>3.0</v>
      </c>
      <c r="G14" s="3" t="n">
        <f>IFERROR(SUMPRODUCT((RENT_DUE!$B$2:$B$1000="LEASE-BH-F13-2025")*(RENT_DUE!$D$2:$D$1000&gt;=DATE(2025,6,22))*(RENT_DUE!$D$2:$D$1000&lt;=DATE(2025,7,21))*RENT_DUE!$L$2:$L$1000), 0)</f>
        <v>0.0</v>
      </c>
      <c r="H14" s="3" t="n">
        <f>IFERROR(SUMPRODUCT((RENT_RECEIVED!$B$2:$B$1000="LEASE-BH-F13-2025")*(RENT_RECEIVED!$E$2:$E$1000&gt;=DATE(2025,6,22))*(RENT_RECEIVED!$E$2:$E$1000&lt;=DATE(2025,7,21))*RENT_RECEIVED!$O$2:$O$1000), 0)</f>
        <v>0.0</v>
      </c>
      <c r="I14" t="inlineStr">
        <is>
          <t/>
        </is>
      </c>
      <c r="J14" s="3" t="n">
        <f>IFERROR(SUMIFS(RENT_DUE!$L$2:$L$10000, RENT_DUE!$B$2:$B$10000, "LEASE-BH-F13-2025", RENT_DUE!$D$2:$D$10000, "&lt;"&amp;DATE(2025,6,22)), 0) - IFERROR(SUMIFS(RENT_RECEIVED!$O$2:$O$10000, RENT_RECEIVED!$B$2:$B$10000, "LEASE-BH-F13-2025", RENT_RECEIVED!$E$2:$E$10000, "&lt;"&amp;DATE(2025,6,22)), 0)</f>
        <v>0.0</v>
      </c>
      <c r="K14" s="3" t="n">
        <f>G14 - H14</f>
        <v>0.0</v>
      </c>
      <c r="L14" s="3" t="n">
        <f>J14 + K14</f>
        <v>0.0</v>
      </c>
      <c r="M14" s="3" t="n">
        <f>H14 * 0.1500</f>
        <v>0.0</v>
      </c>
      <c r="N14" s="3" t="n">
        <f>H14 * 0.0000</f>
        <v>0.0</v>
      </c>
      <c r="O14" s="3" t="n">
        <f>ABS(M14 + N14)</f>
        <v>0.0</v>
      </c>
      <c r="P14" t="inlineStr">
        <is>
          <t/>
        </is>
      </c>
      <c r="Q14" s="3" t="n">
        <f>SUMIFS(EXPENSES!E:E, EXPENSES!B:B, "LEASE-BH-F13-2025", EXPENSES!D:D, "&gt;="&amp;DATE(2025,6,22), EXPENSES!D:D, "&lt;="&amp;DATE(2025,7,21))</f>
        <v>0.0</v>
      </c>
      <c r="R14" t="inlineStr">
        <is>
          <t/>
        </is>
      </c>
      <c r="S14" s="3" t="n">
        <f>H14 - O14 - Q14</f>
        <v>0.0</v>
      </c>
      <c r="T14" t="inlineStr">
        <is>
          <t/>
        </is>
      </c>
      <c r="U14" t="inlineStr">
        <is>
          <t/>
        </is>
      </c>
      <c r="V14" t="inlineStr">
        <is>
          <t/>
        </is>
      </c>
      <c r="W14" t="inlineStr">
        <is>
          <t/>
        </is>
      </c>
      <c r="X14" t="inlineStr">
        <is>
          <t/>
        </is>
      </c>
      <c r="Y14" s="3" t="n">
        <v>5440.0</v>
      </c>
      <c r="Z14" s="3" t="n">
        <f>S14-Y14</f>
        <v>0.0</v>
      </c>
      <c r="AA14" t="inlineStr">
        <is>
          <t>PAID</t>
        </is>
      </c>
      <c r="AB14" t="inlineStr">
        <is>
          <t>MULTIPLE</t>
        </is>
      </c>
      <c r="AC14" s="2" t="n">
        <v>45936.0</v>
      </c>
    </row>
    <row r="15">
      <c r="A15" t="inlineStr">
        <is>
          <t>LEASE-BH-F14-2025</t>
        </is>
      </c>
      <c r="B15" t="inlineStr">
        <is>
          <t>Flat 14 - 3 West Gate</t>
        </is>
      </c>
      <c r="C15" t="inlineStr">
        <is>
          <t>Achal (Delegated for Udayan)</t>
        </is>
      </c>
      <c r="D15" t="inlineStr">
        <is>
          <t>Ms Sarah Buckle, Mr Matthew Lewsley</t>
        </is>
      </c>
      <c r="E15" s="2" t="n">
        <v>45744.0</v>
      </c>
      <c r="F15" t="n">
        <v>28.0</v>
      </c>
      <c r="G15" s="3" t="n">
        <f>IFERROR(SUMPRODUCT((RENT_DUE!$B$2:$B$1000="LEASE-BH-F14-2025")*(RENT_DUE!$D$2:$D$1000&gt;=DATE(2025,6,22))*(RENT_DUE!$D$2:$D$1000&lt;=DATE(2025,7,21))*RENT_DUE!$L$2:$L$1000), 0)</f>
        <v>0.0</v>
      </c>
      <c r="H15" s="3" t="n">
        <f>IFERROR(SUMPRODUCT((RENT_RECEIVED!$B$2:$B$1000="LEASE-BH-F14-2025")*(RENT_RECEIVED!$E$2:$E$1000&gt;=DATE(2025,6,22))*(RENT_RECEIVED!$E$2:$E$1000&lt;=DATE(2025,7,21))*RENT_RECEIVED!$O$2:$O$1000), 0)</f>
        <v>0.0</v>
      </c>
      <c r="I15" t="inlineStr">
        <is>
          <t>HIST-2025-07-1591</t>
        </is>
      </c>
      <c r="J15" s="3" t="n">
        <f>IFERROR(SUMIFS(RENT_DUE!$L$2:$L$10000, RENT_DUE!$B$2:$B$10000, "LEASE-BH-F14-2025", RENT_DUE!$D$2:$D$10000, "&lt;"&amp;DATE(2025,6,22)), 0) - IFERROR(SUMIFS(RENT_RECEIVED!$O$2:$O$10000, RENT_RECEIVED!$B$2:$B$10000, "LEASE-BH-F14-2025", RENT_RECEIVED!$E$2:$E$10000, "&lt;"&amp;DATE(2025,6,22)), 0)</f>
        <v>0.0</v>
      </c>
      <c r="K15" s="3" t="n">
        <f>G15 - H15</f>
        <v>0.0</v>
      </c>
      <c r="L15" s="3" t="n">
        <f>J15 + K15</f>
        <v>0.0</v>
      </c>
      <c r="M15" s="3" t="n">
        <f>H15 * 0.1500</f>
        <v>0.0</v>
      </c>
      <c r="N15" s="3" t="n">
        <f>H15 * 0.0000</f>
        <v>0.0</v>
      </c>
      <c r="O15" s="3" t="n">
        <f>ABS(M15 + N15)</f>
        <v>0.0</v>
      </c>
      <c r="P15" t="inlineStr">
        <is>
          <t/>
        </is>
      </c>
      <c r="Q15" s="3" t="n">
        <f>SUMIFS(EXPENSES!E:E, EXPENSES!B:B, "LEASE-BH-F14-2025", EXPENSES!D:D, "&gt;="&amp;DATE(2025,6,22), EXPENSES!D:D, "&lt;="&amp;DATE(2025,7,21))</f>
        <v>0.0</v>
      </c>
      <c r="R15" t="inlineStr">
        <is>
          <t/>
        </is>
      </c>
      <c r="S15" s="3" t="n">
        <f>H15 - O15 - Q15</f>
        <v>0.0</v>
      </c>
      <c r="T15" t="inlineStr">
        <is>
          <t/>
        </is>
      </c>
      <c r="U15" t="inlineStr">
        <is>
          <t/>
        </is>
      </c>
      <c r="V15" t="inlineStr">
        <is>
          <t/>
        </is>
      </c>
      <c r="W15" t="inlineStr">
        <is>
          <t/>
        </is>
      </c>
      <c r="X15" t="inlineStr">
        <is>
          <t/>
        </is>
      </c>
      <c r="Y15" s="3" t="n">
        <v>5410.25</v>
      </c>
      <c r="Z15" s="3" t="n">
        <f>S15-Y15</f>
        <v>0.0</v>
      </c>
      <c r="AA15" t="inlineStr">
        <is>
          <t>PAID</t>
        </is>
      </c>
      <c r="AB15" t="inlineStr">
        <is>
          <t>MULTIPLE</t>
        </is>
      </c>
      <c r="AC15" s="2" t="n">
        <v>45992.0</v>
      </c>
    </row>
    <row r="16">
      <c r="A16" t="inlineStr">
        <is>
          <t>LEASE-BH-F15-2025</t>
        </is>
      </c>
      <c r="B16" t="inlineStr">
        <is>
          <t>Flat 15 - 3 West Gate</t>
        </is>
      </c>
      <c r="C16" t="inlineStr">
        <is>
          <t>Achal (Delegated for Udayan)</t>
        </is>
      </c>
      <c r="D16" t="inlineStr">
        <is>
          <t>Ms Lucy Cassell</t>
        </is>
      </c>
      <c r="E16" s="2" t="n">
        <v>45703.0</v>
      </c>
      <c r="F16" t="n">
        <v>15.0</v>
      </c>
      <c r="G16" s="3" t="n">
        <f>IFERROR(SUMPRODUCT((RENT_DUE!$B$2:$B$1000="LEASE-BH-F15-2025")*(RENT_DUE!$D$2:$D$1000&gt;=DATE(2025,6,22))*(RENT_DUE!$D$2:$D$1000&lt;=DATE(2025,7,21))*RENT_DUE!$L$2:$L$1000), 0)</f>
        <v>0.0</v>
      </c>
      <c r="H16" s="3" t="n">
        <f>IFERROR(SUMPRODUCT((RENT_RECEIVED!$B$2:$B$1000="LEASE-BH-F15-2025")*(RENT_RECEIVED!$E$2:$E$1000&gt;=DATE(2025,6,22))*(RENT_RECEIVED!$E$2:$E$1000&lt;=DATE(2025,7,21))*RENT_RECEIVED!$O$2:$O$1000), 0)</f>
        <v>0.0</v>
      </c>
      <c r="I16" t="inlineStr">
        <is>
          <t/>
        </is>
      </c>
      <c r="J16" s="3" t="n">
        <f>IFERROR(SUMIFS(RENT_DUE!$L$2:$L$10000, RENT_DUE!$B$2:$B$10000, "LEASE-BH-F15-2025", RENT_DUE!$D$2:$D$10000, "&lt;"&amp;DATE(2025,6,22)), 0) - IFERROR(SUMIFS(RENT_RECEIVED!$O$2:$O$10000, RENT_RECEIVED!$B$2:$B$10000, "LEASE-BH-F15-2025", RENT_RECEIVED!$E$2:$E$10000, "&lt;"&amp;DATE(2025,6,22)), 0)</f>
        <v>0.0</v>
      </c>
      <c r="K16" s="3" t="n">
        <f>G16 - H16</f>
        <v>0.0</v>
      </c>
      <c r="L16" s="3" t="n">
        <f>J16 + K16</f>
        <v>0.0</v>
      </c>
      <c r="M16" s="3" t="n">
        <f>H16 * 0.1500</f>
        <v>0.0</v>
      </c>
      <c r="N16" s="3" t="n">
        <f>H16 * 0.0000</f>
        <v>0.0</v>
      </c>
      <c r="O16" s="3" t="n">
        <f>ABS(M16 + N16)</f>
        <v>0.0</v>
      </c>
      <c r="P16" t="inlineStr">
        <is>
          <t/>
        </is>
      </c>
      <c r="Q16" s="3" t="n">
        <f>SUMIFS(EXPENSES!E:E, EXPENSES!B:B, "LEASE-BH-F15-2025", EXPENSES!D:D, "&gt;="&amp;DATE(2025,6,22), EXPENSES!D:D, "&lt;="&amp;DATE(2025,7,21))</f>
        <v>0.0</v>
      </c>
      <c r="R16" t="inlineStr">
        <is>
          <t/>
        </is>
      </c>
      <c r="S16" s="3" t="n">
        <f>H16 - O16 - Q16</f>
        <v>0.0</v>
      </c>
      <c r="T16" t="inlineStr">
        <is>
          <t/>
        </is>
      </c>
      <c r="U16" t="inlineStr">
        <is>
          <t/>
        </is>
      </c>
      <c r="V16" t="inlineStr">
        <is>
          <t/>
        </is>
      </c>
      <c r="W16" t="inlineStr">
        <is>
          <t/>
        </is>
      </c>
      <c r="X16" t="inlineStr">
        <is>
          <t/>
        </is>
      </c>
      <c r="Y16" s="3" t="n">
        <v>6170.0</v>
      </c>
      <c r="Z16" s="3" t="n">
        <f>S16-Y16</f>
        <v>0.0</v>
      </c>
      <c r="AA16" t="inlineStr">
        <is>
          <t>PAID</t>
        </is>
      </c>
      <c r="AB16" t="inlineStr">
        <is>
          <t>MULTIPLE</t>
        </is>
      </c>
      <c r="AC16" s="2" t="n">
        <v>45982.0</v>
      </c>
    </row>
    <row r="17">
      <c r="A17" t="inlineStr">
        <is>
          <t>LEASE-BH-F16-2025</t>
        </is>
      </c>
      <c r="B17" t="inlineStr">
        <is>
          <t>Flat 16 - 3 West Gate</t>
        </is>
      </c>
      <c r="C17" t="inlineStr">
        <is>
          <t>Achal (Delegated for Udayan)</t>
        </is>
      </c>
      <c r="D17" t="inlineStr">
        <is>
          <t>Mr Riley Paul Beresford, Ms Gina Louise Judge</t>
        </is>
      </c>
      <c r="E17" s="2" t="n">
        <v>45726.0</v>
      </c>
      <c r="F17" t="n">
        <v>10.0</v>
      </c>
      <c r="G17" s="3" t="n">
        <f>IFERROR(SUMPRODUCT((RENT_DUE!$B$2:$B$1000="LEASE-BH-F16-2025")*(RENT_DUE!$D$2:$D$1000&gt;=DATE(2025,6,22))*(RENT_DUE!$D$2:$D$1000&lt;=DATE(2025,7,21))*RENT_DUE!$L$2:$L$1000), 0)</f>
        <v>0.0</v>
      </c>
      <c r="H17" s="3" t="n">
        <f>IFERROR(SUMPRODUCT((RENT_RECEIVED!$B$2:$B$1000="LEASE-BH-F16-2025")*(RENT_RECEIVED!$E$2:$E$1000&gt;=DATE(2025,6,22))*(RENT_RECEIVED!$E$2:$E$1000&lt;=DATE(2025,7,21))*RENT_RECEIVED!$O$2:$O$1000), 0)</f>
        <v>0.0</v>
      </c>
      <c r="I17" t="inlineStr">
        <is>
          <t/>
        </is>
      </c>
      <c r="J17" s="3" t="n">
        <f>IFERROR(SUMIFS(RENT_DUE!$L$2:$L$10000, RENT_DUE!$B$2:$B$10000, "LEASE-BH-F16-2025", RENT_DUE!$D$2:$D$10000, "&lt;"&amp;DATE(2025,6,22)), 0) - IFERROR(SUMIFS(RENT_RECEIVED!$O$2:$O$10000, RENT_RECEIVED!$B$2:$B$10000, "LEASE-BH-F16-2025", RENT_RECEIVED!$E$2:$E$10000, "&lt;"&amp;DATE(2025,6,22)), 0)</f>
        <v>0.0</v>
      </c>
      <c r="K17" s="3" t="n">
        <f>G17 - H17</f>
        <v>0.0</v>
      </c>
      <c r="L17" s="3" t="n">
        <f>J17 + K17</f>
        <v>0.0</v>
      </c>
      <c r="M17" s="3" t="n">
        <f>H17 * 0.1500</f>
        <v>0.0</v>
      </c>
      <c r="N17" s="3" t="n">
        <f>H17 * 0.0000</f>
        <v>0.0</v>
      </c>
      <c r="O17" s="3" t="n">
        <f>ABS(M17 + N17)</f>
        <v>0.0</v>
      </c>
      <c r="P17" t="inlineStr">
        <is>
          <t/>
        </is>
      </c>
      <c r="Q17" s="3" t="n">
        <f>SUMIFS(EXPENSES!E:E, EXPENSES!B:B, "LEASE-BH-F16-2025", EXPENSES!D:D, "&gt;="&amp;DATE(2025,6,22), EXPENSES!D:D, "&lt;="&amp;DATE(2025,7,21))</f>
        <v>0.0</v>
      </c>
      <c r="R17" t="inlineStr">
        <is>
          <t/>
        </is>
      </c>
      <c r="S17" s="3" t="n">
        <f>H17 - O17 - Q17</f>
        <v>0.0</v>
      </c>
      <c r="T17" t="inlineStr">
        <is>
          <t/>
        </is>
      </c>
      <c r="U17" t="inlineStr">
        <is>
          <t/>
        </is>
      </c>
      <c r="V17" t="inlineStr">
        <is>
          <t/>
        </is>
      </c>
      <c r="W17" t="inlineStr">
        <is>
          <t/>
        </is>
      </c>
      <c r="X17" t="inlineStr">
        <is>
          <t/>
        </is>
      </c>
      <c r="Y17" s="3" t="n">
        <v>3641.31</v>
      </c>
      <c r="Z17" s="3" t="n">
        <f>S17-Y17</f>
        <v>0.0</v>
      </c>
      <c r="AA17" t="inlineStr">
        <is>
          <t>PAID</t>
        </is>
      </c>
      <c r="AB17" t="inlineStr">
        <is>
          <t>MULTIPLE</t>
        </is>
      </c>
      <c r="AC17" s="2" t="n">
        <v>45891.0</v>
      </c>
    </row>
    <row r="18">
      <c r="A18" t="inlineStr">
        <is>
          <t>LEASE-BH-F17-2025</t>
        </is>
      </c>
      <c r="B18" t="inlineStr">
        <is>
          <t>Flat 17 - 3 West Gate</t>
        </is>
      </c>
      <c r="C18" t="inlineStr">
        <is>
          <t>Achal (Delegated for Udayan)</t>
        </is>
      </c>
      <c r="D18" t="inlineStr">
        <is>
          <t>Mr Harsh Patel</t>
        </is>
      </c>
      <c r="E18" s="2" t="n">
        <v>45705.0</v>
      </c>
      <c r="F18" t="n">
        <v>17.0</v>
      </c>
      <c r="G18" s="3" t="n">
        <f>IFERROR(SUMPRODUCT((RENT_DUE!$B$2:$B$1000="LEASE-BH-F17-2025")*(RENT_DUE!$D$2:$D$1000&gt;=DATE(2025,6,22))*(RENT_DUE!$D$2:$D$1000&lt;=DATE(2025,7,21))*RENT_DUE!$L$2:$L$1000), 0)</f>
        <v>0.0</v>
      </c>
      <c r="H18" s="3" t="n">
        <f>IFERROR(SUMPRODUCT((RENT_RECEIVED!$B$2:$B$1000="LEASE-BH-F17-2025")*(RENT_RECEIVED!$E$2:$E$1000&gt;=DATE(2025,6,22))*(RENT_RECEIVED!$E$2:$E$1000&lt;=DATE(2025,7,21))*RENT_RECEIVED!$O$2:$O$1000), 0)</f>
        <v>0.0</v>
      </c>
      <c r="I18" t="inlineStr">
        <is>
          <t>zJBjND23JQ</t>
        </is>
      </c>
      <c r="J18" s="3" t="n">
        <f>IFERROR(SUMIFS(RENT_DUE!$L$2:$L$10000, RENT_DUE!$B$2:$B$10000, "LEASE-BH-F17-2025", RENT_DUE!$D$2:$D$10000, "&lt;"&amp;DATE(2025,6,22)), 0) - IFERROR(SUMIFS(RENT_RECEIVED!$O$2:$O$10000, RENT_RECEIVED!$B$2:$B$10000, "LEASE-BH-F17-2025", RENT_RECEIVED!$E$2:$E$10000, "&lt;"&amp;DATE(2025,6,22)), 0)</f>
        <v>0.0</v>
      </c>
      <c r="K18" s="3" t="n">
        <f>G18 - H18</f>
        <v>0.0</v>
      </c>
      <c r="L18" s="3" t="n">
        <f>J18 + K18</f>
        <v>0.0</v>
      </c>
      <c r="M18" s="3" t="n">
        <f>H18 * 0.1500</f>
        <v>0.0</v>
      </c>
      <c r="N18" s="3" t="n">
        <f>H18 * 0.0000</f>
        <v>0.0</v>
      </c>
      <c r="O18" s="3" t="n">
        <f>ABS(M18 + N18)</f>
        <v>0.0</v>
      </c>
      <c r="P18" t="inlineStr">
        <is>
          <t/>
        </is>
      </c>
      <c r="Q18" s="3" t="n">
        <f>SUMIFS(EXPENSES!E:E, EXPENSES!B:B, "LEASE-BH-F17-2025", EXPENSES!D:D, "&gt;="&amp;DATE(2025,6,22), EXPENSES!D:D, "&lt;="&amp;DATE(2025,7,21))</f>
        <v>0.0</v>
      </c>
      <c r="R18" t="inlineStr">
        <is>
          <t/>
        </is>
      </c>
      <c r="S18" s="3" t="n">
        <f>H18 - O18 - Q18</f>
        <v>0.0</v>
      </c>
      <c r="T18" t="inlineStr">
        <is>
          <t/>
        </is>
      </c>
      <c r="U18" t="inlineStr">
        <is>
          <t/>
        </is>
      </c>
      <c r="V18" t="inlineStr">
        <is>
          <t/>
        </is>
      </c>
      <c r="W18" t="inlineStr">
        <is>
          <t/>
        </is>
      </c>
      <c r="X18" t="inlineStr">
        <is>
          <t/>
        </is>
      </c>
      <c r="Y18" s="3" t="n">
        <v>5800.0</v>
      </c>
      <c r="Z18" s="3" t="n">
        <f>S18-Y18</f>
        <v>0.0</v>
      </c>
      <c r="AA18" t="inlineStr">
        <is>
          <t>PAID</t>
        </is>
      </c>
      <c r="AB18" t="inlineStr">
        <is>
          <t>MULTIPLE</t>
        </is>
      </c>
      <c r="AC18" s="2" t="n">
        <v>45982.0</v>
      </c>
    </row>
    <row r="19">
      <c r="A19" t="inlineStr">
        <is>
          <t>LEASE-BH-F18-2025</t>
        </is>
      </c>
      <c r="B19" t="inlineStr">
        <is>
          <t>Flat 18 - 3 West Gate</t>
        </is>
      </c>
      <c r="C19" t="inlineStr">
        <is>
          <t>Achal (Delegated for Udayan)</t>
        </is>
      </c>
      <c r="D19" t="inlineStr">
        <is>
          <t>Marie Dinko</t>
        </is>
      </c>
      <c r="E19" s="2" t="n">
        <v>45687.0</v>
      </c>
      <c r="F19" t="n">
        <v>30.0</v>
      </c>
      <c r="G19" s="3" t="n">
        <v>0.0</v>
      </c>
      <c r="H19" s="3" t="n">
        <f>IFERROR(SUMPRODUCT((RENT_RECEIVED!$B$2:$B$1000="LEASE-BH-F18-2025")*(RENT_RECEIVED!$E$2:$E$1000&gt;=DATE(2025,6,22))*(RENT_RECEIVED!$E$2:$E$1000&lt;=DATE(2025,7,21))*RENT_RECEIVED!$O$2:$O$1000), 0)</f>
        <v>0.0</v>
      </c>
      <c r="I19" t="inlineStr">
        <is>
          <t/>
        </is>
      </c>
      <c r="J19" s="3" t="n">
        <f>IFERROR(SUMIFS(RENT_DUE!$L$2:$L$10000, RENT_DUE!$B$2:$B$10000, "LEASE-BH-F18-2025", RENT_DUE!$D$2:$D$10000, "&lt;"&amp;DATE(2025,6,22)), 0) - IFERROR(SUMIFS(RENT_RECEIVED!$O$2:$O$10000, RENT_RECEIVED!$B$2:$B$10000, "LEASE-BH-F18-2025", RENT_RECEIVED!$E$2:$E$10000, "&lt;"&amp;DATE(2025,6,22)), 0)</f>
        <v>0.0</v>
      </c>
      <c r="K19" s="3" t="n">
        <f>G19 - H19</f>
        <v>0.0</v>
      </c>
      <c r="L19" s="3" t="n">
        <f>J19 + K19</f>
        <v>0.0</v>
      </c>
      <c r="M19" s="3" t="n">
        <f>H19 * 0.1500</f>
        <v>0.0</v>
      </c>
      <c r="N19" s="3" t="n">
        <f>H19 * 0.0000</f>
        <v>0.0</v>
      </c>
      <c r="O19" s="3" t="n">
        <f>ABS(M19 + N19)</f>
        <v>0.0</v>
      </c>
      <c r="P19" t="inlineStr">
        <is>
          <t/>
        </is>
      </c>
      <c r="Q19" s="3" t="n">
        <f>SUMIFS(EXPENSES!E:E, EXPENSES!B:B, "LEASE-BH-F18-2025", EXPENSES!D:D, "&gt;="&amp;DATE(2025,6,22), EXPENSES!D:D, "&lt;="&amp;DATE(2025,7,21))</f>
        <v>0.0</v>
      </c>
      <c r="R19" t="inlineStr">
        <is>
          <t/>
        </is>
      </c>
      <c r="S19" s="3" t="n">
        <f>H19 - O19 - Q19</f>
        <v>0.0</v>
      </c>
      <c r="T19" t="inlineStr">
        <is>
          <t/>
        </is>
      </c>
      <c r="U19" t="inlineStr">
        <is>
          <t/>
        </is>
      </c>
      <c r="V19" t="inlineStr">
        <is>
          <t/>
        </is>
      </c>
      <c r="W19" t="inlineStr">
        <is>
          <t/>
        </is>
      </c>
      <c r="X19" t="inlineStr">
        <is>
          <t/>
        </is>
      </c>
      <c r="Y19" s="3" t="n">
        <v>2044.25</v>
      </c>
      <c r="Z19" s="3" t="n">
        <f>S19-Y19</f>
        <v>0.0</v>
      </c>
      <c r="AA19" t="inlineStr">
        <is>
          <t>PAID</t>
        </is>
      </c>
      <c r="AB19" t="inlineStr">
        <is>
          <t>MULTIPLE</t>
        </is>
      </c>
      <c r="AC19" s="2" t="n">
        <v>45804.0</v>
      </c>
    </row>
    <row r="20">
      <c r="A20" t="inlineStr">
        <is>
          <t>LEASE-BH-F18-2025B</t>
        </is>
      </c>
      <c r="B20" t="inlineStr">
        <is>
          <t>Flat 18 - 3 West Gate</t>
        </is>
      </c>
      <c r="C20" t="inlineStr">
        <is>
          <t>Achal (Delegated for Udayan)</t>
        </is>
      </c>
      <c r="D20" t="inlineStr">
        <is>
          <t>Nirmali Gedara and Janith Hetti Arachchilage</t>
        </is>
      </c>
      <c r="E20" s="2" t="n">
        <v>45818.0</v>
      </c>
      <c r="F20" t="n">
        <v>10.0</v>
      </c>
      <c r="G20" s="3" t="n">
        <f>IFERROR(SUMPRODUCT((RENT_DUE!$B$2:$B$1000="LEASE-BH-F18-2025B")*(RENT_DUE!$D$2:$D$1000&gt;=DATE(2025,6,22))*(RENT_DUE!$D$2:$D$1000&lt;=DATE(2025,7,21))*RENT_DUE!$L$2:$L$1000), 0)</f>
        <v>0.0</v>
      </c>
      <c r="H20" s="3" t="n">
        <f>IFERROR(SUMPRODUCT((RENT_RECEIVED!$B$2:$B$1000="LEASE-BH-F18-2025B")*(RENT_RECEIVED!$E$2:$E$1000&gt;=DATE(2025,6,22))*(RENT_RECEIVED!$E$2:$E$1000&lt;=DATE(2025,7,21))*RENT_RECEIVED!$O$2:$O$1000), 0)</f>
        <v>0.0</v>
      </c>
      <c r="I20" t="inlineStr">
        <is>
          <t/>
        </is>
      </c>
      <c r="J20" s="3" t="n">
        <f>IFERROR(SUMIFS(RENT_DUE!$L$2:$L$10000, RENT_DUE!$B$2:$B$10000, "LEASE-BH-F18-2025B", RENT_DUE!$D$2:$D$10000, "&lt;"&amp;DATE(2025,6,22)), 0) - IFERROR(SUMIFS(RENT_RECEIVED!$O$2:$O$10000, RENT_RECEIVED!$B$2:$B$10000, "LEASE-BH-F18-2025B", RENT_RECEIVED!$E$2:$E$10000, "&lt;"&amp;DATE(2025,6,22)), 0)</f>
        <v>0.0</v>
      </c>
      <c r="K20" s="3" t="n">
        <f>G20 - H20</f>
        <v>0.0</v>
      </c>
      <c r="L20" s="3" t="n">
        <f>J20 + K20</f>
        <v>0.0</v>
      </c>
      <c r="M20" s="3" t="n">
        <f>H20 * 0.1500</f>
        <v>0.0</v>
      </c>
      <c r="N20" s="3" t="n">
        <f>H20 * 0.0000</f>
        <v>0.0</v>
      </c>
      <c r="O20" s="3" t="n">
        <f>ABS(M20 + N20)</f>
        <v>0.0</v>
      </c>
      <c r="P20" t="inlineStr">
        <is>
          <t/>
        </is>
      </c>
      <c r="Q20" s="3" t="n">
        <f>SUMIFS(EXPENSES!E:E, EXPENSES!B:B, "LEASE-BH-F18-2025B", EXPENSES!D:D, "&gt;="&amp;DATE(2025,6,22), EXPENSES!D:D, "&lt;="&amp;DATE(2025,7,21))</f>
        <v>0.0</v>
      </c>
      <c r="R20" t="inlineStr">
        <is>
          <t/>
        </is>
      </c>
      <c r="S20" s="3" t="n">
        <f>H20 - O20 - Q20</f>
        <v>0.0</v>
      </c>
      <c r="T20" t="inlineStr">
        <is>
          <t/>
        </is>
      </c>
      <c r="U20" t="inlineStr">
        <is>
          <t/>
        </is>
      </c>
      <c r="V20" t="inlineStr">
        <is>
          <t/>
        </is>
      </c>
      <c r="W20" t="inlineStr">
        <is>
          <t/>
        </is>
      </c>
      <c r="X20" t="inlineStr">
        <is>
          <t/>
        </is>
      </c>
      <c r="Y20" s="3" t="n">
        <v>4189.5</v>
      </c>
      <c r="Z20" s="3" t="n">
        <f>S20-Y20</f>
        <v>0.0</v>
      </c>
      <c r="AA20" t="inlineStr">
        <is>
          <t>PAID</t>
        </is>
      </c>
      <c r="AB20" t="inlineStr">
        <is>
          <t>MULTIPLE</t>
        </is>
      </c>
      <c r="AC20" s="2" t="n">
        <v>45982.0</v>
      </c>
    </row>
    <row r="21">
      <c r="A21" t="inlineStr">
        <is>
          <t>LEASE-BH-F19-2025</t>
        </is>
      </c>
      <c r="B21" t="inlineStr">
        <is>
          <t>Flat 19 - 3 West Gate</t>
        </is>
      </c>
      <c r="C21" t="inlineStr">
        <is>
          <t>Achal (Delegated for Udayan)</t>
        </is>
      </c>
      <c r="D21" t="inlineStr">
        <is>
          <t>Mr Joshua Banks, Miss Layla Middlemass</t>
        </is>
      </c>
      <c r="E21" s="2" t="n">
        <v>45730.0</v>
      </c>
      <c r="F21" t="n">
        <v>14.0</v>
      </c>
      <c r="G21" s="3" t="n">
        <f>IFERROR(SUMPRODUCT((RENT_DUE!$B$2:$B$1000="LEASE-BH-F19-2025")*(RENT_DUE!$D$2:$D$1000&gt;=DATE(2025,6,22))*(RENT_DUE!$D$2:$D$1000&lt;=DATE(2025,7,21))*RENT_DUE!$L$2:$L$1000), 0)</f>
        <v>0.0</v>
      </c>
      <c r="H21" s="3" t="n">
        <f>IFERROR(SUMPRODUCT((RENT_RECEIVED!$B$2:$B$1000="LEASE-BH-F19-2025")*(RENT_RECEIVED!$E$2:$E$1000&gt;=DATE(2025,6,22))*(RENT_RECEIVED!$E$2:$E$1000&lt;=DATE(2025,7,21))*RENT_RECEIVED!$O$2:$O$1000), 0)</f>
        <v>0.0</v>
      </c>
      <c r="I21" t="inlineStr">
        <is>
          <t/>
        </is>
      </c>
      <c r="J21" s="3" t="n">
        <f>IFERROR(SUMIFS(RENT_DUE!$L$2:$L$10000, RENT_DUE!$B$2:$B$10000, "LEASE-BH-F19-2025", RENT_DUE!$D$2:$D$10000, "&lt;"&amp;DATE(2025,6,22)), 0) - IFERROR(SUMIFS(RENT_RECEIVED!$O$2:$O$10000, RENT_RECEIVED!$B$2:$B$10000, "LEASE-BH-F19-2025", RENT_RECEIVED!$E$2:$E$10000, "&lt;"&amp;DATE(2025,6,22)), 0)</f>
        <v>0.0</v>
      </c>
      <c r="K21" s="3" t="n">
        <f>G21 - H21</f>
        <v>0.0</v>
      </c>
      <c r="L21" s="3" t="n">
        <f>J21 + K21</f>
        <v>0.0</v>
      </c>
      <c r="M21" s="3" t="n">
        <f>H21 * 0.1500</f>
        <v>0.0</v>
      </c>
      <c r="N21" s="3" t="n">
        <f>H21 * 0.0000</f>
        <v>0.0</v>
      </c>
      <c r="O21" s="3" t="n">
        <f>ABS(M21 + N21)</f>
        <v>0.0</v>
      </c>
      <c r="P21" t="inlineStr">
        <is>
          <t/>
        </is>
      </c>
      <c r="Q21" s="3" t="n">
        <f>SUMIFS(EXPENSES!E:E, EXPENSES!B:B, "LEASE-BH-F19-2025", EXPENSES!D:D, "&gt;="&amp;DATE(2025,6,22), EXPENSES!D:D, "&lt;="&amp;DATE(2025,7,21))</f>
        <v>0.0</v>
      </c>
      <c r="R21" t="inlineStr">
        <is>
          <t/>
        </is>
      </c>
      <c r="S21" s="3" t="n">
        <f>H21 - O21 - Q21</f>
        <v>0.0</v>
      </c>
      <c r="T21" t="inlineStr">
        <is>
          <t/>
        </is>
      </c>
      <c r="U21" t="inlineStr">
        <is>
          <t/>
        </is>
      </c>
      <c r="V21" t="inlineStr">
        <is>
          <t/>
        </is>
      </c>
      <c r="W21" t="inlineStr">
        <is>
          <t/>
        </is>
      </c>
      <c r="X21" t="inlineStr">
        <is>
          <t/>
        </is>
      </c>
      <c r="Y21" s="3" t="n">
        <v>2888.3</v>
      </c>
      <c r="Z21" s="3" t="n">
        <f>S21-Y21</f>
        <v>0.0</v>
      </c>
      <c r="AA21" t="inlineStr">
        <is>
          <t>PAID</t>
        </is>
      </c>
      <c r="AB21" t="inlineStr">
        <is>
          <t>MULTIPLE</t>
        </is>
      </c>
      <c r="AC21" s="2" t="n">
        <v>45846.0</v>
      </c>
    </row>
    <row r="22">
      <c r="A22" t="inlineStr">
        <is>
          <t>LEASE-BH-F20-2025</t>
        </is>
      </c>
      <c r="B22" t="inlineStr">
        <is>
          <t>Flat 20 - 3 West Gate</t>
        </is>
      </c>
      <c r="C22" t="inlineStr">
        <is>
          <t>Achal (Delegated for Udayan)</t>
        </is>
      </c>
      <c r="D22" t="inlineStr">
        <is>
          <t>Mr James Kay</t>
        </is>
      </c>
      <c r="E22" s="2" t="n">
        <v>45732.0</v>
      </c>
      <c r="F22" t="n">
        <v>16.0</v>
      </c>
      <c r="G22" s="3" t="n">
        <f>IFERROR(SUMPRODUCT((RENT_DUE!$B$2:$B$1000="LEASE-BH-F20-2025")*(RENT_DUE!$D$2:$D$1000&gt;=DATE(2025,6,22))*(RENT_DUE!$D$2:$D$1000&lt;=DATE(2025,7,21))*RENT_DUE!$L$2:$L$1000), 0)</f>
        <v>0.0</v>
      </c>
      <c r="H22" s="3" t="n">
        <f>IFERROR(SUMPRODUCT((RENT_RECEIVED!$B$2:$B$1000="LEASE-BH-F20-2025")*(RENT_RECEIVED!$E$2:$E$1000&gt;=DATE(2025,6,22))*(RENT_RECEIVED!$E$2:$E$1000&lt;=DATE(2025,7,21))*RENT_RECEIVED!$O$2:$O$1000), 0)</f>
        <v>0.0</v>
      </c>
      <c r="I22" t="inlineStr">
        <is>
          <t>HIST-2025-07-1591</t>
        </is>
      </c>
      <c r="J22" s="3" t="n">
        <f>IFERROR(SUMIFS(RENT_DUE!$L$2:$L$10000, RENT_DUE!$B$2:$B$10000, "LEASE-BH-F20-2025", RENT_DUE!$D$2:$D$10000, "&lt;"&amp;DATE(2025,6,22)), 0) - IFERROR(SUMIFS(RENT_RECEIVED!$O$2:$O$10000, RENT_RECEIVED!$B$2:$B$10000, "LEASE-BH-F20-2025", RENT_RECEIVED!$E$2:$E$10000, "&lt;"&amp;DATE(2025,6,22)), 0)</f>
        <v>0.0</v>
      </c>
      <c r="K22" s="3" t="n">
        <f>G22 - H22</f>
        <v>0.0</v>
      </c>
      <c r="L22" s="3" t="n">
        <f>J22 + K22</f>
        <v>0.0</v>
      </c>
      <c r="M22" s="3" t="n">
        <f>H22 * 0.1500</f>
        <v>0.0</v>
      </c>
      <c r="N22" s="3" t="n">
        <f>H22 * 0.0000</f>
        <v>0.0</v>
      </c>
      <c r="O22" s="3" t="n">
        <f>ABS(M22 + N22)</f>
        <v>0.0</v>
      </c>
      <c r="P22" t="inlineStr">
        <is>
          <t/>
        </is>
      </c>
      <c r="Q22" s="3" t="n">
        <f>SUMIFS(EXPENSES!E:E, EXPENSES!B:B, "LEASE-BH-F20-2025", EXPENSES!D:D, "&gt;="&amp;DATE(2025,6,22), EXPENSES!D:D, "&lt;="&amp;DATE(2025,7,21))</f>
        <v>0.0</v>
      </c>
      <c r="R22" t="inlineStr">
        <is>
          <t/>
        </is>
      </c>
      <c r="S22" s="3" t="n">
        <f>H22 - O22 - Q22</f>
        <v>0.0</v>
      </c>
      <c r="T22" t="inlineStr">
        <is>
          <t/>
        </is>
      </c>
      <c r="U22" t="inlineStr">
        <is>
          <t/>
        </is>
      </c>
      <c r="V22" t="inlineStr">
        <is>
          <t/>
        </is>
      </c>
      <c r="W22" t="inlineStr">
        <is>
          <t/>
        </is>
      </c>
      <c r="X22" t="inlineStr">
        <is>
          <t/>
        </is>
      </c>
      <c r="Y22" s="3" t="n">
        <v>5255.0</v>
      </c>
      <c r="Z22" s="3" t="n">
        <f>S22-Y22</f>
        <v>0.0</v>
      </c>
      <c r="AA22" t="inlineStr">
        <is>
          <t>PAID</t>
        </is>
      </c>
      <c r="AB22" t="inlineStr">
        <is>
          <t>MULTIPLE</t>
        </is>
      </c>
      <c r="AC22" s="2" t="n">
        <v>45982.0</v>
      </c>
    </row>
    <row r="23">
      <c r="A23" t="inlineStr">
        <is>
          <t>LEASE-BH-F21-2025</t>
        </is>
      </c>
      <c r="B23" t="inlineStr">
        <is>
          <t>Flat 21 - 3 West Gate</t>
        </is>
      </c>
      <c r="C23" t="inlineStr">
        <is>
          <t>Achal (Delegated for Udayan)</t>
        </is>
      </c>
      <c r="D23" t="inlineStr">
        <is>
          <t>Mr Felwin Francis</t>
        </is>
      </c>
      <c r="E23" s="2" t="n">
        <v>45687.0</v>
      </c>
      <c r="F23" t="n">
        <v>30.0</v>
      </c>
      <c r="G23" s="3" t="n">
        <f>IFERROR(SUMPRODUCT((RENT_DUE!$B$2:$B$1000="LEASE-BH-F21-2025")*(RENT_DUE!$D$2:$D$1000&gt;=DATE(2025,6,22))*(RENT_DUE!$D$2:$D$1000&lt;=DATE(2025,7,21))*RENT_DUE!$L$2:$L$1000), 0)</f>
        <v>0.0</v>
      </c>
      <c r="H23" s="3" t="n">
        <f>IFERROR(SUMPRODUCT((RENT_RECEIVED!$B$2:$B$1000="LEASE-BH-F21-2025")*(RENT_RECEIVED!$E$2:$E$1000&gt;=DATE(2025,6,22))*(RENT_RECEIVED!$E$2:$E$1000&lt;=DATE(2025,7,21))*RENT_RECEIVED!$O$2:$O$1000), 0)</f>
        <v>0.0</v>
      </c>
      <c r="I23" t="inlineStr">
        <is>
          <t/>
        </is>
      </c>
      <c r="J23" s="3" t="n">
        <f>IFERROR(SUMIFS(RENT_DUE!$L$2:$L$10000, RENT_DUE!$B$2:$B$10000, "LEASE-BH-F21-2025", RENT_DUE!$D$2:$D$10000, "&lt;"&amp;DATE(2025,6,22)), 0) - IFERROR(SUMIFS(RENT_RECEIVED!$O$2:$O$10000, RENT_RECEIVED!$B$2:$B$10000, "LEASE-BH-F21-2025", RENT_RECEIVED!$E$2:$E$10000, "&lt;"&amp;DATE(2025,6,22)), 0)</f>
        <v>0.0</v>
      </c>
      <c r="K23" s="3" t="n">
        <f>G23 - H23</f>
        <v>0.0</v>
      </c>
      <c r="L23" s="3" t="n">
        <f>J23 + K23</f>
        <v>0.0</v>
      </c>
      <c r="M23" s="3" t="n">
        <f>H23 * 0.1500</f>
        <v>0.0</v>
      </c>
      <c r="N23" s="3" t="n">
        <f>H23 * 0.0000</f>
        <v>0.0</v>
      </c>
      <c r="O23" s="3" t="n">
        <f>ABS(M23 + N23)</f>
        <v>0.0</v>
      </c>
      <c r="P23" t="inlineStr">
        <is>
          <t/>
        </is>
      </c>
      <c r="Q23" s="3" t="n">
        <f>SUMIFS(EXPENSES!E:E, EXPENSES!B:B, "LEASE-BH-F21-2025", EXPENSES!D:D, "&gt;="&amp;DATE(2025,6,22), EXPENSES!D:D, "&lt;="&amp;DATE(2025,7,21))</f>
        <v>0.0</v>
      </c>
      <c r="R23" t="inlineStr">
        <is>
          <t/>
        </is>
      </c>
      <c r="S23" s="3" t="n">
        <f>H23 - O23 - Q23</f>
        <v>0.0</v>
      </c>
      <c r="T23" t="inlineStr">
        <is>
          <t/>
        </is>
      </c>
      <c r="U23" t="inlineStr">
        <is>
          <t/>
        </is>
      </c>
      <c r="V23" t="inlineStr">
        <is>
          <t/>
        </is>
      </c>
      <c r="W23" t="inlineStr">
        <is>
          <t/>
        </is>
      </c>
      <c r="X23" t="inlineStr">
        <is>
          <t/>
        </is>
      </c>
      <c r="Y23" s="3" t="n">
        <v>6637.5</v>
      </c>
      <c r="Z23" s="3" t="n">
        <f>S23-Y23</f>
        <v>0.0</v>
      </c>
      <c r="AA23" t="inlineStr">
        <is>
          <t>PAID</t>
        </is>
      </c>
      <c r="AB23" t="inlineStr">
        <is>
          <t>MULTIPLE</t>
        </is>
      </c>
      <c r="AC23" s="2" t="n">
        <v>45982.0</v>
      </c>
    </row>
    <row r="24">
      <c r="A24" t="inlineStr">
        <is>
          <t>LEASE-BH-F22-2025</t>
        </is>
      </c>
      <c r="B24" t="inlineStr">
        <is>
          <t>Flat 22 - 3 West Gate</t>
        </is>
      </c>
      <c r="C24" t="inlineStr">
        <is>
          <t>Achal (Delegated for Udayan)</t>
        </is>
      </c>
      <c r="D24" t="inlineStr">
        <is>
          <t>Mr Brian Lowe</t>
        </is>
      </c>
      <c r="E24" s="2" t="n">
        <v>45717.0</v>
      </c>
      <c r="F24" t="n">
        <v>1.0</v>
      </c>
      <c r="G24" s="3" t="n">
        <f>IFERROR(SUMPRODUCT((RENT_DUE!$B$2:$B$1000="LEASE-BH-F22-2025")*(RENT_DUE!$D$2:$D$1000&gt;=DATE(2025,6,22))*(RENT_DUE!$D$2:$D$1000&lt;=DATE(2025,7,21))*RENT_DUE!$L$2:$L$1000), 0)</f>
        <v>0.0</v>
      </c>
      <c r="H24" s="3" t="n">
        <f>IFERROR(SUMPRODUCT((RENT_RECEIVED!$B$2:$B$1000="LEASE-BH-F22-2025")*(RENT_RECEIVED!$E$2:$E$1000&gt;=DATE(2025,6,22))*(RENT_RECEIVED!$E$2:$E$1000&lt;=DATE(2025,7,21))*RENT_RECEIVED!$O$2:$O$1000), 0)</f>
        <v>0.0</v>
      </c>
      <c r="I24" t="inlineStr">
        <is>
          <t/>
        </is>
      </c>
      <c r="J24" s="3" t="n">
        <f>IFERROR(SUMIFS(RENT_DUE!$L$2:$L$10000, RENT_DUE!$B$2:$B$10000, "LEASE-BH-F22-2025", RENT_DUE!$D$2:$D$10000, "&lt;"&amp;DATE(2025,6,22)), 0) - IFERROR(SUMIFS(RENT_RECEIVED!$O$2:$O$10000, RENT_RECEIVED!$B$2:$B$10000, "LEASE-BH-F22-2025", RENT_RECEIVED!$E$2:$E$10000, "&lt;"&amp;DATE(2025,6,22)), 0)</f>
        <v>0.0</v>
      </c>
      <c r="K24" s="3" t="n">
        <f>G24 - H24</f>
        <v>0.0</v>
      </c>
      <c r="L24" s="3" t="n">
        <f>J24 + K24</f>
        <v>0.0</v>
      </c>
      <c r="M24" s="3" t="n">
        <f>H24 * 0.1500</f>
        <v>0.0</v>
      </c>
      <c r="N24" s="3" t="n">
        <f>H24 * 0.0000</f>
        <v>0.0</v>
      </c>
      <c r="O24" s="3" t="n">
        <f>ABS(M24 + N24)</f>
        <v>0.0</v>
      </c>
      <c r="P24" t="inlineStr">
        <is>
          <t/>
        </is>
      </c>
      <c r="Q24" s="3" t="n">
        <f>SUMIFS(EXPENSES!E:E, EXPENSES!B:B, "LEASE-BH-F22-2025", EXPENSES!D:D, "&gt;="&amp;DATE(2025,6,22), EXPENSES!D:D, "&lt;="&amp;DATE(2025,7,21))</f>
        <v>0.0</v>
      </c>
      <c r="R24" t="inlineStr">
        <is>
          <t/>
        </is>
      </c>
      <c r="S24" s="3" t="n">
        <f>H24 - O24 - Q24</f>
        <v>0.0</v>
      </c>
      <c r="T24" t="inlineStr">
        <is>
          <t/>
        </is>
      </c>
      <c r="U24" t="inlineStr">
        <is>
          <t/>
        </is>
      </c>
      <c r="V24" t="inlineStr">
        <is>
          <t/>
        </is>
      </c>
      <c r="W24" t="inlineStr">
        <is>
          <t/>
        </is>
      </c>
      <c r="X24" t="inlineStr">
        <is>
          <t/>
        </is>
      </c>
      <c r="Y24" s="3" t="n">
        <v>5661.0</v>
      </c>
      <c r="Z24" s="3" t="n">
        <f>S24-Y24</f>
        <v>0.0</v>
      </c>
      <c r="AA24" t="inlineStr">
        <is>
          <t>PAID</t>
        </is>
      </c>
      <c r="AB24" t="inlineStr">
        <is>
          <t>MULTIPLE</t>
        </is>
      </c>
      <c r="AC24" s="2" t="n">
        <v>45982.0</v>
      </c>
    </row>
    <row r="25">
      <c r="A25" t="inlineStr">
        <is>
          <t>LEASE-BH-F23-2025</t>
        </is>
      </c>
      <c r="B25" t="inlineStr">
        <is>
          <t>Flat 23 - 3 West Gate</t>
        </is>
      </c>
      <c r="C25" t="inlineStr">
        <is>
          <t>Achal (Delegated for Udayan)</t>
        </is>
      </c>
      <c r="D25" t="inlineStr">
        <is>
          <t>Mark Tennick</t>
        </is>
      </c>
      <c r="E25" s="2" t="n">
        <v>45830.0</v>
      </c>
      <c r="F25" t="n">
        <v>10.0</v>
      </c>
      <c r="G25" s="3" t="n">
        <f>IFERROR(SUMPRODUCT((RENT_DUE!$B$2:$B$1000="LEASE-BH-F23-2025")*(RENT_DUE!$D$2:$D$1000&gt;=DATE(2025,6,22))*(RENT_DUE!$D$2:$D$1000&lt;=DATE(2025,7,21))*RENT_DUE!$L$2:$L$1000), 0)</f>
        <v>0.0</v>
      </c>
      <c r="H25" s="3" t="n">
        <f>IFERROR(SUMPRODUCT((RENT_RECEIVED!$B$2:$B$1000="LEASE-BH-F23-2025")*(RENT_RECEIVED!$E$2:$E$1000&gt;=DATE(2025,6,22))*(RENT_RECEIVED!$E$2:$E$1000&lt;=DATE(2025,7,21))*RENT_RECEIVED!$O$2:$O$1000), 0)</f>
        <v>0.0</v>
      </c>
      <c r="I25" t="inlineStr">
        <is>
          <t>HIST-2025-07-1591</t>
        </is>
      </c>
      <c r="J25" s="3" t="n">
        <f>IFERROR(SUMIFS(RENT_DUE!$L$2:$L$10000, RENT_DUE!$B$2:$B$10000, "LEASE-BH-F23-2025", RENT_DUE!$D$2:$D$10000, "&lt;"&amp;DATE(2025,6,22)), 0) - IFERROR(SUMIFS(RENT_RECEIVED!$O$2:$O$10000, RENT_RECEIVED!$B$2:$B$10000, "LEASE-BH-F23-2025", RENT_RECEIVED!$E$2:$E$10000, "&lt;"&amp;DATE(2025,6,22)), 0)</f>
        <v>0.0</v>
      </c>
      <c r="K25" s="3" t="n">
        <f>G25 - H25</f>
        <v>0.0</v>
      </c>
      <c r="L25" s="3" t="n">
        <f>J25 + K25</f>
        <v>0.0</v>
      </c>
      <c r="M25" s="3" t="n">
        <f>H25 * 0.1500</f>
        <v>0.0</v>
      </c>
      <c r="N25" s="3" t="n">
        <f>H25 * 0.0000</f>
        <v>0.0</v>
      </c>
      <c r="O25" s="3" t="n">
        <f>ABS(M25 + N25)</f>
        <v>0.0</v>
      </c>
      <c r="P25" t="inlineStr">
        <is>
          <t/>
        </is>
      </c>
      <c r="Q25" s="3" t="n">
        <f>SUMIFS(EXPENSES!E:E, EXPENSES!B:B, "LEASE-BH-F23-2025", EXPENSES!D:D, "&gt;="&amp;DATE(2025,6,22), EXPENSES!D:D, "&lt;="&amp;DATE(2025,7,21))</f>
        <v>0.0</v>
      </c>
      <c r="R25" t="inlineStr">
        <is>
          <t/>
        </is>
      </c>
      <c r="S25" s="3" t="n">
        <f>H25 - O25 - Q25</f>
        <v>0.0</v>
      </c>
      <c r="T25" t="inlineStr">
        <is>
          <t/>
        </is>
      </c>
      <c r="U25" t="inlineStr">
        <is>
          <t/>
        </is>
      </c>
      <c r="V25" t="inlineStr">
        <is>
          <t/>
        </is>
      </c>
      <c r="W25" t="inlineStr">
        <is>
          <t/>
        </is>
      </c>
      <c r="X25" t="inlineStr">
        <is>
          <t/>
        </is>
      </c>
      <c r="Y25" s="3" t="n">
        <v>3798.3</v>
      </c>
      <c r="Z25" s="3" t="n">
        <f>S25-Y25</f>
        <v>0.0</v>
      </c>
      <c r="AA25" t="inlineStr">
        <is>
          <t>PAID</t>
        </is>
      </c>
      <c r="AB25" t="inlineStr">
        <is>
          <t>MULTIPLE</t>
        </is>
      </c>
      <c r="AC25" s="2" t="n">
        <v>45982.0</v>
      </c>
    </row>
    <row r="26">
      <c r="A26" t="inlineStr">
        <is>
          <t>LEASE-BH-F24-2025</t>
        </is>
      </c>
      <c r="B26" t="inlineStr">
        <is>
          <t>Flat 24 - 3 West Gate</t>
        </is>
      </c>
      <c r="C26" t="inlineStr">
        <is>
          <t>Achal (Delegated for Udayan)</t>
        </is>
      </c>
      <c r="D26" t="inlineStr">
        <is>
          <t>Mr Ethan Maloney, Miss Soraya Fearon</t>
        </is>
      </c>
      <c r="E26" s="2" t="n">
        <v>45700.0</v>
      </c>
      <c r="F26" t="n">
        <v>12.0</v>
      </c>
      <c r="G26" s="3" t="n">
        <f>IFERROR(SUMPRODUCT((RENT_DUE!$B$2:$B$1000="LEASE-BH-F24-2025")*(RENT_DUE!$D$2:$D$1000&gt;=DATE(2025,6,22))*(RENT_DUE!$D$2:$D$1000&lt;=DATE(2025,7,21))*RENT_DUE!$L$2:$L$1000), 0)</f>
        <v>0.0</v>
      </c>
      <c r="H26" s="3" t="n">
        <f>IFERROR(SUMPRODUCT((RENT_RECEIVED!$B$2:$B$1000="LEASE-BH-F24-2025")*(RENT_RECEIVED!$E$2:$E$1000&gt;=DATE(2025,6,22))*(RENT_RECEIVED!$E$2:$E$1000&lt;=DATE(2025,7,21))*RENT_RECEIVED!$O$2:$O$1000), 0)</f>
        <v>0.0</v>
      </c>
      <c r="I26" t="inlineStr">
        <is>
          <t>zJBjND23JQ</t>
        </is>
      </c>
      <c r="J26" s="3" t="n">
        <f>IFERROR(SUMIFS(RENT_DUE!$L$2:$L$10000, RENT_DUE!$B$2:$B$10000, "LEASE-BH-F24-2025", RENT_DUE!$D$2:$D$10000, "&lt;"&amp;DATE(2025,6,22)), 0) - IFERROR(SUMIFS(RENT_RECEIVED!$O$2:$O$10000, RENT_RECEIVED!$B$2:$B$10000, "LEASE-BH-F24-2025", RENT_RECEIVED!$E$2:$E$10000, "&lt;"&amp;DATE(2025,6,22)), 0)</f>
        <v>0.0</v>
      </c>
      <c r="K26" s="3" t="n">
        <f>G26 - H26</f>
        <v>0.0</v>
      </c>
      <c r="L26" s="3" t="n">
        <f>J26 + K26</f>
        <v>0.0</v>
      </c>
      <c r="M26" s="3" t="n">
        <f>H26 * 0.1500</f>
        <v>0.0</v>
      </c>
      <c r="N26" s="3" t="n">
        <f>H26 * 0.0000</f>
        <v>0.0</v>
      </c>
      <c r="O26" s="3" t="n">
        <f>ABS(M26 + N26)</f>
        <v>0.0</v>
      </c>
      <c r="P26" t="inlineStr">
        <is>
          <t/>
        </is>
      </c>
      <c r="Q26" s="3" t="n">
        <f>SUMIFS(EXPENSES!E:E, EXPENSES!B:B, "LEASE-BH-F24-2025", EXPENSES!D:D, "&gt;="&amp;DATE(2025,6,22), EXPENSES!D:D, "&lt;="&amp;DATE(2025,7,21))</f>
        <v>0.0</v>
      </c>
      <c r="R26" t="inlineStr">
        <is>
          <t/>
        </is>
      </c>
      <c r="S26" s="3" t="n">
        <f>H26 - O26 - Q26</f>
        <v>0.0</v>
      </c>
      <c r="T26" t="inlineStr">
        <is>
          <t/>
        </is>
      </c>
      <c r="U26" t="inlineStr">
        <is>
          <t/>
        </is>
      </c>
      <c r="V26" t="inlineStr">
        <is>
          <t/>
        </is>
      </c>
      <c r="W26" t="inlineStr">
        <is>
          <t/>
        </is>
      </c>
      <c r="X26" t="inlineStr">
        <is>
          <t/>
        </is>
      </c>
      <c r="Y26" s="3" t="n">
        <v>6765.0</v>
      </c>
      <c r="Z26" s="3" t="n">
        <f>S26-Y26</f>
        <v>0.0</v>
      </c>
      <c r="AA26" t="inlineStr">
        <is>
          <t>PAID</t>
        </is>
      </c>
      <c r="AB26" t="inlineStr">
        <is>
          <t>MULTIPLE</t>
        </is>
      </c>
      <c r="AC26" s="2" t="n">
        <v>45982.0</v>
      </c>
    </row>
    <row r="27">
      <c r="A27" t="inlineStr">
        <is>
          <t>LEASE-BH-F26-2025</t>
        </is>
      </c>
      <c r="B27" t="inlineStr">
        <is>
          <t>Flat 26 - 3 West Gate</t>
        </is>
      </c>
      <c r="C27" t="inlineStr">
        <is>
          <t>Achal (Delegated for Udayan)</t>
        </is>
      </c>
      <c r="D27" t="inlineStr">
        <is>
          <t>Mr Louis Scotting</t>
        </is>
      </c>
      <c r="E27" s="2" t="n">
        <v>45730.0</v>
      </c>
      <c r="F27" t="n">
        <v>14.0</v>
      </c>
      <c r="G27" s="3" t="n">
        <f>IFERROR(SUMPRODUCT((RENT_DUE!$B$2:$B$1000="LEASE-BH-F26-2025")*(RENT_DUE!$D$2:$D$1000&gt;=DATE(2025,6,22))*(RENT_DUE!$D$2:$D$1000&lt;=DATE(2025,7,21))*RENT_DUE!$L$2:$L$1000), 0)</f>
        <v>0.0</v>
      </c>
      <c r="H27" s="3" t="n">
        <f>IFERROR(SUMPRODUCT((RENT_RECEIVED!$B$2:$B$1000="LEASE-BH-F26-2025")*(RENT_RECEIVED!$E$2:$E$1000&gt;=DATE(2025,6,22))*(RENT_RECEIVED!$E$2:$E$1000&lt;=DATE(2025,7,21))*RENT_RECEIVED!$O$2:$O$1000), 0)</f>
        <v>0.0</v>
      </c>
      <c r="I27" t="inlineStr">
        <is>
          <t>HIST-2025-07-1591</t>
        </is>
      </c>
      <c r="J27" s="3" t="n">
        <f>IFERROR(SUMIFS(RENT_DUE!$L$2:$L$10000, RENT_DUE!$B$2:$B$10000, "LEASE-BH-F26-2025", RENT_DUE!$D$2:$D$10000, "&lt;"&amp;DATE(2025,6,22)), 0) - IFERROR(SUMIFS(RENT_RECEIVED!$O$2:$O$10000, RENT_RECEIVED!$B$2:$B$10000, "LEASE-BH-F26-2025", RENT_RECEIVED!$E$2:$E$10000, "&lt;"&amp;DATE(2025,6,22)), 0)</f>
        <v>0.0</v>
      </c>
      <c r="K27" s="3" t="n">
        <f>G27 - H27</f>
        <v>0.0</v>
      </c>
      <c r="L27" s="3" t="n">
        <f>J27 + K27</f>
        <v>0.0</v>
      </c>
      <c r="M27" s="3" t="n">
        <f>H27 * 0.1500</f>
        <v>0.0</v>
      </c>
      <c r="N27" s="3" t="n">
        <f>H27 * 0.0000</f>
        <v>0.0</v>
      </c>
      <c r="O27" s="3" t="n">
        <f>ABS(M27 + N27)</f>
        <v>0.0</v>
      </c>
      <c r="P27" t="inlineStr">
        <is>
          <t/>
        </is>
      </c>
      <c r="Q27" s="3" t="n">
        <f>SUMIFS(EXPENSES!E:E, EXPENSES!B:B, "LEASE-BH-F26-2025", EXPENSES!D:D, "&gt;="&amp;DATE(2025,6,22), EXPENSES!D:D, "&lt;="&amp;DATE(2025,7,21))</f>
        <v>0.0</v>
      </c>
      <c r="R27" t="inlineStr">
        <is>
          <t/>
        </is>
      </c>
      <c r="S27" s="3" t="n">
        <f>H27 - O27 - Q27</f>
        <v>0.0</v>
      </c>
      <c r="T27" t="inlineStr">
        <is>
          <t/>
        </is>
      </c>
      <c r="U27" t="inlineStr">
        <is>
          <t/>
        </is>
      </c>
      <c r="V27" t="inlineStr">
        <is>
          <t/>
        </is>
      </c>
      <c r="W27" t="inlineStr">
        <is>
          <t/>
        </is>
      </c>
      <c r="X27" t="inlineStr">
        <is>
          <t/>
        </is>
      </c>
      <c r="Y27" s="3" t="n">
        <v>5163.75</v>
      </c>
      <c r="Z27" s="3" t="n">
        <f>S27-Y27</f>
        <v>0.0</v>
      </c>
      <c r="AA27" t="inlineStr">
        <is>
          <t>PAID</t>
        </is>
      </c>
      <c r="AB27" t="inlineStr">
        <is>
          <t>MULTIPLE</t>
        </is>
      </c>
      <c r="AC27" s="2" t="n">
        <v>45992.0</v>
      </c>
    </row>
    <row r="28">
      <c r="A28" t="inlineStr">
        <is>
          <t>LEASE-BH-F27-2025</t>
        </is>
      </c>
      <c r="B28" t="inlineStr">
        <is>
          <t>Flat 27 - 3 West Gate</t>
        </is>
      </c>
      <c r="C28" t="inlineStr">
        <is>
          <t>Achal (Delegated for Udayan)</t>
        </is>
      </c>
      <c r="D28" t="inlineStr">
        <is>
          <t>Miss Sophie Murray</t>
        </is>
      </c>
      <c r="E28" s="2" t="n">
        <v>45716.0</v>
      </c>
      <c r="F28" t="n">
        <v>30.0</v>
      </c>
      <c r="G28" s="3" t="n">
        <f>IFERROR(SUMPRODUCT((RENT_DUE!$B$2:$B$1000="LEASE-BH-F27-2025")*(RENT_DUE!$D$2:$D$1000&gt;=DATE(2025,6,22))*(RENT_DUE!$D$2:$D$1000&lt;=DATE(2025,7,21))*RENT_DUE!$L$2:$L$1000), 0)</f>
        <v>0.0</v>
      </c>
      <c r="H28" s="3" t="n">
        <f>IFERROR(SUMPRODUCT((RENT_RECEIVED!$B$2:$B$1000="LEASE-BH-F27-2025")*(RENT_RECEIVED!$E$2:$E$1000&gt;=DATE(2025,6,22))*(RENT_RECEIVED!$E$2:$E$1000&lt;=DATE(2025,7,21))*RENT_RECEIVED!$O$2:$O$1000), 0)</f>
        <v>0.0</v>
      </c>
      <c r="I28" t="inlineStr">
        <is>
          <t/>
        </is>
      </c>
      <c r="J28" s="3" t="n">
        <f>IFERROR(SUMIFS(RENT_DUE!$L$2:$L$10000, RENT_DUE!$B$2:$B$10000, "LEASE-BH-F27-2025", RENT_DUE!$D$2:$D$10000, "&lt;"&amp;DATE(2025,6,22)), 0) - IFERROR(SUMIFS(RENT_RECEIVED!$O$2:$O$10000, RENT_RECEIVED!$B$2:$B$10000, "LEASE-BH-F27-2025", RENT_RECEIVED!$E$2:$E$10000, "&lt;"&amp;DATE(2025,6,22)), 0)</f>
        <v>0.0</v>
      </c>
      <c r="K28" s="3" t="n">
        <f>G28 - H28</f>
        <v>0.0</v>
      </c>
      <c r="L28" s="3" t="n">
        <f>J28 + K28</f>
        <v>0.0</v>
      </c>
      <c r="M28" s="3" t="n">
        <f>H28 * 0.1500</f>
        <v>0.0</v>
      </c>
      <c r="N28" s="3" t="n">
        <f>H28 * 0.0000</f>
        <v>0.0</v>
      </c>
      <c r="O28" s="3" t="n">
        <f>ABS(M28 + N28)</f>
        <v>0.0</v>
      </c>
      <c r="P28" t="inlineStr">
        <is>
          <t/>
        </is>
      </c>
      <c r="Q28" s="3" t="n">
        <f>SUMIFS(EXPENSES!E:E, EXPENSES!B:B, "LEASE-BH-F27-2025", EXPENSES!D:D, "&gt;="&amp;DATE(2025,6,22), EXPENSES!D:D, "&lt;="&amp;DATE(2025,7,21))</f>
        <v>0.0</v>
      </c>
      <c r="R28" t="inlineStr">
        <is>
          <t/>
        </is>
      </c>
      <c r="S28" s="3" t="n">
        <f>H28 - O28 - Q28</f>
        <v>0.0</v>
      </c>
      <c r="T28" t="inlineStr">
        <is>
          <t/>
        </is>
      </c>
      <c r="U28" t="inlineStr">
        <is>
          <t/>
        </is>
      </c>
      <c r="V28" t="inlineStr">
        <is>
          <t/>
        </is>
      </c>
      <c r="W28" t="inlineStr">
        <is>
          <t/>
        </is>
      </c>
      <c r="X28" t="inlineStr">
        <is>
          <t/>
        </is>
      </c>
      <c r="Y28" s="3" t="n">
        <v>5355.0</v>
      </c>
      <c r="Z28" s="3" t="n">
        <f>S28-Y28</f>
        <v>0.0</v>
      </c>
      <c r="AA28" t="inlineStr">
        <is>
          <t>PAID</t>
        </is>
      </c>
      <c r="AB28" t="inlineStr">
        <is>
          <t>MULTIPLE</t>
        </is>
      </c>
      <c r="AC28" s="2" t="n">
        <v>45982.0</v>
      </c>
    </row>
    <row r="29">
      <c r="A29" t="inlineStr">
        <is>
          <t>LEASE-BH-F28-2025</t>
        </is>
      </c>
      <c r="B29" t="inlineStr">
        <is>
          <t>Flat 28 - 3 West Gate</t>
        </is>
      </c>
      <c r="C29" t="inlineStr">
        <is>
          <t>Achal (Delegated for Udayan)</t>
        </is>
      </c>
      <c r="D29" t="inlineStr">
        <is>
          <t>Ms Shiu Lun Cheung, Mr Chi Man Poon</t>
        </is>
      </c>
      <c r="E29" s="2" t="n">
        <v>45744.0</v>
      </c>
      <c r="F29" t="n">
        <v>18.0</v>
      </c>
      <c r="G29" s="3" t="n">
        <f>IFERROR(SUMPRODUCT((RENT_DUE!$B$2:$B$1000="LEASE-BH-F28-2025")*(RENT_DUE!$D$2:$D$1000&gt;=DATE(2025,6,22))*(RENT_DUE!$D$2:$D$1000&lt;=DATE(2025,7,21))*RENT_DUE!$L$2:$L$1000), 0)</f>
        <v>0.0</v>
      </c>
      <c r="H29" s="3" t="n">
        <f>IFERROR(SUMPRODUCT((RENT_RECEIVED!$B$2:$B$1000="LEASE-BH-F28-2025")*(RENT_RECEIVED!$E$2:$E$1000&gt;=DATE(2025,6,22))*(RENT_RECEIVED!$E$2:$E$1000&lt;=DATE(2025,7,21))*RENT_RECEIVED!$O$2:$O$1000), 0)</f>
        <v>0.0</v>
      </c>
      <c r="I29" t="inlineStr">
        <is>
          <t>HIST-2025-07-1591</t>
        </is>
      </c>
      <c r="J29" s="3" t="n">
        <f>IFERROR(SUMIFS(RENT_DUE!$L$2:$L$10000, RENT_DUE!$B$2:$B$10000, "LEASE-BH-F28-2025", RENT_DUE!$D$2:$D$10000, "&lt;"&amp;DATE(2025,6,22)), 0) - IFERROR(SUMIFS(RENT_RECEIVED!$O$2:$O$10000, RENT_RECEIVED!$B$2:$B$10000, "LEASE-BH-F28-2025", RENT_RECEIVED!$E$2:$E$10000, "&lt;"&amp;DATE(2025,6,22)), 0)</f>
        <v>0.0</v>
      </c>
      <c r="K29" s="3" t="n">
        <f>G29 - H29</f>
        <v>0.0</v>
      </c>
      <c r="L29" s="3" t="n">
        <f>J29 + K29</f>
        <v>0.0</v>
      </c>
      <c r="M29" s="3" t="n">
        <f>H29 * 0.1500</f>
        <v>0.0</v>
      </c>
      <c r="N29" s="3" t="n">
        <f>H29 * 0.0000</f>
        <v>0.0</v>
      </c>
      <c r="O29" s="3" t="n">
        <f>ABS(M29 + N29)</f>
        <v>0.0</v>
      </c>
      <c r="P29" t="inlineStr">
        <is>
          <t/>
        </is>
      </c>
      <c r="Q29" s="3" t="n">
        <f>SUMIFS(EXPENSES!E:E, EXPENSES!B:B, "LEASE-BH-F28-2025", EXPENSES!D:D, "&gt;="&amp;DATE(2025,6,22), EXPENSES!D:D, "&lt;="&amp;DATE(2025,7,21))</f>
        <v>0.0</v>
      </c>
      <c r="R29" t="inlineStr">
        <is>
          <t/>
        </is>
      </c>
      <c r="S29" s="3" t="n">
        <f>H29 - O29 - Q29</f>
        <v>0.0</v>
      </c>
      <c r="T29" t="inlineStr">
        <is>
          <t/>
        </is>
      </c>
      <c r="U29" t="inlineStr">
        <is>
          <t/>
        </is>
      </c>
      <c r="V29" t="inlineStr">
        <is>
          <t/>
        </is>
      </c>
      <c r="W29" t="inlineStr">
        <is>
          <t/>
        </is>
      </c>
      <c r="X29" t="inlineStr">
        <is>
          <t/>
        </is>
      </c>
      <c r="Y29" s="3" t="n">
        <v>0.0</v>
      </c>
      <c r="Z29" s="3" t="n">
        <f>S29-Y29</f>
        <v>0.0</v>
      </c>
      <c r="AA29" t="inlineStr">
        <is>
          <t>PAID</t>
        </is>
      </c>
      <c r="AB29" t="inlineStr">
        <is>
          <t>HIST-2025-10-1650</t>
        </is>
      </c>
      <c r="AC29" s="2" t="n">
        <v>45951.0</v>
      </c>
    </row>
    <row r="30">
      <c r="A30" t="inlineStr">
        <is>
          <t>LEASE-BH-F29-2025</t>
        </is>
      </c>
      <c r="B30" t="inlineStr">
        <is>
          <t>Flat 29 - 3 West Gate</t>
        </is>
      </c>
      <c r="C30" t="inlineStr">
        <is>
          <t>Achal (Delegated for Udayan)</t>
        </is>
      </c>
      <c r="D30" t="inlineStr">
        <is>
          <t>Mrs Margaret Fritchley</t>
        </is>
      </c>
      <c r="E30" s="2" t="n">
        <v>45715.0</v>
      </c>
      <c r="F30" t="n">
        <v>27.0</v>
      </c>
      <c r="G30" s="3" t="n">
        <f>IFERROR(SUMPRODUCT((RENT_DUE!$B$2:$B$1000="LEASE-BH-F29-2025")*(RENT_DUE!$D$2:$D$1000&gt;=DATE(2025,6,22))*(RENT_DUE!$D$2:$D$1000&lt;=DATE(2025,7,21))*RENT_DUE!$L$2:$L$1000), 0)</f>
        <v>0.0</v>
      </c>
      <c r="H30" s="3" t="n">
        <f>IFERROR(SUMPRODUCT((RENT_RECEIVED!$B$2:$B$1000="LEASE-BH-F29-2025")*(RENT_RECEIVED!$E$2:$E$1000&gt;=DATE(2025,6,22))*(RENT_RECEIVED!$E$2:$E$1000&lt;=DATE(2025,7,21))*RENT_RECEIVED!$O$2:$O$1000), 0)</f>
        <v>0.0</v>
      </c>
      <c r="I30" t="inlineStr">
        <is>
          <t>HIST-2025-07-1591</t>
        </is>
      </c>
      <c r="J30" s="3" t="n">
        <f>IFERROR(SUMIFS(RENT_DUE!$L$2:$L$10000, RENT_DUE!$B$2:$B$10000, "LEASE-BH-F29-2025", RENT_DUE!$D$2:$D$10000, "&lt;"&amp;DATE(2025,6,22)), 0) - IFERROR(SUMIFS(RENT_RECEIVED!$O$2:$O$10000, RENT_RECEIVED!$B$2:$B$10000, "LEASE-BH-F29-2025", RENT_RECEIVED!$E$2:$E$10000, "&lt;"&amp;DATE(2025,6,22)), 0)</f>
        <v>0.0</v>
      </c>
      <c r="K30" s="3" t="n">
        <f>G30 - H30</f>
        <v>0.0</v>
      </c>
      <c r="L30" s="3" t="n">
        <f>J30 + K30</f>
        <v>0.0</v>
      </c>
      <c r="M30" s="3" t="n">
        <f>H30 * 0.1500</f>
        <v>0.0</v>
      </c>
      <c r="N30" s="3" t="n">
        <f>H30 * 0.0000</f>
        <v>0.0</v>
      </c>
      <c r="O30" s="3" t="n">
        <f>ABS(M30 + N30)</f>
        <v>0.0</v>
      </c>
      <c r="P30" t="inlineStr">
        <is>
          <t/>
        </is>
      </c>
      <c r="Q30" s="3" t="n">
        <f>SUMIFS(EXPENSES!E:E, EXPENSES!B:B, "LEASE-BH-F29-2025", EXPENSES!D:D, "&gt;="&amp;DATE(2025,6,22), EXPENSES!D:D, "&lt;="&amp;DATE(2025,7,21))</f>
        <v>0.0</v>
      </c>
      <c r="R30" t="inlineStr">
        <is>
          <t/>
        </is>
      </c>
      <c r="S30" s="3" t="n">
        <f>H30 - O30 - Q30</f>
        <v>0.0</v>
      </c>
      <c r="T30" t="inlineStr">
        <is>
          <t/>
        </is>
      </c>
      <c r="U30" t="inlineStr">
        <is>
          <t/>
        </is>
      </c>
      <c r="V30" t="inlineStr">
        <is>
          <t/>
        </is>
      </c>
      <c r="W30" t="inlineStr">
        <is>
          <t/>
        </is>
      </c>
      <c r="X30" t="inlineStr">
        <is>
          <t/>
        </is>
      </c>
      <c r="Y30" s="3" t="n">
        <v>5541.0</v>
      </c>
      <c r="Z30" s="3" t="n">
        <f>S30-Y30</f>
        <v>0.0</v>
      </c>
      <c r="AA30" t="inlineStr">
        <is>
          <t>PAID</t>
        </is>
      </c>
      <c r="AB30" t="inlineStr">
        <is>
          <t>MULTIPLE</t>
        </is>
      </c>
      <c r="AC30" s="2" t="n">
        <v>45982.0</v>
      </c>
    </row>
    <row r="31">
      <c r="A31" t="inlineStr">
        <is>
          <t>LEASE-BH-F30-2025</t>
        </is>
      </c>
      <c r="B31" t="inlineStr">
        <is>
          <t>Flat 30 - 3 West Gate</t>
        </is>
      </c>
      <c r="C31" t="inlineStr">
        <is>
          <t>Achal (Delegated for Udayan)</t>
        </is>
      </c>
      <c r="D31" t="inlineStr">
        <is>
          <t>Mr Joel Bryan</t>
        </is>
      </c>
      <c r="E31" s="2" t="n">
        <v>45722.0</v>
      </c>
      <c r="F31" t="n">
        <v>6.0</v>
      </c>
      <c r="G31" s="3" t="n">
        <f>IFERROR(SUMPRODUCT((RENT_DUE!$B$2:$B$1000="LEASE-BH-F30-2025")*(RENT_DUE!$D$2:$D$1000&gt;=DATE(2025,6,22))*(RENT_DUE!$D$2:$D$1000&lt;=DATE(2025,7,21))*RENT_DUE!$L$2:$L$1000), 0)</f>
        <v>0.0</v>
      </c>
      <c r="H31" s="3" t="n">
        <f>IFERROR(SUMPRODUCT((RENT_RECEIVED!$B$2:$B$1000="LEASE-BH-F30-2025")*(RENT_RECEIVED!$E$2:$E$1000&gt;=DATE(2025,6,22))*(RENT_RECEIVED!$E$2:$E$1000&lt;=DATE(2025,7,21))*RENT_RECEIVED!$O$2:$O$1000), 0)</f>
        <v>0.0</v>
      </c>
      <c r="I31" t="inlineStr">
        <is>
          <t>HIST-2025-07-1591</t>
        </is>
      </c>
      <c r="J31" s="3" t="n">
        <f>IFERROR(SUMIFS(RENT_DUE!$L$2:$L$10000, RENT_DUE!$B$2:$B$10000, "LEASE-BH-F30-2025", RENT_DUE!$D$2:$D$10000, "&lt;"&amp;DATE(2025,6,22)), 0) - IFERROR(SUMIFS(RENT_RECEIVED!$O$2:$O$10000, RENT_RECEIVED!$B$2:$B$10000, "LEASE-BH-F30-2025", RENT_RECEIVED!$E$2:$E$10000, "&lt;"&amp;DATE(2025,6,22)), 0)</f>
        <v>0.0</v>
      </c>
      <c r="K31" s="3" t="n">
        <f>G31 - H31</f>
        <v>0.0</v>
      </c>
      <c r="L31" s="3" t="n">
        <f>J31 + K31</f>
        <v>0.0</v>
      </c>
      <c r="M31" s="3" t="n">
        <f>H31 * 0.1500</f>
        <v>0.0</v>
      </c>
      <c r="N31" s="3" t="n">
        <f>H31 * 0.0000</f>
        <v>0.0</v>
      </c>
      <c r="O31" s="3" t="n">
        <f>ABS(M31 + N31)</f>
        <v>0.0</v>
      </c>
      <c r="P31" t="inlineStr">
        <is>
          <t/>
        </is>
      </c>
      <c r="Q31" s="3" t="n">
        <f>SUMIFS(EXPENSES!E:E, EXPENSES!B:B, "LEASE-BH-F30-2025", EXPENSES!D:D, "&gt;="&amp;DATE(2025,6,22), EXPENSES!D:D, "&lt;="&amp;DATE(2025,7,21))</f>
        <v>0.0</v>
      </c>
      <c r="R31" t="inlineStr">
        <is>
          <t/>
        </is>
      </c>
      <c r="S31" s="3" t="n">
        <f>H31 - O31 - Q31</f>
        <v>0.0</v>
      </c>
      <c r="T31" t="inlineStr">
        <is>
          <t/>
        </is>
      </c>
      <c r="U31" t="inlineStr">
        <is>
          <t/>
        </is>
      </c>
      <c r="V31" t="inlineStr">
        <is>
          <t/>
        </is>
      </c>
      <c r="W31" t="inlineStr">
        <is>
          <t/>
        </is>
      </c>
      <c r="X31" t="inlineStr">
        <is>
          <t/>
        </is>
      </c>
      <c r="Y31" s="3" t="n">
        <v>5032.0</v>
      </c>
      <c r="Z31" s="3" t="n">
        <f>S31-Y31</f>
        <v>0.0</v>
      </c>
      <c r="AA31" t="inlineStr">
        <is>
          <t>PAID</t>
        </is>
      </c>
      <c r="AB31" t="inlineStr">
        <is>
          <t>MULTIPLE</t>
        </is>
      </c>
      <c r="AC31" s="2" t="n">
        <v>45992.0</v>
      </c>
    </row>
    <row r="32">
      <c r="A32" t="inlineStr">
        <is>
          <t>LEASE-BH-PS1-2025</t>
        </is>
      </c>
      <c r="B32" t="inlineStr">
        <is>
          <t>Parking Space 1 - 3 West Gate</t>
        </is>
      </c>
      <c r="C32" t="inlineStr">
        <is>
          <t>Achal (Delegated for Udayan)</t>
        </is>
      </c>
      <c r="D32" t="inlineStr">
        <is>
          <t>Mr Shermal Wijesinghage, Mrs Udeshika Dona</t>
        </is>
      </c>
      <c r="E32" s="2" t="n">
        <v>45842.0</v>
      </c>
      <c r="F32" t="n">
        <v>4.0</v>
      </c>
      <c r="G32" s="3" t="n">
        <f>IFERROR(SUMPRODUCT((RENT_DUE!$B$2:$B$1000="LEASE-BH-PS1-2025")*(RENT_DUE!$D$2:$D$1000&gt;=DATE(2025,6,22))*(RENT_DUE!$D$2:$D$1000&lt;=DATE(2025,7,21))*RENT_DUE!$L$2:$L$1000), 0)</f>
        <v>0.0</v>
      </c>
      <c r="H32" s="3" t="n">
        <f>IFERROR(SUMPRODUCT((RENT_RECEIVED!$B$2:$B$1000="LEASE-BH-PS1-2025")*(RENT_RECEIVED!$E$2:$E$1000&gt;=DATE(2025,6,22))*(RENT_RECEIVED!$E$2:$E$1000&lt;=DATE(2025,7,21))*RENT_RECEIVED!$O$2:$O$1000), 0)</f>
        <v>0.0</v>
      </c>
      <c r="I32" t="inlineStr">
        <is>
          <t/>
        </is>
      </c>
      <c r="J32" s="3" t="n">
        <f>IFERROR(SUMIFS(RENT_DUE!$L$2:$L$10000, RENT_DUE!$B$2:$B$10000, "LEASE-BH-PS1-2025", RENT_DUE!$D$2:$D$10000, "&lt;"&amp;DATE(2025,6,22)), 0) - IFERROR(SUMIFS(RENT_RECEIVED!$O$2:$O$10000, RENT_RECEIVED!$B$2:$B$10000, "LEASE-BH-PS1-2025", RENT_RECEIVED!$E$2:$E$10000, "&lt;"&amp;DATE(2025,6,22)), 0)</f>
        <v>0.0</v>
      </c>
      <c r="K32" s="3" t="n">
        <f>G32 - H32</f>
        <v>0.0</v>
      </c>
      <c r="L32" s="3" t="n">
        <f>J32 + K32</f>
        <v>0.0</v>
      </c>
      <c r="M32" s="3" t="n">
        <f>H32 * 0.1500</f>
        <v>0.0</v>
      </c>
      <c r="N32" s="3" t="n">
        <f>H32 * 0.0000</f>
        <v>0.0</v>
      </c>
      <c r="O32" s="3" t="n">
        <f>ABS(M32 + N32)</f>
        <v>0.0</v>
      </c>
      <c r="P32" t="inlineStr">
        <is>
          <t/>
        </is>
      </c>
      <c r="Q32" s="3" t="n">
        <f>SUMIFS(EXPENSES!E:E, EXPENSES!B:B, "LEASE-BH-PS1-2025", EXPENSES!D:D, "&gt;="&amp;DATE(2025,6,22), EXPENSES!D:D, "&lt;="&amp;DATE(2025,7,21))</f>
        <v>0.0</v>
      </c>
      <c r="R32" t="inlineStr">
        <is>
          <t/>
        </is>
      </c>
      <c r="S32" s="3" t="n">
        <f>H32 - O32 - Q32</f>
        <v>0.0</v>
      </c>
      <c r="T32" t="inlineStr">
        <is>
          <t/>
        </is>
      </c>
      <c r="U32" t="inlineStr">
        <is>
          <t/>
        </is>
      </c>
      <c r="V32" t="inlineStr">
        <is>
          <t/>
        </is>
      </c>
      <c r="W32" t="inlineStr">
        <is>
          <t/>
        </is>
      </c>
      <c r="X32" t="inlineStr">
        <is>
          <t/>
        </is>
      </c>
      <c r="Y32" s="3" t="n">
        <v>0.0</v>
      </c>
      <c r="Z32" s="3" t="n">
        <f>S32-Y32</f>
        <v>0.0</v>
      </c>
      <c r="AA32" t="inlineStr">
        <is>
          <t>NONE</t>
        </is>
      </c>
      <c r="AB32" t="inlineStr">
        <is>
          <t>-</t>
        </is>
      </c>
      <c r="AC32" t="inlineStr">
        <is>
          <t/>
        </is>
      </c>
    </row>
    <row r="33">
      <c r="A33" t="inlineStr">
        <is>
          <t>LEASE-BH-PS2-2025</t>
        </is>
      </c>
      <c r="B33" t="inlineStr">
        <is>
          <t>Parking Space 2 - 3 West Gate</t>
        </is>
      </c>
      <c r="C33" t="inlineStr">
        <is>
          <t>Achal (Delegated for Udayan)</t>
        </is>
      </c>
      <c r="D33" t="inlineStr">
        <is>
          <t>Nirmali Gedara and Janith Hetti Arachchilage</t>
        </is>
      </c>
      <c r="E33" s="2" t="n">
        <v>45852.0</v>
      </c>
      <c r="F33" t="n">
        <v>14.0</v>
      </c>
      <c r="G33" s="3" t="n">
        <f>IFERROR(SUMPRODUCT((RENT_DUE!$B$2:$B$1000="LEASE-BH-PS2-2025")*(RENT_DUE!$D$2:$D$1000&gt;=DATE(2025,6,22))*(RENT_DUE!$D$2:$D$1000&lt;=DATE(2025,7,21))*RENT_DUE!$L$2:$L$1000), 0)</f>
        <v>0.0</v>
      </c>
      <c r="H33" s="3" t="n">
        <f>IFERROR(SUMPRODUCT((RENT_RECEIVED!$B$2:$B$1000="LEASE-BH-PS2-2025")*(RENT_RECEIVED!$E$2:$E$1000&gt;=DATE(2025,6,22))*(RENT_RECEIVED!$E$2:$E$1000&lt;=DATE(2025,7,21))*RENT_RECEIVED!$O$2:$O$1000), 0)</f>
        <v>0.0</v>
      </c>
      <c r="I33" t="inlineStr">
        <is>
          <t/>
        </is>
      </c>
      <c r="J33" s="3" t="n">
        <f>IFERROR(SUMIFS(RENT_DUE!$L$2:$L$10000, RENT_DUE!$B$2:$B$10000, "LEASE-BH-PS2-2025", RENT_DUE!$D$2:$D$10000, "&lt;"&amp;DATE(2025,6,22)), 0) - IFERROR(SUMIFS(RENT_RECEIVED!$O$2:$O$10000, RENT_RECEIVED!$B$2:$B$10000, "LEASE-BH-PS2-2025", RENT_RECEIVED!$E$2:$E$10000, "&lt;"&amp;DATE(2025,6,22)), 0)</f>
        <v>0.0</v>
      </c>
      <c r="K33" s="3" t="n">
        <f>G33 - H33</f>
        <v>0.0</v>
      </c>
      <c r="L33" s="3" t="n">
        <f>J33 + K33</f>
        <v>0.0</v>
      </c>
      <c r="M33" s="3" t="n">
        <f>H33 * 0.1500</f>
        <v>0.0</v>
      </c>
      <c r="N33" s="3" t="n">
        <f>H33 * 0.0000</f>
        <v>0.0</v>
      </c>
      <c r="O33" s="3" t="n">
        <f>ABS(M33 + N33)</f>
        <v>0.0</v>
      </c>
      <c r="P33" t="inlineStr">
        <is>
          <t/>
        </is>
      </c>
      <c r="Q33" s="3" t="n">
        <f>SUMIFS(EXPENSES!E:E, EXPENSES!B:B, "LEASE-BH-PS2-2025", EXPENSES!D:D, "&gt;="&amp;DATE(2025,6,22), EXPENSES!D:D, "&lt;="&amp;DATE(2025,7,21))</f>
        <v>0.0</v>
      </c>
      <c r="R33" t="inlineStr">
        <is>
          <t/>
        </is>
      </c>
      <c r="S33" s="3" t="n">
        <f>H33 - O33 - Q33</f>
        <v>0.0</v>
      </c>
      <c r="T33" t="inlineStr">
        <is>
          <t/>
        </is>
      </c>
      <c r="U33" t="inlineStr">
        <is>
          <t/>
        </is>
      </c>
      <c r="V33" t="inlineStr">
        <is>
          <t/>
        </is>
      </c>
      <c r="W33" t="inlineStr">
        <is>
          <t/>
        </is>
      </c>
      <c r="X33" t="inlineStr">
        <is>
          <t/>
        </is>
      </c>
      <c r="Y33" s="3" t="n">
        <v>0.0</v>
      </c>
      <c r="Z33" s="3" t="n">
        <f>S33-Y33</f>
        <v>0.0</v>
      </c>
      <c r="AA33" t="inlineStr">
        <is>
          <t>NONE</t>
        </is>
      </c>
      <c r="AB33" t="inlineStr">
        <is>
          <t>-</t>
        </is>
      </c>
      <c r="AC33" t="inlineStr">
        <is>
          <t/>
        </is>
      </c>
    </row>
    <row r="34">
      <c r="A34" t="inlineStr">
        <is>
          <t>LEASE-KH-F-2024</t>
        </is>
      </c>
      <c r="B34" t="inlineStr">
        <is>
          <t>Apartment F - Knighton Hayes Manor</t>
        </is>
      </c>
      <c r="C34" t="inlineStr">
        <is>
          <t>Achal (Delegated for Udayan)</t>
        </is>
      </c>
      <c r="D34" t="inlineStr">
        <is>
          <t>Mr Riaz Hamid, Ismat Tarr-Hamid</t>
        </is>
      </c>
      <c r="E34" s="2" t="n">
        <v>45648.0</v>
      </c>
      <c r="F34" t="n">
        <v>22.0</v>
      </c>
      <c r="G34" s="3" t="n">
        <f>IFERROR(SUMPRODUCT((RENT_DUE!$B$2:$B$1000="LEASE-KH-F-2024")*(RENT_DUE!$D$2:$D$1000&gt;=DATE(2025,6,22))*(RENT_DUE!$D$2:$D$1000&lt;=DATE(2025,7,21))*RENT_DUE!$L$2:$L$1000), 0)</f>
        <v>0.0</v>
      </c>
      <c r="H34" s="3" t="n">
        <f>IFERROR(SUMPRODUCT((RENT_RECEIVED!$B$2:$B$1000="LEASE-KH-F-2024")*(RENT_RECEIVED!$E$2:$E$1000&gt;=DATE(2025,6,22))*(RENT_RECEIVED!$E$2:$E$1000&lt;=DATE(2025,7,21))*RENT_RECEIVED!$O$2:$O$1000), 0)</f>
        <v>0.0</v>
      </c>
      <c r="I34" t="inlineStr">
        <is>
          <t>v1pE8pYjZd</t>
        </is>
      </c>
      <c r="J34" s="3" t="n">
        <f>IFERROR(SUMIFS(RENT_DUE!$L$2:$L$10000, RENT_DUE!$B$2:$B$10000, "LEASE-KH-F-2024", RENT_DUE!$D$2:$D$10000, "&lt;"&amp;DATE(2025,6,22)), 0) - IFERROR(SUMIFS(RENT_RECEIVED!$O$2:$O$10000, RENT_RECEIVED!$B$2:$B$10000, "LEASE-KH-F-2024", RENT_RECEIVED!$E$2:$E$10000, "&lt;"&amp;DATE(2025,6,22)), 0)</f>
        <v>0.0</v>
      </c>
      <c r="K34" s="3" t="n">
        <f>G34 - H34</f>
        <v>0.0</v>
      </c>
      <c r="L34" s="3" t="n">
        <f>J34 + K34</f>
        <v>0.0</v>
      </c>
      <c r="M34" s="3" t="n">
        <f>H34 * 0.1000</f>
        <v>0.0</v>
      </c>
      <c r="N34" s="3" t="n">
        <f>H34 * 0.0000</f>
        <v>0.0</v>
      </c>
      <c r="O34" s="3" t="n">
        <f>ABS(M34 + N34)</f>
        <v>0.0</v>
      </c>
      <c r="P34" t="inlineStr">
        <is>
          <t/>
        </is>
      </c>
      <c r="Q34" s="3" t="n">
        <f>SUMIFS(EXPENSES!E:E, EXPENSES!B:B, "LEASE-KH-F-2024", EXPENSES!D:D, "&gt;="&amp;DATE(2025,6,22), EXPENSES!D:D, "&lt;="&amp;DATE(2025,7,21))</f>
        <v>0.0</v>
      </c>
      <c r="R34" t="inlineStr">
        <is>
          <t/>
        </is>
      </c>
      <c r="S34" s="3" t="n">
        <f>H34 - O34 - Q34</f>
        <v>0.0</v>
      </c>
      <c r="T34" t="inlineStr">
        <is>
          <t/>
        </is>
      </c>
      <c r="U34" t="inlineStr">
        <is>
          <t/>
        </is>
      </c>
      <c r="V34" t="inlineStr">
        <is>
          <t/>
        </is>
      </c>
      <c r="W34" t="inlineStr">
        <is>
          <t/>
        </is>
      </c>
      <c r="X34" t="inlineStr">
        <is>
          <t/>
        </is>
      </c>
      <c r="Y34" s="3" t="n">
        <v>12150.0</v>
      </c>
      <c r="Z34" s="3" t="n">
        <f>S34-Y34</f>
        <v>0.0</v>
      </c>
      <c r="AA34" t="inlineStr">
        <is>
          <t>PAID</t>
        </is>
      </c>
      <c r="AB34" t="inlineStr">
        <is>
          <t>MULTIPLE</t>
        </is>
      </c>
      <c r="AC34" s="2" t="n">
        <v>45982.0</v>
      </c>
    </row>
    <row r="35">
      <c r="A35" t="inlineStr">
        <is>
          <t>BODEN-BLOCK-2025</t>
        </is>
      </c>
      <c r="B35" t="inlineStr">
        <is>
          <t>Boden House Block - Block Property</t>
        </is>
      </c>
      <c r="C35" t="inlineStr">
        <is>
          <t>Achal (Delegated for Udayan)</t>
        </is>
      </c>
      <c r="D35" t="inlineStr">
        <is>
          <t>Prestvale Properties Limited</t>
        </is>
      </c>
      <c r="E35" s="2" t="n">
        <v>45717.0</v>
      </c>
      <c r="F35" t="n">
        <v>1.0</v>
      </c>
      <c r="G35" s="3" t="n">
        <f>IFERROR(SUMPRODUCT((RENT_DUE!$B$2:$B$1000="BODEN-BLOCK-2025")*(RENT_DUE!$D$2:$D$1000&gt;=DATE(2025,6,22))*(RENT_DUE!$D$2:$D$1000&lt;=DATE(2025,7,21))*RENT_DUE!$L$2:$L$1000), 0)</f>
        <v>0.0</v>
      </c>
      <c r="H35" s="3" t="n">
        <f>IFERROR(SUMPRODUCT((RENT_RECEIVED!$B$2:$B$1000="BODEN-BLOCK-2025")*(RENT_RECEIVED!$E$2:$E$1000&gt;=DATE(2025,6,22))*(RENT_RECEIVED!$E$2:$E$1000&lt;=DATE(2025,7,21))*RENT_RECEIVED!$O$2:$O$1000), 0)</f>
        <v>0.0</v>
      </c>
      <c r="I35" t="inlineStr">
        <is>
          <t/>
        </is>
      </c>
      <c r="J35" s="3" t="n">
        <f>IFERROR(SUMIFS(RENT_DUE!$L$2:$L$10000, RENT_DUE!$B$2:$B$10000, "BODEN-BLOCK-2025", RENT_DUE!$D$2:$D$10000, "&lt;"&amp;DATE(2025,6,22)), 0) - IFERROR(SUMIFS(RENT_RECEIVED!$O$2:$O$10000, RENT_RECEIVED!$B$2:$B$10000, "BODEN-BLOCK-2025", RENT_RECEIVED!$E$2:$E$10000, "&lt;"&amp;DATE(2025,6,22)), 0)</f>
        <v>0.0</v>
      </c>
      <c r="K35" s="3" t="n">
        <f>G35 - H35</f>
        <v>0.0</v>
      </c>
      <c r="L35" s="3" t="n">
        <f>J35 + K35</f>
        <v>0.0</v>
      </c>
      <c r="M35" s="3" t="n">
        <f>H35 * 0.0000</f>
        <v>0.0</v>
      </c>
      <c r="N35" s="3" t="n">
        <f>H35 * 0.0500</f>
        <v>0.0</v>
      </c>
      <c r="O35" s="3" t="n">
        <f>ABS(M35 + N35)</f>
        <v>0.0</v>
      </c>
      <c r="P35" t="inlineStr">
        <is>
          <t/>
        </is>
      </c>
      <c r="Q35" s="3" t="n">
        <f>SUMIFS(EXPENSES!E:E, EXPENSES!B:B, "BODEN-BLOCK-2025", EXPENSES!D:D, "&gt;="&amp;DATE(2025,6,22), EXPENSES!D:D, "&lt;="&amp;DATE(2025,7,21))</f>
        <v>0.0</v>
      </c>
      <c r="R35" t="inlineStr">
        <is>
          <t>HIST-2025-07-1591</t>
        </is>
      </c>
      <c r="S35" s="3" t="n">
        <f>H35 - O35 - Q35</f>
        <v>0.0</v>
      </c>
      <c r="T35" t="inlineStr">
        <is>
          <t>Boden House NG10</t>
        </is>
      </c>
      <c r="U35" s="3" t="n">
        <f>IFERROR(SUMIFS(PROPERTY_ACCOUNT!D:D, PROPERTY_ACCOUNT!A:A, T35, PROPERTY_ACCOUNT!B:B, "opening"), 0)</f>
        <v>0.0</v>
      </c>
      <c r="V35" s="3" t="n">
        <f>IFERROR(SUMIFS(PROPERTY_ACCOUNT!D:D, PROPERTY_ACCOUNT!A:A, T35, PROPERTY_ACCOUNT!B:B, "in"), 0)</f>
        <v>0.0</v>
      </c>
      <c r="W35" s="3" t="n">
        <f>IFERROR(SUMIFS(PROPERTY_ACCOUNT!D:D, PROPERTY_ACCOUNT!A:A, T35, PROPERTY_ACCOUNT!B:B, "out"), 0)</f>
        <v>0.0</v>
      </c>
      <c r="X35" s="3" t="n">
        <f>U35 + V35 - W35</f>
        <v>0.0</v>
      </c>
      <c r="Y35" s="3" t="n">
        <v>0.0</v>
      </c>
      <c r="Z35" s="3" t="n">
        <f>S35-Y35</f>
        <v>0.0</v>
      </c>
      <c r="AA35" t="inlineStr">
        <is>
          <t>PAID</t>
        </is>
      </c>
      <c r="AB35" t="inlineStr">
        <is>
          <t>MULTIPLE</t>
        </is>
      </c>
      <c r="AC35" s="2" t="n">
        <v>45993.0</v>
      </c>
    </row>
    <row r="36">
      <c r="A36" s="5" t="inlineStr">
        <is>
          <t>TOTALS</t>
        </is>
      </c>
      <c r="G36" s="6" t="n">
        <f>SUM(G2:G35)</f>
        <v>0.0</v>
      </c>
      <c r="H36" s="6" t="n">
        <f>SUM(H2:H35)</f>
        <v>0.0</v>
      </c>
      <c r="I36" t="inlineStr">
        <is>
          <t/>
        </is>
      </c>
      <c r="J36" s="6" t="n">
        <f>SUM(J2:J35)</f>
        <v>0.0</v>
      </c>
      <c r="K36" s="6" t="n">
        <f>SUM(K2:K35)</f>
        <v>0.0</v>
      </c>
      <c r="L36" s="6" t="n">
        <f>SUM(L2:L35)</f>
        <v>0.0</v>
      </c>
      <c r="M36" s="6" t="n">
        <f>SUM(M2:M35)</f>
        <v>0.0</v>
      </c>
      <c r="N36" s="6" t="n">
        <f>SUM(N2:N35)</f>
        <v>0.0</v>
      </c>
      <c r="O36" s="6" t="n">
        <f>SUM(O2:O35)</f>
        <v>0.0</v>
      </c>
      <c r="P36" t="inlineStr">
        <is>
          <t/>
        </is>
      </c>
      <c r="Q36" s="6" t="n">
        <f>SUM(Q2:Q35)</f>
        <v>0.0</v>
      </c>
      <c r="R36" t="inlineStr">
        <is>
          <t/>
        </is>
      </c>
      <c r="S36" s="6" t="n">
        <f>SUM(S2:S35)</f>
        <v>0.0</v>
      </c>
      <c r="T36" t="inlineStr">
        <is>
          <t/>
        </is>
      </c>
      <c r="U36" s="6" t="n">
        <f>SUM(U2:U35)</f>
        <v>0.0</v>
      </c>
      <c r="V36" s="6" t="n">
        <f>SUM(V2:V35)</f>
        <v>0.0</v>
      </c>
      <c r="W36" s="6" t="n">
        <f>SUM(W2:W35)</f>
        <v>0.0</v>
      </c>
      <c r="X36" s="6" t="n">
        <f>SUM(X2:X35)</f>
        <v>0.0</v>
      </c>
    </row>
    <row r="38">
      <c r="A38" s="5" t="inlineStr">
        <is>
          <t>PAYMENT RECONCILIATION</t>
        </is>
      </c>
    </row>
    <row r="39">
      <c r="A39" t="inlineStr">
        <is>
          <t>Period: 2025-06-22 to 2025-07-21</t>
        </is>
      </c>
    </row>
    <row r="41">
      <c r="A41" s="5" t="inlineStr">
        <is>
          <t>BROUGHT FORWARD (items from prior periods paid this period)</t>
        </is>
      </c>
    </row>
    <row r="42">
      <c r="A42" t="inlineStr">
        <is>
          <t xml:space="preserve">  Prior Period Income:</t>
        </is>
      </c>
    </row>
    <row r="43">
      <c r="A43" t="inlineStr">
        <is>
          <t xml:space="preserve">    2025-06-04 | Flat 1 - 3 West Gate | rent</t>
        </is>
      </c>
      <c r="B43" s="3" t="n">
        <v>516.65</v>
      </c>
    </row>
    <row r="44">
      <c r="A44" t="inlineStr">
        <is>
          <t xml:space="preserve">    2025-06-04 | Flat 8 - 3 West Gate | rent</t>
        </is>
      </c>
      <c r="B44" s="3" t="n">
        <v>573.75</v>
      </c>
    </row>
    <row r="45">
      <c r="A45" t="inlineStr">
        <is>
          <t xml:space="preserve">    2025-06-05 | Flat 10 - 3 West Gate | rent</t>
        </is>
      </c>
      <c r="B45" s="3" t="n">
        <v>624.75</v>
      </c>
    </row>
    <row r="46">
      <c r="A46" t="inlineStr">
        <is>
          <t xml:space="preserve">    2025-06-06 | Flat 13 - 3 West Gate | rent</t>
        </is>
      </c>
      <c r="B46" s="3" t="n">
        <v>680.0</v>
      </c>
    </row>
    <row r="47">
      <c r="A47" t="inlineStr">
        <is>
          <t xml:space="preserve">    2025-06-10 | Flat 30 - 3 West Gate | rent</t>
        </is>
      </c>
      <c r="B47" s="3" t="n">
        <v>629.0</v>
      </c>
    </row>
    <row r="48">
      <c r="A48" t="inlineStr">
        <is>
          <t xml:space="preserve">    2025-06-12 | Flat 16 - 3 West Gate | rent</t>
        </is>
      </c>
      <c r="B48" s="3" t="n">
        <v>629.0</v>
      </c>
    </row>
    <row r="49">
      <c r="A49" t="inlineStr">
        <is>
          <t xml:space="preserve">    2025-06-13 | Flat 18 - 3 West Gate | rent</t>
        </is>
      </c>
      <c r="B49" s="3" t="n">
        <v>675.75</v>
      </c>
    </row>
    <row r="50">
      <c r="A50" t="inlineStr">
        <is>
          <t xml:space="preserve">    2025-06-15 | Flat 21 - 3 West Gate | rent</t>
        </is>
      </c>
      <c r="B50" s="3" t="n">
        <v>675.75</v>
      </c>
    </row>
    <row r="51">
      <c r="A51" t="inlineStr">
        <is>
          <t xml:space="preserve">    2025-06-16 | Flat 3 - 3 West Gate | rent</t>
        </is>
      </c>
      <c r="B51" s="3" t="n">
        <v>629.0</v>
      </c>
    </row>
    <row r="52">
      <c r="A52" t="inlineStr">
        <is>
          <t xml:space="preserve">    2025-05-28 | Flat 26 - 3 West Gate | rent</t>
        </is>
      </c>
      <c r="B52" s="3" t="n">
        <v>370.63</v>
      </c>
    </row>
    <row r="53">
      <c r="A53" t="inlineStr">
        <is>
          <t xml:space="preserve">    2025-05-29 | Flat 28 - 3 West Gate | rent</t>
        </is>
      </c>
      <c r="B53" s="3" t="n">
        <v>629.0</v>
      </c>
    </row>
    <row r="54">
      <c r="A54" t="inlineStr">
        <is>
          <t xml:space="preserve">    2025-06-01 | Flat 11 - 3 West Gate | rent</t>
        </is>
      </c>
      <c r="B54" s="3" t="n">
        <v>675.75</v>
      </c>
    </row>
    <row r="55">
      <c r="A55" t="inlineStr">
        <is>
          <t xml:space="preserve">    2025-06-02 | Flat 2 - 3 West Gate | rent</t>
        </is>
      </c>
      <c r="B55" s="3" t="n">
        <v>629.0</v>
      </c>
    </row>
    <row r="56">
      <c r="A56" t="inlineStr">
        <is>
          <t xml:space="preserve">    2025-06-02 | Flat 20 - 3 West Gate | rent</t>
        </is>
      </c>
      <c r="B56" s="3" t="n">
        <v>595.0</v>
      </c>
    </row>
    <row r="57">
      <c r="A57" t="inlineStr">
        <is>
          <t xml:space="preserve">    2025-06-02 | Flat 27 - 3 West Gate | rent</t>
        </is>
      </c>
      <c r="B57" s="3" t="n">
        <v>595.0</v>
      </c>
    </row>
    <row r="58">
      <c r="A58" t="inlineStr">
        <is>
          <t xml:space="preserve">    2025-06-02 | Flat 29 - 3 West Gate | rent</t>
        </is>
      </c>
      <c r="B58" s="3" t="n">
        <v>629.0</v>
      </c>
    </row>
    <row r="59">
      <c r="A59" t="inlineStr">
        <is>
          <t xml:space="preserve">    2025-06-02 | Flat 9 - 3 West Gate | rent</t>
        </is>
      </c>
      <c r="B59" s="3" t="n">
        <v>595.0</v>
      </c>
    </row>
    <row r="60">
      <c r="A60" t="inlineStr">
        <is>
          <t xml:space="preserve">    2025-06-03 | Flat 19 - 3 West Gate | rent</t>
        </is>
      </c>
      <c r="B60" s="3" t="n">
        <v>629.0</v>
      </c>
    </row>
    <row r="61">
      <c r="A61" t="inlineStr">
        <is>
          <t xml:space="preserve">    2025-06-03 | Flat 4 - 3 West Gate | rent</t>
        </is>
      </c>
      <c r="B61" s="3" t="n">
        <v>726.75</v>
      </c>
    </row>
    <row r="62">
      <c r="A62" t="inlineStr">
        <is>
          <t xml:space="preserve">    2025-06-04 | Flat 1 - 3 West Gate | rent</t>
        </is>
      </c>
      <c r="B62" s="3" t="n">
        <v>159.1</v>
      </c>
    </row>
    <row r="63">
      <c r="A63" s="5" t="inlineStr">
        <is>
          <t xml:space="preserve">  Prior Period Income Total (20 items):</t>
        </is>
      </c>
      <c r="B63" s="6" t="n">
        <v>11866.88</v>
      </c>
    </row>
    <row r="64">
      <c r="A64" t="inlineStr">
        <is>
          <t xml:space="preserve">  Prior Period Expenses: None</t>
        </is>
      </c>
    </row>
    <row r="65">
      <c r="A65" s="5" t="inlineStr">
        <is>
          <t xml:space="preserve">  NET B/F (Income - Expenses):</t>
        </is>
      </c>
      <c r="B65" s="6" t="n">
        <v>11866.88</v>
      </c>
    </row>
    <row r="67">
      <c r="A67" s="5" t="inlineStr">
        <is>
          <t>THIS PERIOD ACTIVITY (see transactions above for details)</t>
        </is>
      </c>
    </row>
    <row r="68">
      <c r="A68" t="inlineStr">
        <is>
          <t xml:space="preserve">  Period Income (20 transactions)</t>
        </is>
      </c>
      <c r="B68" s="3" t="n">
        <v>12630.66</v>
      </c>
    </row>
    <row r="69">
      <c r="A69" t="inlineStr">
        <is>
          <t xml:space="preserve">  Period Expenses (1 transactions)</t>
        </is>
      </c>
      <c r="B69" s="3" t="n">
        <v>265.0</v>
      </c>
    </row>
    <row r="70">
      <c r="A70" s="5" t="inlineStr">
        <is>
          <t xml:space="preserve">  Net Activity (Income - Expenses):</t>
        </is>
      </c>
      <c r="B70" s="6" t="n">
        <v>12365.66</v>
      </c>
    </row>
    <row r="72">
      <c r="A72" s="5" t="inlineStr">
        <is>
          <t>PAYMENTS MADE THIS PERIOD</t>
        </is>
      </c>
    </row>
    <row r="73">
      <c r="A73" t="inlineStr">
        <is>
          <t xml:space="preserve">  v1pE8pYjZd (2025-06-23)</t>
        </is>
      </c>
      <c r="B73" s="6" t="n">
        <v>1012.5</v>
      </c>
    </row>
    <row r="74">
      <c r="A74" t="inlineStr">
        <is>
          <t xml:space="preserve">    Covers: 1 income (£1012.50) = £1012.50</t>
        </is>
      </c>
    </row>
    <row r="75">
      <c r="A75" t="inlineStr">
        <is>
          <t xml:space="preserve">  zJBjND23JQ (2025-06-23)</t>
        </is>
      </c>
      <c r="B75" s="6" t="n">
        <v>2507.5</v>
      </c>
    </row>
    <row r="76">
      <c r="A76" t="inlineStr">
        <is>
          <t xml:space="preserve">    Covers: 4 income (£2507.50) = £2507.50</t>
        </is>
      </c>
    </row>
    <row r="77">
      <c r="A77" t="inlineStr">
        <is>
          <t xml:space="preserve">  HIST-2025-07-1591 (2025-07-08)</t>
        </is>
      </c>
      <c r="B77" s="6" t="n">
        <v>14479.31</v>
      </c>
    </row>
    <row r="78">
      <c r="A78" t="inlineStr">
        <is>
          <t xml:space="preserve">    Covers: 24 income (£14744.31) - 1 expenses (£265.00) = £14479.31</t>
        </is>
      </c>
    </row>
    <row r="79">
      <c r="A79" t="inlineStr">
        <is>
          <t xml:space="preserve">  HIST-2025-07-1603 (2025-07-08)</t>
        </is>
      </c>
      <c r="B79" s="6" t="n">
        <v>6233.23</v>
      </c>
    </row>
    <row r="80">
      <c r="A80" t="inlineStr">
        <is>
          <t xml:space="preserve">    Covers: 11 income (£6233.23) = £6233.23</t>
        </is>
      </c>
    </row>
    <row r="81">
      <c r="A81" s="5" t="inlineStr">
        <is>
          <t xml:space="preserve">  Total Payments Made:</t>
        </is>
      </c>
      <c r="B81" s="6" t="n">
        <v>24232.54</v>
      </c>
    </row>
    <row r="82">
      <c r="A82" t="inlineStr">
        <is>
          <t xml:space="preserve">  (See PAYMENT_ALLOCATIONS sheet for full details)</t>
        </is>
      </c>
    </row>
    <row r="84">
      <c r="A84" s="5" t="inlineStr">
        <is>
          <t>SUMMARY</t>
        </is>
      </c>
    </row>
    <row r="85">
      <c r="A85" t="inlineStr">
        <is>
          <t xml:space="preserve">  Total Allocated (Income - Expenses):</t>
        </is>
      </c>
      <c r="B85" s="3" t="n">
        <v>24232.54</v>
      </c>
    </row>
    <row r="86">
      <c r="A86" t="inlineStr">
        <is>
          <t xml:space="preserve">  Total Payments Made:</t>
        </is>
      </c>
      <c r="B86" s="3" t="n">
        <v>24232.54</v>
      </c>
    </row>
    <row r="87">
      <c r="A87" t="inlineStr">
        <is>
          <t xml:space="preserve">  Unallocated Payment Amounts:</t>
        </is>
      </c>
      <c r="B87" s="3" t="n">
        <v>0.0</v>
      </c>
    </row>
    <row r="89">
      <c r="A89" t="inlineStr">
        <is>
          <t>Check: Allocated 24232.54 + Unallocated 0.00 = 24232.54 vs Payments 24232.54</t>
        </is>
      </c>
    </row>
  </sheetData>
  <pageMargins bottom="0.75" footer="0.3" header="0.3" left="0.7" right="0.7" top="0.75"/>
</worksheet>
</file>

<file path=xl/worksheets/sheet14.xml><?xml version="1.0" encoding="utf-8"?>
<worksheet xmlns="http://schemas.openxmlformats.org/spreadsheetml/2006/main">
  <dimension ref="A1:AC67"/>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IFERROR(SUMPRODUCT((RENT_DUE!$B$2:$B$1000="LEASE-BH-F1-2025")*(RENT_DUE!$D$2:$D$1000&gt;=DATE(2025,7,22))*(RENT_DUE!$D$2:$D$1000&lt;=DATE(2025,8,21))*RENT_DUE!$L$2:$L$1000), 0)</f>
        <v>0.0</v>
      </c>
      <c r="H2" s="3" t="n">
        <f>IFERROR(SUMPRODUCT((RENT_RECEIVED!$B$2:$B$1000="LEASE-BH-F1-2025")*(RENT_RECEIVED!$E$2:$E$1000&gt;=DATE(2025,7,22))*(RENT_RECEIVED!$E$2:$E$1000&lt;=DATE(2025,8,21))*RENT_RECEIVED!$O$2:$O$1000), 0)</f>
        <v>0.0</v>
      </c>
      <c r="I2" t="inlineStr">
        <is>
          <t>HIST-2025-10-1650</t>
        </is>
      </c>
      <c r="J2" s="3" t="n">
        <f>IFERROR(SUMIFS(RENT_DUE!$L$2:$L$10000, RENT_DUE!$B$2:$B$10000, "LEASE-BH-F1-2025", RENT_DUE!$D$2:$D$10000, "&lt;"&amp;DATE(2025,7,22)), 0) - IFERROR(SUMIFS(RENT_RECEIVED!$O$2:$O$10000, RENT_RECEIVED!$B$2:$B$10000, "LEASE-BH-F1-2025", RENT_RECEIVED!$E$2:$E$10000, "&lt;"&amp;DATE(2025,7,22)), 0)</f>
        <v>0.0</v>
      </c>
      <c r="K2" s="3" t="n">
        <f>G2 - H2</f>
        <v>0.0</v>
      </c>
      <c r="L2" s="3" t="n">
        <f>J2 + K2</f>
        <v>0.0</v>
      </c>
      <c r="M2" s="3" t="n">
        <f>H2 * 0.1500</f>
        <v>0.0</v>
      </c>
      <c r="N2" s="3" t="n">
        <f>H2 * 0.0000</f>
        <v>0.0</v>
      </c>
      <c r="O2" s="3" t="n">
        <f>ABS(M2 + N2)</f>
        <v>0.0</v>
      </c>
      <c r="P2" t="inlineStr">
        <is>
          <t/>
        </is>
      </c>
      <c r="Q2" s="3" t="n">
        <f>SUMIFS(EXPENSES!E:E, EXPENSES!B:B, "LEASE-BH-F1-2025", EXPENSES!D:D, "&gt;="&amp;DATE(2025,7,22), EXPENSES!D:D, "&lt;="&amp;DATE(2025,8,21))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IFERROR(SUMPRODUCT((RENT_DUE!$B$2:$B$1000="LEASE-BH-F2-2025")*(RENT_DUE!$D$2:$D$1000&gt;=DATE(2025,7,22))*(RENT_DUE!$D$2:$D$1000&lt;=DATE(2025,8,21))*RENT_DUE!$L$2:$L$1000), 0)</f>
        <v>0.0</v>
      </c>
      <c r="H3" s="3" t="n">
        <f>IFERROR(SUMPRODUCT((RENT_RECEIVED!$B$2:$B$1000="LEASE-BH-F2-2025")*(RENT_RECEIVED!$E$2:$E$1000&gt;=DATE(2025,7,22))*(RENT_RECEIVED!$E$2:$E$1000&lt;=DATE(2025,8,21))*RENT_RECEIVED!$O$2:$O$1000), 0)</f>
        <v>0.0</v>
      </c>
      <c r="I3" t="inlineStr">
        <is>
          <t>HIST-2025-10-1650</t>
        </is>
      </c>
      <c r="J3" s="3" t="n">
        <f>IFERROR(SUMIFS(RENT_DUE!$L$2:$L$10000, RENT_DUE!$B$2:$B$10000, "LEASE-BH-F2-2025", RENT_DUE!$D$2:$D$10000, "&lt;"&amp;DATE(2025,7,22)), 0) - IFERROR(SUMIFS(RENT_RECEIVED!$O$2:$O$10000, RENT_RECEIVED!$B$2:$B$10000, "LEASE-BH-F2-2025", RENT_RECEIVED!$E$2:$E$10000, "&lt;"&amp;DATE(2025,7,22)), 0)</f>
        <v>0.0</v>
      </c>
      <c r="K3" s="3" t="n">
        <f>G3 - H3</f>
        <v>0.0</v>
      </c>
      <c r="L3" s="3" t="n">
        <f>J3 + K3</f>
        <v>0.0</v>
      </c>
      <c r="M3" s="3" t="n">
        <f>H3 * 0.1500</f>
        <v>0.0</v>
      </c>
      <c r="N3" s="3" t="n">
        <f>H3 * 0.0000</f>
        <v>0.0</v>
      </c>
      <c r="O3" s="3" t="n">
        <f>ABS(M3 + N3)</f>
        <v>0.0</v>
      </c>
      <c r="P3" t="inlineStr">
        <is>
          <t/>
        </is>
      </c>
      <c r="Q3" s="3" t="n">
        <f>SUMIFS(EXPENSES!E:E, EXPENSES!B:B, "LEASE-BH-F2-2025", EXPENSES!D:D, "&gt;="&amp;DATE(2025,7,22), EXPENSES!D:D, "&lt;="&amp;DATE(2025,8,21))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IFERROR(SUMPRODUCT((RENT_DUE!$B$2:$B$1000="LEASE-BH-F3-2025")*(RENT_DUE!$D$2:$D$1000&gt;=DATE(2025,7,22))*(RENT_DUE!$D$2:$D$1000&lt;=DATE(2025,8,21))*RENT_DUE!$L$2:$L$1000), 0)</f>
        <v>0.0</v>
      </c>
      <c r="H4" s="3" t="n">
        <f>IFERROR(SUMPRODUCT((RENT_RECEIVED!$B$2:$B$1000="LEASE-BH-F3-2025")*(RENT_RECEIVED!$E$2:$E$1000&gt;=DATE(2025,7,22))*(RENT_RECEIVED!$E$2:$E$1000&lt;=DATE(2025,8,21))*RENT_RECEIVED!$O$2:$O$1000), 0)</f>
        <v>0.0</v>
      </c>
      <c r="I4" t="inlineStr">
        <is>
          <t>HIST-2025-10-1650</t>
        </is>
      </c>
      <c r="J4" s="3" t="n">
        <f>IFERROR(SUMIFS(RENT_DUE!$L$2:$L$10000, RENT_DUE!$B$2:$B$10000, "LEASE-BH-F3-2025", RENT_DUE!$D$2:$D$10000, "&lt;"&amp;DATE(2025,7,22)), 0) - IFERROR(SUMIFS(RENT_RECEIVED!$O$2:$O$10000, RENT_RECEIVED!$B$2:$B$10000, "LEASE-BH-F3-2025", RENT_RECEIVED!$E$2:$E$10000, "&lt;"&amp;DATE(2025,7,22)), 0)</f>
        <v>0.0</v>
      </c>
      <c r="K4" s="3" t="n">
        <f>G4 - H4</f>
        <v>0.0</v>
      </c>
      <c r="L4" s="3" t="n">
        <f>J4 + K4</f>
        <v>0.0</v>
      </c>
      <c r="M4" s="3" t="n">
        <f>H4 * 0.1500</f>
        <v>0.0</v>
      </c>
      <c r="N4" s="3" t="n">
        <f>H4 * 0.0000</f>
        <v>0.0</v>
      </c>
      <c r="O4" s="3" t="n">
        <f>ABS(M4 + N4)</f>
        <v>0.0</v>
      </c>
      <c r="P4" t="inlineStr">
        <is>
          <t/>
        </is>
      </c>
      <c r="Q4" s="3" t="n">
        <f>SUMIFS(EXPENSES!E:E, EXPENSES!B:B, "LEASE-BH-F3-2025", EXPENSES!D:D, "&gt;="&amp;DATE(2025,7,22), EXPENSES!D:D, "&lt;="&amp;DATE(2025,8,21))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IFERROR(SUMPRODUCT((RENT_DUE!$B$2:$B$1000="LEASE-BH-F4-2025")*(RENT_DUE!$D$2:$D$1000&gt;=DATE(2025,7,22))*(RENT_DUE!$D$2:$D$1000&lt;=DATE(2025,8,21))*RENT_DUE!$L$2:$L$1000), 0)</f>
        <v>0.0</v>
      </c>
      <c r="H5" s="3" t="n">
        <f>IFERROR(SUMPRODUCT((RENT_RECEIVED!$B$2:$B$1000="LEASE-BH-F4-2025")*(RENT_RECEIVED!$E$2:$E$1000&gt;=DATE(2025,7,22))*(RENT_RECEIVED!$E$2:$E$1000&lt;=DATE(2025,8,21))*RENT_RECEIVED!$O$2:$O$1000), 0)</f>
        <v>0.0</v>
      </c>
      <c r="I5" t="inlineStr">
        <is>
          <t>e1a2e4QVZE, LJMK7Oyo1q</t>
        </is>
      </c>
      <c r="J5" s="3" t="n">
        <f>IFERROR(SUMIFS(RENT_DUE!$L$2:$L$10000, RENT_DUE!$B$2:$B$10000, "LEASE-BH-F4-2025", RENT_DUE!$D$2:$D$10000, "&lt;"&amp;DATE(2025,7,22)), 0) - IFERROR(SUMIFS(RENT_RECEIVED!$O$2:$O$10000, RENT_RECEIVED!$B$2:$B$10000, "LEASE-BH-F4-2025", RENT_RECEIVED!$E$2:$E$10000, "&lt;"&amp;DATE(2025,7,22)), 0)</f>
        <v>0.0</v>
      </c>
      <c r="K5" s="3" t="n">
        <f>G5 - H5</f>
        <v>0.0</v>
      </c>
      <c r="L5" s="3" t="n">
        <f>J5 + K5</f>
        <v>0.0</v>
      </c>
      <c r="M5" s="3" t="n">
        <f>H5 * 0.1500</f>
        <v>0.0</v>
      </c>
      <c r="N5" s="3" t="n">
        <f>H5 * 0.0000</f>
        <v>0.0</v>
      </c>
      <c r="O5" s="3" t="n">
        <f>ABS(M5 + N5)</f>
        <v>0.0</v>
      </c>
      <c r="P5" t="inlineStr">
        <is>
          <t/>
        </is>
      </c>
      <c r="Q5" s="3" t="n">
        <f>SUMIFS(EXPENSES!E:E, EXPENSES!B:B, "LEASE-BH-F4-2025", EXPENSES!D:D, "&gt;="&amp;DATE(2025,7,22), EXPENSES!D:D, "&lt;="&amp;DATE(2025,8,21))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IFERROR(SUMPRODUCT((RENT_DUE!$B$2:$B$1000="LEASE-BH-F5-2025")*(RENT_DUE!$D$2:$D$1000&gt;=DATE(2025,7,22))*(RENT_DUE!$D$2:$D$1000&lt;=DATE(2025,8,21))*RENT_DUE!$L$2:$L$1000), 0)</f>
        <v>0.0</v>
      </c>
      <c r="H6" s="3" t="n">
        <f>IFERROR(SUMPRODUCT((RENT_RECEIVED!$B$2:$B$1000="LEASE-BH-F5-2025")*(RENT_RECEIVED!$E$2:$E$1000&gt;=DATE(2025,7,22))*(RENT_RECEIVED!$E$2:$E$1000&lt;=DATE(2025,8,21))*RENT_RECEIVED!$O$2:$O$1000), 0)</f>
        <v>0.0</v>
      </c>
      <c r="I6" t="inlineStr">
        <is>
          <t>e1a2e4QVZE</t>
        </is>
      </c>
      <c r="J6" s="3" t="n">
        <f>IFERROR(SUMIFS(RENT_DUE!$L$2:$L$10000, RENT_DUE!$B$2:$B$10000, "LEASE-BH-F5-2025", RENT_DUE!$D$2:$D$10000, "&lt;"&amp;DATE(2025,7,22)), 0) - IFERROR(SUMIFS(RENT_RECEIVED!$O$2:$O$10000, RENT_RECEIVED!$B$2:$B$10000, "LEASE-BH-F5-2025", RENT_RECEIVED!$E$2:$E$10000, "&lt;"&amp;DATE(2025,7,22)), 0)</f>
        <v>0.0</v>
      </c>
      <c r="K6" s="3" t="n">
        <f>G6 - H6</f>
        <v>0.0</v>
      </c>
      <c r="L6" s="3" t="n">
        <f>J6 + K6</f>
        <v>0.0</v>
      </c>
      <c r="M6" s="3" t="n">
        <f>H6 * 0.1500</f>
        <v>0.0</v>
      </c>
      <c r="N6" s="3" t="n">
        <f>H6 * 0.0000</f>
        <v>0.0</v>
      </c>
      <c r="O6" s="3" t="n">
        <f>ABS(M6 + N6)</f>
        <v>0.0</v>
      </c>
      <c r="P6" t="inlineStr">
        <is>
          <t/>
        </is>
      </c>
      <c r="Q6" s="3" t="n">
        <f>SUMIFS(EXPENSES!E:E, EXPENSES!B:B, "LEASE-BH-F5-2025", EXPENSES!D:D, "&gt;="&amp;DATE(2025,7,22), EXPENSES!D:D, "&lt;="&amp;DATE(2025,8,21))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IFERROR(SUMPRODUCT((RENT_DUE!$B$2:$B$1000="LEASE-BH-F6-2025")*(RENT_DUE!$D$2:$D$1000&gt;=DATE(2025,7,22))*(RENT_DUE!$D$2:$D$1000&lt;=DATE(2025,8,21))*RENT_DUE!$L$2:$L$1000), 0)</f>
        <v>0.0</v>
      </c>
      <c r="H7" s="3" t="n">
        <f>IFERROR(SUMPRODUCT((RENT_RECEIVED!$B$2:$B$1000="LEASE-BH-F6-2025")*(RENT_RECEIVED!$E$2:$E$1000&gt;=DATE(2025,7,22))*(RENT_RECEIVED!$E$2:$E$1000&lt;=DATE(2025,8,21))*RENT_RECEIVED!$O$2:$O$1000), 0)</f>
        <v>0.0</v>
      </c>
      <c r="I7" t="inlineStr">
        <is>
          <t>e1a2e4QVZE, LJMK7Oyo1q</t>
        </is>
      </c>
      <c r="J7" s="3" t="n">
        <f>IFERROR(SUMIFS(RENT_DUE!$L$2:$L$10000, RENT_DUE!$B$2:$B$10000, "LEASE-BH-F6-2025", RENT_DUE!$D$2:$D$10000, "&lt;"&amp;DATE(2025,7,22)), 0) - IFERROR(SUMIFS(RENT_RECEIVED!$O$2:$O$10000, RENT_RECEIVED!$B$2:$B$10000, "LEASE-BH-F6-2025", RENT_RECEIVED!$E$2:$E$10000, "&lt;"&amp;DATE(2025,7,22)), 0)</f>
        <v>0.0</v>
      </c>
      <c r="K7" s="3" t="n">
        <f>G7 - H7</f>
        <v>0.0</v>
      </c>
      <c r="L7" s="3" t="n">
        <f>J7 + K7</f>
        <v>0.0</v>
      </c>
      <c r="M7" s="3" t="n">
        <f>H7 * 0.1500</f>
        <v>0.0</v>
      </c>
      <c r="N7" s="3" t="n">
        <f>H7 * 0.0000</f>
        <v>0.0</v>
      </c>
      <c r="O7" s="3" t="n">
        <f>ABS(M7 + N7)</f>
        <v>0.0</v>
      </c>
      <c r="P7" t="inlineStr">
        <is>
          <t/>
        </is>
      </c>
      <c r="Q7" s="3" t="n">
        <f>SUMIFS(EXPENSES!E:E, EXPENSES!B:B, "LEASE-BH-F6-2025", EXPENSES!D:D, "&gt;="&amp;DATE(2025,7,22), EXPENSES!D:D, "&lt;="&amp;DATE(2025,8,21))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f>IFERROR(SUMPRODUCT((RENT_DUE!$B$2:$B$1000="LEASE-BH-F7-2025")*(RENT_DUE!$D$2:$D$1000&gt;=DATE(2025,7,22))*(RENT_DUE!$D$2:$D$1000&lt;=DATE(2025,8,21))*RENT_DUE!$L$2:$L$1000), 0)</f>
        <v>0.0</v>
      </c>
      <c r="H8" s="3" t="n">
        <f>IFERROR(SUMPRODUCT((RENT_RECEIVED!$B$2:$B$1000="LEASE-BH-F7-2025")*(RENT_RECEIVED!$E$2:$E$1000&gt;=DATE(2025,7,22))*(RENT_RECEIVED!$E$2:$E$1000&lt;=DATE(2025,8,21))*RENT_RECEIVED!$O$2:$O$1000), 0)</f>
        <v>0.0</v>
      </c>
      <c r="I8" t="inlineStr">
        <is>
          <t>e1a2e4QVZE</t>
        </is>
      </c>
      <c r="J8" s="3" t="n">
        <f>IFERROR(SUMIFS(RENT_DUE!$L$2:$L$10000, RENT_DUE!$B$2:$B$10000, "LEASE-BH-F7-2025", RENT_DUE!$D$2:$D$10000, "&lt;"&amp;DATE(2025,7,22)), 0) - IFERROR(SUMIFS(RENT_RECEIVED!$O$2:$O$10000, RENT_RECEIVED!$B$2:$B$10000, "LEASE-BH-F7-2025", RENT_RECEIVED!$E$2:$E$10000, "&lt;"&amp;DATE(2025,7,22)), 0)</f>
        <v>0.0</v>
      </c>
      <c r="K8" s="3" t="n">
        <f>G8 - H8</f>
        <v>0.0</v>
      </c>
      <c r="L8" s="3" t="n">
        <f>J8 + K8</f>
        <v>0.0</v>
      </c>
      <c r="M8" s="3" t="n">
        <f>H8 * 0.1500</f>
        <v>0.0</v>
      </c>
      <c r="N8" s="3" t="n">
        <f>H8 * 0.0000</f>
        <v>0.0</v>
      </c>
      <c r="O8" s="3" t="n">
        <f>ABS(M8 + N8)</f>
        <v>0.0</v>
      </c>
      <c r="P8" t="inlineStr">
        <is>
          <t/>
        </is>
      </c>
      <c r="Q8" s="3" t="n">
        <f>SUMIFS(EXPENSES!E:E, EXPENSES!B:B, "LEASE-BH-F7-2025", EXPENSES!D:D, "&gt;="&amp;DATE(2025,7,22), EXPENSES!D:D, "&lt;="&amp;DATE(2025,8,21))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IFERROR(SUMPRODUCT((RENT_DUE!$B$2:$B$1000="LEASE-BH-F8-2025")*(RENT_DUE!$D$2:$D$1000&gt;=DATE(2025,7,22))*(RENT_DUE!$D$2:$D$1000&lt;=DATE(2025,8,21))*RENT_DUE!$L$2:$L$1000), 0)</f>
        <v>0.0</v>
      </c>
      <c r="H9" s="3" t="n">
        <f>IFERROR(SUMPRODUCT((RENT_RECEIVED!$B$2:$B$1000="LEASE-BH-F8-2025")*(RENT_RECEIVED!$E$2:$E$1000&gt;=DATE(2025,7,22))*(RENT_RECEIVED!$E$2:$E$1000&lt;=DATE(2025,8,21))*RENT_RECEIVED!$O$2:$O$1000), 0)</f>
        <v>0.0</v>
      </c>
      <c r="I9" t="inlineStr">
        <is>
          <t>e1a2e4QVZE, LJMK7Oyo1q</t>
        </is>
      </c>
      <c r="J9" s="3" t="n">
        <f>IFERROR(SUMIFS(RENT_DUE!$L$2:$L$10000, RENT_DUE!$B$2:$B$10000, "LEASE-BH-F8-2025", RENT_DUE!$D$2:$D$10000, "&lt;"&amp;DATE(2025,7,22)), 0) - IFERROR(SUMIFS(RENT_RECEIVED!$O$2:$O$10000, RENT_RECEIVED!$B$2:$B$10000, "LEASE-BH-F8-2025", RENT_RECEIVED!$E$2:$E$10000, "&lt;"&amp;DATE(2025,7,22)), 0)</f>
        <v>0.0</v>
      </c>
      <c r="K9" s="3" t="n">
        <f>G9 - H9</f>
        <v>0.0</v>
      </c>
      <c r="L9" s="3" t="n">
        <f>J9 + K9</f>
        <v>0.0</v>
      </c>
      <c r="M9" s="3" t="n">
        <f>H9 * 0.1500</f>
        <v>0.0</v>
      </c>
      <c r="N9" s="3" t="n">
        <f>H9 * 0.0000</f>
        <v>0.0</v>
      </c>
      <c r="O9" s="3" t="n">
        <f>ABS(M9 + N9)</f>
        <v>0.0</v>
      </c>
      <c r="P9" t="inlineStr">
        <is>
          <t/>
        </is>
      </c>
      <c r="Q9" s="3" t="n">
        <f>SUMIFS(EXPENSES!E:E, EXPENSES!B:B, "LEASE-BH-F8-2025", EXPENSES!D:D, "&gt;="&amp;DATE(2025,7,22), EXPENSES!D:D, "&lt;="&amp;DATE(2025,8,21))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IFERROR(SUMPRODUCT((RENT_DUE!$B$2:$B$1000="LEASE-BH-F9-2025")*(RENT_DUE!$D$2:$D$1000&gt;=DATE(2025,7,22))*(RENT_DUE!$D$2:$D$1000&lt;=DATE(2025,8,21))*RENT_DUE!$L$2:$L$1000), 0)</f>
        <v>0.0</v>
      </c>
      <c r="H10" s="3" t="n">
        <f>IFERROR(SUMPRODUCT((RENT_RECEIVED!$B$2:$B$1000="LEASE-BH-F9-2025")*(RENT_RECEIVED!$E$2:$E$1000&gt;=DATE(2025,7,22))*(RENT_RECEIVED!$E$2:$E$1000&lt;=DATE(2025,8,21))*RENT_RECEIVED!$O$2:$O$1000), 0)</f>
        <v>0.0</v>
      </c>
      <c r="I10" t="inlineStr">
        <is>
          <t>e1a2e4QVZE, LJMK7Oyo1q</t>
        </is>
      </c>
      <c r="J10" s="3" t="n">
        <f>IFERROR(SUMIFS(RENT_DUE!$L$2:$L$10000, RENT_DUE!$B$2:$B$10000, "LEASE-BH-F9-2025", RENT_DUE!$D$2:$D$10000, "&lt;"&amp;DATE(2025,7,22)), 0) - IFERROR(SUMIFS(RENT_RECEIVED!$O$2:$O$10000, RENT_RECEIVED!$B$2:$B$10000, "LEASE-BH-F9-2025", RENT_RECEIVED!$E$2:$E$10000, "&lt;"&amp;DATE(2025,7,22)),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"&gt;="&amp;DATE(2025,7,22), EXPENSES!D:D, "&lt;="&amp;DATE(2025,8,21))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f>IFERROR(SUMPRODUCT((RENT_DUE!$B$2:$B$1000="LEASE-BH-F10-2025")*(RENT_DUE!$D$2:$D$1000&gt;=DATE(2025,7,22))*(RENT_DUE!$D$2:$D$1000&lt;=DATE(2025,8,21))*RENT_DUE!$L$2:$L$1000), 0)</f>
        <v>0.0</v>
      </c>
      <c r="H11" s="3" t="n">
        <f>IFERROR(SUMPRODUCT((RENT_RECEIVED!$B$2:$B$1000="LEASE-BH-F10-2025")*(RENT_RECEIVED!$E$2:$E$1000&gt;=DATE(2025,7,22))*(RENT_RECEIVED!$E$2:$E$1000&lt;=DATE(2025,8,21))*RENT_RECEIVED!$O$2:$O$1000), 0)</f>
        <v>0.0</v>
      </c>
      <c r="I11" t="inlineStr">
        <is>
          <t>e1a2e4QVZE</t>
        </is>
      </c>
      <c r="J11" s="3" t="n">
        <f>IFERROR(SUMIFS(RENT_DUE!$L$2:$L$10000, RENT_DUE!$B$2:$B$10000, "LEASE-BH-F10-2025", RENT_DUE!$D$2:$D$10000, "&lt;"&amp;DATE(2025,7,22)), 0) - IFERROR(SUMIFS(RENT_RECEIVED!$O$2:$O$10000, RENT_RECEIVED!$B$2:$B$10000, "LEASE-BH-F10-2025", RENT_RECEIVED!$E$2:$E$10000, "&lt;"&amp;DATE(2025,7,22)),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"&gt;="&amp;DATE(2025,7,22), EXPENSES!D:D, "&lt;="&amp;DATE(2025,8,21))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LEASE-BH-F11-2025</t>
        </is>
      </c>
      <c r="B12" t="inlineStr">
        <is>
          <t>Flat 11 - 3 West Gate</t>
        </is>
      </c>
      <c r="C12" t="inlineStr">
        <is>
          <t>Achal (Delegated for Udayan)</t>
        </is>
      </c>
      <c r="D12" t="inlineStr">
        <is>
          <t>Mr Richard Perrotta</t>
        </is>
      </c>
      <c r="E12" s="2" t="n">
        <v>45722.0</v>
      </c>
      <c r="F12" t="n">
        <v>26.0</v>
      </c>
      <c r="G12" s="3" t="n">
        <f>IFERROR(SUMPRODUCT((RENT_DUE!$B$2:$B$1000="LEASE-BH-F11-2025")*(RENT_DUE!$D$2:$D$1000&gt;=DATE(2025,7,22))*(RENT_DUE!$D$2:$D$1000&lt;=DATE(2025,8,21))*RENT_DUE!$L$2:$L$1000), 0)</f>
        <v>0.0</v>
      </c>
      <c r="H12" s="3" t="n">
        <f>IFERROR(SUMPRODUCT((RENT_RECEIVED!$B$2:$B$1000="LEASE-BH-F11-2025")*(RENT_RECEIVED!$E$2:$E$1000&gt;=DATE(2025,7,22))*(RENT_RECEIVED!$E$2:$E$1000&lt;=DATE(2025,8,21))*RENT_RECEIVED!$O$2:$O$1000), 0)</f>
        <v>0.0</v>
      </c>
      <c r="I12" t="inlineStr">
        <is>
          <t>e1a2e4QVZE, LJMK7Oyo1q</t>
        </is>
      </c>
      <c r="J12" s="3" t="n">
        <f>IFERROR(SUMIFS(RENT_DUE!$L$2:$L$10000, RENT_DUE!$B$2:$B$10000, "LEASE-BH-F11-2025", RENT_DUE!$D$2:$D$10000, "&lt;"&amp;DATE(2025,7,22)), 0) - IFERROR(SUMIFS(RENT_RECEIVED!$O$2:$O$10000, RENT_RECEIVED!$B$2:$B$10000, "LEASE-BH-F11-2025", RENT_RECEIVED!$E$2:$E$10000, "&lt;"&amp;DATE(2025,7,22)), 0)</f>
        <v>0.0</v>
      </c>
      <c r="K12" s="3" t="n">
        <f>G12 - H12</f>
        <v>0.0</v>
      </c>
      <c r="L12" s="3" t="n">
        <f>J12 + K12</f>
        <v>0.0</v>
      </c>
      <c r="M12" s="3" t="n">
        <f>H12 * 0.1500</f>
        <v>0.0</v>
      </c>
      <c r="N12" s="3" t="n">
        <f>H12 * 0.0000</f>
        <v>0.0</v>
      </c>
      <c r="O12" s="3" t="n">
        <f>ABS(M12 + N12)</f>
        <v>0.0</v>
      </c>
      <c r="P12" t="inlineStr">
        <is>
          <t/>
        </is>
      </c>
      <c r="Q12" s="3" t="n">
        <f>SUMIFS(EXPENSES!E:E, EXPENSES!B:B, "LEASE-BH-F11-2025", EXPENSES!D:D, "&gt;="&amp;DATE(2025,7,22), EXPENSES!D:D, "&lt;="&amp;DATE(2025,8,21))</f>
        <v>0.0</v>
      </c>
      <c r="R12" t="inlineStr">
        <is>
          <t/>
        </is>
      </c>
      <c r="S12" s="3" t="n">
        <f>H12 - O12 - Q12</f>
        <v>0.0</v>
      </c>
      <c r="T12" t="inlineStr">
        <is>
          <t/>
        </is>
      </c>
      <c r="U12" t="inlineStr">
        <is>
          <t/>
        </is>
      </c>
      <c r="V12" t="inlineStr">
        <is>
          <t/>
        </is>
      </c>
      <c r="W12" t="inlineStr">
        <is>
          <t/>
        </is>
      </c>
      <c r="X12" t="inlineStr">
        <is>
          <t/>
        </is>
      </c>
      <c r="Y12" s="3" t="n">
        <v>5979.75</v>
      </c>
      <c r="Z12" s="3" t="n">
        <f>S12-Y12</f>
        <v>0.0</v>
      </c>
      <c r="AA12" t="inlineStr">
        <is>
          <t>PAID</t>
        </is>
      </c>
      <c r="AB12" t="inlineStr">
        <is>
          <t>MULTIPLE</t>
        </is>
      </c>
      <c r="AC12" s="2" t="n">
        <v>45981.0</v>
      </c>
    </row>
    <row r="13">
      <c r="A13" t="inlineStr">
        <is>
          <t>LEASE-BH-F12-2025</t>
        </is>
      </c>
      <c r="B13" t="inlineStr">
        <is>
          <t>Flat 12 - 3 West Gate</t>
        </is>
      </c>
      <c r="C13" t="inlineStr">
        <is>
          <t>Achal (Delegated for Udayan)</t>
        </is>
      </c>
      <c r="D13" t="inlineStr">
        <is>
          <t>MR J SOOPIYADAKATH THEKKE PURAYIL &amp; MS S</t>
        </is>
      </c>
      <c r="E13" s="2" t="n">
        <v>45754.0</v>
      </c>
      <c r="F13" t="n">
        <v>7.0</v>
      </c>
      <c r="G13" s="3" t="n">
        <v>0.0</v>
      </c>
      <c r="H13" s="3" t="n">
        <f>IFERROR(SUMPRODUCT((RENT_RECEIVED!$B$2:$B$1000="LEASE-BH-F12-2025")*(RENT_RECEIVED!$E$2:$E$1000&gt;=DATE(2025,7,22))*(RENT_RECEIVED!$E$2:$E$1000&lt;=DATE(2025,8,21))*RENT_RECEIVED!$O$2:$O$1000), 0)</f>
        <v>0.0</v>
      </c>
      <c r="I13" t="inlineStr">
        <is>
          <t>LJMK7Oyo1q</t>
        </is>
      </c>
      <c r="J13" s="3" t="n">
        <f>IFERROR(SUMIFS(RENT_DUE!$L$2:$L$10000, RENT_DUE!$B$2:$B$10000, "LEASE-BH-F12-2025", RENT_DUE!$D$2:$D$10000, "&lt;"&amp;DATE(2025,7,22)), 0) - IFERROR(SUMIFS(RENT_RECEIVED!$O$2:$O$10000, RENT_RECEIVED!$B$2:$B$10000, "LEASE-BH-F12-2025", RENT_RECEIVED!$E$2:$E$10000, "&lt;"&amp;DATE(2025,7,22)), 0)</f>
        <v>0.0</v>
      </c>
      <c r="K13" s="3" t="n">
        <f>G13 - H13</f>
        <v>0.0</v>
      </c>
      <c r="L13" s="3" t="n">
        <f>J13 + K13</f>
        <v>0.0</v>
      </c>
      <c r="M13" s="3" t="n">
        <f>H13 * 0.1500</f>
        <v>0.0</v>
      </c>
      <c r="N13" s="3" t="n">
        <f>H13 * 0.0000</f>
        <v>0.0</v>
      </c>
      <c r="O13" s="3" t="n">
        <f>ABS(M13 + N13)</f>
        <v>0.0</v>
      </c>
      <c r="P13" t="inlineStr">
        <is>
          <t/>
        </is>
      </c>
      <c r="Q13" s="3" t="n">
        <f>SUMIFS(EXPENSES!E:E, EXPENSES!B:B, "LEASE-BH-F12-2025", EXPENSES!D:D, "&gt;="&amp;DATE(2025,7,22), EXPENSES!D:D, "&lt;="&amp;DATE(2025,8,21))</f>
        <v>0.0</v>
      </c>
      <c r="R13" t="inlineStr">
        <is>
          <t/>
        </is>
      </c>
      <c r="S13" s="3" t="n">
        <f>H13 - O13 - Q13</f>
        <v>0.0</v>
      </c>
      <c r="T13" t="inlineStr">
        <is>
          <t/>
        </is>
      </c>
      <c r="U13" t="inlineStr">
        <is>
          <t/>
        </is>
      </c>
      <c r="V13" t="inlineStr">
        <is>
          <t/>
        </is>
      </c>
      <c r="W13" t="inlineStr">
        <is>
          <t/>
        </is>
      </c>
      <c r="X13" t="inlineStr">
        <is>
          <t/>
        </is>
      </c>
      <c r="Y13" s="3" t="n">
        <v>1147.5</v>
      </c>
      <c r="Z13" s="3" t="n">
        <f>S13-Y13</f>
        <v>0.0</v>
      </c>
      <c r="AA13" t="inlineStr">
        <is>
          <t>PAID</t>
        </is>
      </c>
      <c r="AB13" t="inlineStr">
        <is>
          <t>MULTIPLE</t>
        </is>
      </c>
      <c r="AC13" s="2" t="n">
        <v>45804.0</v>
      </c>
    </row>
    <row r="14">
      <c r="A14" t="inlineStr">
        <is>
          <t>LEASE-BH-F12-2025B</t>
        </is>
      </c>
      <c r="B14" t="inlineStr">
        <is>
          <t>Flat 12 - 3 West Gate</t>
        </is>
      </c>
      <c r="C14" t="inlineStr">
        <is>
          <t>Achal (Delegated for Udayan)</t>
        </is>
      </c>
      <c r="D14" t="inlineStr">
        <is>
          <t>Adam Kirby</t>
        </is>
      </c>
      <c r="E14" s="2" t="n">
        <v>45860.0</v>
      </c>
      <c r="F14" t="n">
        <v>22.0</v>
      </c>
      <c r="G14" s="3" t="n">
        <f>IFERROR(SUMPRODUCT((RENT_DUE!$B$2:$B$1000="LEASE-BH-F12-2025B")*(RENT_DUE!$D$2:$D$1000&gt;=DATE(2025,7,22))*(RENT_DUE!$D$2:$D$1000&lt;=DATE(2025,8,21))*RENT_DUE!$L$2:$L$1000), 0)</f>
        <v>0.0</v>
      </c>
      <c r="H14" s="3" t="n">
        <f>IFERROR(SUMPRODUCT((RENT_RECEIVED!$B$2:$B$1000="LEASE-BH-F12-2025B")*(RENT_RECEIVED!$E$2:$E$1000&gt;=DATE(2025,7,22))*(RENT_RECEIVED!$E$2:$E$1000&lt;=DATE(2025,8,21))*RENT_RECEIVED!$O$2:$O$1000), 0)</f>
        <v>0.0</v>
      </c>
      <c r="I14" t="inlineStr">
        <is>
          <t>LJMK7Oyo1q</t>
        </is>
      </c>
      <c r="J14" s="3" t="n">
        <f>IFERROR(SUMIFS(RENT_DUE!$L$2:$L$10000, RENT_DUE!$B$2:$B$10000, "LEASE-BH-F12-2025B", RENT_DUE!$D$2:$D$10000, "&lt;"&amp;DATE(2025,7,22)), 0) - IFERROR(SUMIFS(RENT_RECEIVED!$O$2:$O$10000, RENT_RECEIVED!$B$2:$B$10000, "LEASE-BH-F12-2025B", RENT_RECEIVED!$E$2:$E$10000, "&lt;"&amp;DATE(2025,7,22)), 0)</f>
        <v>0.0</v>
      </c>
      <c r="K14" s="3" t="n">
        <f>G14 - H14</f>
        <v>0.0</v>
      </c>
      <c r="L14" s="3" t="n">
        <f>J14 + K14</f>
        <v>0.0</v>
      </c>
      <c r="M14" s="3" t="n">
        <f>H14 * 0.1500</f>
        <v>0.0</v>
      </c>
      <c r="N14" s="3" t="n">
        <f>H14 * 0.0000</f>
        <v>0.0</v>
      </c>
      <c r="O14" s="3" t="n">
        <f>ABS(M14 + N14)</f>
        <v>0.0</v>
      </c>
      <c r="P14" t="inlineStr">
        <is>
          <t/>
        </is>
      </c>
      <c r="Q14" s="3" t="n">
        <f>SUMIFS(EXPENSES!E:E, EXPENSES!B:B, "LEASE-BH-F12-2025B", EXPENSES!D:D, "&gt;="&amp;DATE(2025,7,22), EXPENSES!D:D, "&lt;="&amp;DATE(2025,8,21))</f>
        <v>0.0</v>
      </c>
      <c r="R14" t="inlineStr">
        <is>
          <t/>
        </is>
      </c>
      <c r="S14" s="3" t="n">
        <f>H14 - O14 - Q14</f>
        <v>0.0</v>
      </c>
      <c r="T14" t="inlineStr">
        <is>
          <t/>
        </is>
      </c>
      <c r="U14" t="inlineStr">
        <is>
          <t/>
        </is>
      </c>
      <c r="V14" t="inlineStr">
        <is>
          <t/>
        </is>
      </c>
      <c r="W14" t="inlineStr">
        <is>
          <t/>
        </is>
      </c>
      <c r="X14" t="inlineStr">
        <is>
          <t/>
        </is>
      </c>
      <c r="Y14" s="3" t="n">
        <v>4834.2</v>
      </c>
      <c r="Z14" s="3" t="n">
        <f>S14-Y14</f>
        <v>0.0</v>
      </c>
      <c r="AA14" t="inlineStr">
        <is>
          <t>PAID</t>
        </is>
      </c>
      <c r="AB14" t="inlineStr">
        <is>
          <t>MULTIPLE</t>
        </is>
      </c>
      <c r="AC14" s="2" t="n">
        <v>45992.0</v>
      </c>
    </row>
    <row r="15">
      <c r="A15" t="inlineStr">
        <is>
          <t>LEASE-BH-F13-2025</t>
        </is>
      </c>
      <c r="B15" t="inlineStr">
        <is>
          <t>Flat 13 - 3 West Gate</t>
        </is>
      </c>
      <c r="C15" t="inlineStr">
        <is>
          <t>Achal (Delegated for Udayan)</t>
        </is>
      </c>
      <c r="D15" t="inlineStr">
        <is>
          <t>Mr Nathan Holland</t>
        </is>
      </c>
      <c r="E15" s="2" t="n">
        <v>45719.0</v>
      </c>
      <c r="F15" t="n">
        <v>3.0</v>
      </c>
      <c r="G15" s="3" t="n">
        <f>IFERROR(SUMPRODUCT((RENT_DUE!$B$2:$B$1000="LEASE-BH-F13-2025")*(RENT_DUE!$D$2:$D$1000&gt;=DATE(2025,7,22))*(RENT_DUE!$D$2:$D$1000&lt;=DATE(2025,8,21))*RENT_DUE!$L$2:$L$1000), 0)</f>
        <v>0.0</v>
      </c>
      <c r="H15" s="3" t="n">
        <f>IFERROR(SUMPRODUCT((RENT_RECEIVED!$B$2:$B$1000="LEASE-BH-F13-2025")*(RENT_RECEIVED!$E$2:$E$1000&gt;=DATE(2025,7,22))*(RENT_RECEIVED!$E$2:$E$1000&lt;=DATE(2025,8,21))*RENT_RECEIVED!$O$2:$O$1000), 0)</f>
        <v>0.0</v>
      </c>
      <c r="I15" t="inlineStr">
        <is>
          <t>e1a2e4QVZE, LJMK7Oyo1q</t>
        </is>
      </c>
      <c r="J15" s="3" t="n">
        <f>IFERROR(SUMIFS(RENT_DUE!$L$2:$L$10000, RENT_DUE!$B$2:$B$10000, "LEASE-BH-F13-2025", RENT_DUE!$D$2:$D$10000, "&lt;"&amp;DATE(2025,7,22)), 0) - IFERROR(SUMIFS(RENT_RECEIVED!$O$2:$O$10000, RENT_RECEIVED!$B$2:$B$10000, "LEASE-BH-F13-2025", RENT_RECEIVED!$E$2:$E$10000, "&lt;"&amp;DATE(2025,7,22)), 0)</f>
        <v>0.0</v>
      </c>
      <c r="K15" s="3" t="n">
        <f>G15 - H15</f>
        <v>0.0</v>
      </c>
      <c r="L15" s="3" t="n">
        <f>J15 + K15</f>
        <v>0.0</v>
      </c>
      <c r="M15" s="3" t="n">
        <f>H15 * 0.1500</f>
        <v>0.0</v>
      </c>
      <c r="N15" s="3" t="n">
        <f>H15 * 0.0000</f>
        <v>0.0</v>
      </c>
      <c r="O15" s="3" t="n">
        <f>ABS(M15 + N15)</f>
        <v>0.0</v>
      </c>
      <c r="P15" t="inlineStr">
        <is>
          <t/>
        </is>
      </c>
      <c r="Q15" s="3" t="n">
        <f>SUMIFS(EXPENSES!E:E, EXPENSES!B:B, "LEASE-BH-F13-2025", EXPENSES!D:D, "&gt;="&amp;DATE(2025,7,22), EXPENSES!D:D, "&lt;="&amp;DATE(2025,8,21))</f>
        <v>0.0</v>
      </c>
      <c r="R15" t="inlineStr">
        <is>
          <t/>
        </is>
      </c>
      <c r="S15" s="3" t="n">
        <f>H15 - O15 - Q15</f>
        <v>0.0</v>
      </c>
      <c r="T15" t="inlineStr">
        <is>
          <t/>
        </is>
      </c>
      <c r="U15" t="inlineStr">
        <is>
          <t/>
        </is>
      </c>
      <c r="V15" t="inlineStr">
        <is>
          <t/>
        </is>
      </c>
      <c r="W15" t="inlineStr">
        <is>
          <t/>
        </is>
      </c>
      <c r="X15" t="inlineStr">
        <is>
          <t/>
        </is>
      </c>
      <c r="Y15" s="3" t="n">
        <v>5440.0</v>
      </c>
      <c r="Z15" s="3" t="n">
        <f>S15-Y15</f>
        <v>0.0</v>
      </c>
      <c r="AA15" t="inlineStr">
        <is>
          <t>PAID</t>
        </is>
      </c>
      <c r="AB15" t="inlineStr">
        <is>
          <t>MULTIPLE</t>
        </is>
      </c>
      <c r="AC15" s="2" t="n">
        <v>45936.0</v>
      </c>
    </row>
    <row r="16">
      <c r="A16" t="inlineStr">
        <is>
          <t>LEASE-BH-F14-2025</t>
        </is>
      </c>
      <c r="B16" t="inlineStr">
        <is>
          <t>Flat 14 - 3 West Gate</t>
        </is>
      </c>
      <c r="C16" t="inlineStr">
        <is>
          <t>Achal (Delegated for Udayan)</t>
        </is>
      </c>
      <c r="D16" t="inlineStr">
        <is>
          <t>Ms Sarah Buckle, Mr Matthew Lewsley</t>
        </is>
      </c>
      <c r="E16" s="2" t="n">
        <v>45744.0</v>
      </c>
      <c r="F16" t="n">
        <v>28.0</v>
      </c>
      <c r="G16" s="3" t="n">
        <f>IFERROR(SUMPRODUCT((RENT_DUE!$B$2:$B$1000="LEASE-BH-F14-2025")*(RENT_DUE!$D$2:$D$1000&gt;=DATE(2025,7,22))*(RENT_DUE!$D$2:$D$1000&lt;=DATE(2025,8,21))*RENT_DUE!$L$2:$L$1000), 0)</f>
        <v>0.0</v>
      </c>
      <c r="H16" s="3" t="n">
        <f>IFERROR(SUMPRODUCT((RENT_RECEIVED!$B$2:$B$1000="LEASE-BH-F14-2025")*(RENT_RECEIVED!$E$2:$E$1000&gt;=DATE(2025,7,22))*(RENT_RECEIVED!$E$2:$E$1000&lt;=DATE(2025,8,21))*RENT_RECEIVED!$O$2:$O$1000), 0)</f>
        <v>0.0</v>
      </c>
      <c r="I16" t="inlineStr">
        <is>
          <t>HIST-2025-07-1591</t>
        </is>
      </c>
      <c r="J16" s="3" t="n">
        <f>IFERROR(SUMIFS(RENT_DUE!$L$2:$L$10000, RENT_DUE!$B$2:$B$10000, "LEASE-BH-F14-2025", RENT_DUE!$D$2:$D$10000, "&lt;"&amp;DATE(2025,7,22)), 0) - IFERROR(SUMIFS(RENT_RECEIVED!$O$2:$O$10000, RENT_RECEIVED!$B$2:$B$10000, "LEASE-BH-F14-2025", RENT_RECEIVED!$E$2:$E$10000, "&lt;"&amp;DATE(2025,7,22)), 0)</f>
        <v>0.0</v>
      </c>
      <c r="K16" s="3" t="n">
        <f>G16 - H16</f>
        <v>0.0</v>
      </c>
      <c r="L16" s="3" t="n">
        <f>J16 + K16</f>
        <v>0.0</v>
      </c>
      <c r="M16" s="3" t="n">
        <f>H16 * 0.1500</f>
        <v>0.0</v>
      </c>
      <c r="N16" s="3" t="n">
        <f>H16 * 0.0000</f>
        <v>0.0</v>
      </c>
      <c r="O16" s="3" t="n">
        <f>ABS(M16 + N16)</f>
        <v>0.0</v>
      </c>
      <c r="P16" t="inlineStr">
        <is>
          <t/>
        </is>
      </c>
      <c r="Q16" s="3" t="n">
        <f>SUMIFS(EXPENSES!E:E, EXPENSES!B:B, "LEASE-BH-F14-2025", EXPENSES!D:D, "&gt;="&amp;DATE(2025,7,22), EXPENSES!D:D, "&lt;="&amp;DATE(2025,8,21))</f>
        <v>0.0</v>
      </c>
      <c r="R16" t="inlineStr">
        <is>
          <t/>
        </is>
      </c>
      <c r="S16" s="3" t="n">
        <f>H16 - O16 - Q16</f>
        <v>0.0</v>
      </c>
      <c r="T16" t="inlineStr">
        <is>
          <t/>
        </is>
      </c>
      <c r="U16" t="inlineStr">
        <is>
          <t/>
        </is>
      </c>
      <c r="V16" t="inlineStr">
        <is>
          <t/>
        </is>
      </c>
      <c r="W16" t="inlineStr">
        <is>
          <t/>
        </is>
      </c>
      <c r="X16" t="inlineStr">
        <is>
          <t/>
        </is>
      </c>
      <c r="Y16" s="3" t="n">
        <v>5410.25</v>
      </c>
      <c r="Z16" s="3" t="n">
        <f>S16-Y16</f>
        <v>0.0</v>
      </c>
      <c r="AA16" t="inlineStr">
        <is>
          <t>PAID</t>
        </is>
      </c>
      <c r="AB16" t="inlineStr">
        <is>
          <t>MULTIPLE</t>
        </is>
      </c>
      <c r="AC16" s="2" t="n">
        <v>45992.0</v>
      </c>
    </row>
    <row r="17">
      <c r="A17" t="inlineStr">
        <is>
          <t>LEASE-BH-F15-2025</t>
        </is>
      </c>
      <c r="B17" t="inlineStr">
        <is>
          <t>Flat 15 - 3 West Gate</t>
        </is>
      </c>
      <c r="C17" t="inlineStr">
        <is>
          <t>Achal (Delegated for Udayan)</t>
        </is>
      </c>
      <c r="D17" t="inlineStr">
        <is>
          <t>Ms Lucy Cassell</t>
        </is>
      </c>
      <c r="E17" s="2" t="n">
        <v>45703.0</v>
      </c>
      <c r="F17" t="n">
        <v>15.0</v>
      </c>
      <c r="G17" s="3" t="n">
        <f>IFERROR(SUMPRODUCT((RENT_DUE!$B$2:$B$1000="LEASE-BH-F15-2025")*(RENT_DUE!$D$2:$D$1000&gt;=DATE(2025,7,22))*(RENT_DUE!$D$2:$D$1000&lt;=DATE(2025,8,21))*RENT_DUE!$L$2:$L$1000), 0)</f>
        <v>0.0</v>
      </c>
      <c r="H17" s="3" t="n">
        <f>IFERROR(SUMPRODUCT((RENT_RECEIVED!$B$2:$B$1000="LEASE-BH-F15-2025")*(RENT_RECEIVED!$E$2:$E$1000&gt;=DATE(2025,7,22))*(RENT_RECEIVED!$E$2:$E$1000&lt;=DATE(2025,8,21))*RENT_RECEIVED!$O$2:$O$1000), 0)</f>
        <v>0.0</v>
      </c>
      <c r="I17" t="inlineStr">
        <is>
          <t>e1a2e4QVZE</t>
        </is>
      </c>
      <c r="J17" s="3" t="n">
        <f>IFERROR(SUMIFS(RENT_DUE!$L$2:$L$10000, RENT_DUE!$B$2:$B$10000, "LEASE-BH-F15-2025", RENT_DUE!$D$2:$D$10000, "&lt;"&amp;DATE(2025,7,22)), 0) - IFERROR(SUMIFS(RENT_RECEIVED!$O$2:$O$10000, RENT_RECEIVED!$B$2:$B$10000, "LEASE-BH-F15-2025", RENT_RECEIVED!$E$2:$E$10000, "&lt;"&amp;DATE(2025,7,22)), 0)</f>
        <v>0.0</v>
      </c>
      <c r="K17" s="3" t="n">
        <f>G17 - H17</f>
        <v>0.0</v>
      </c>
      <c r="L17" s="3" t="n">
        <f>J17 + K17</f>
        <v>0.0</v>
      </c>
      <c r="M17" s="3" t="n">
        <f>H17 * 0.1500</f>
        <v>0.0</v>
      </c>
      <c r="N17" s="3" t="n">
        <f>H17 * 0.0000</f>
        <v>0.0</v>
      </c>
      <c r="O17" s="3" t="n">
        <f>ABS(M17 + N17)</f>
        <v>0.0</v>
      </c>
      <c r="P17" t="inlineStr">
        <is>
          <t/>
        </is>
      </c>
      <c r="Q17" s="3" t="n">
        <f>SUMIFS(EXPENSES!E:E, EXPENSES!B:B, "LEASE-BH-F15-2025", EXPENSES!D:D, "&gt;="&amp;DATE(2025,7,22), EXPENSES!D:D, "&lt;="&amp;DATE(2025,8,21))</f>
        <v>0.0</v>
      </c>
      <c r="R17" t="inlineStr">
        <is>
          <t/>
        </is>
      </c>
      <c r="S17" s="3" t="n">
        <f>H17 - O17 - Q17</f>
        <v>0.0</v>
      </c>
      <c r="T17" t="inlineStr">
        <is>
          <t/>
        </is>
      </c>
      <c r="U17" t="inlineStr">
        <is>
          <t/>
        </is>
      </c>
      <c r="V17" t="inlineStr">
        <is>
          <t/>
        </is>
      </c>
      <c r="W17" t="inlineStr">
        <is>
          <t/>
        </is>
      </c>
      <c r="X17" t="inlineStr">
        <is>
          <t/>
        </is>
      </c>
      <c r="Y17" s="3" t="n">
        <v>6170.0</v>
      </c>
      <c r="Z17" s="3" t="n">
        <f>S17-Y17</f>
        <v>0.0</v>
      </c>
      <c r="AA17" t="inlineStr">
        <is>
          <t>PAID</t>
        </is>
      </c>
      <c r="AB17" t="inlineStr">
        <is>
          <t>MULTIPLE</t>
        </is>
      </c>
      <c r="AC17" s="2" t="n">
        <v>45982.0</v>
      </c>
    </row>
    <row r="18">
      <c r="A18" t="inlineStr">
        <is>
          <t>LEASE-BH-F16-2025</t>
        </is>
      </c>
      <c r="B18" t="inlineStr">
        <is>
          <t>Flat 16 - 3 West Gate</t>
        </is>
      </c>
      <c r="C18" t="inlineStr">
        <is>
          <t>Achal (Delegated for Udayan)</t>
        </is>
      </c>
      <c r="D18" t="inlineStr">
        <is>
          <t>Mr Riley Paul Beresford, Ms Gina Louise Judge</t>
        </is>
      </c>
      <c r="E18" s="2" t="n">
        <v>45726.0</v>
      </c>
      <c r="F18" t="n">
        <v>10.0</v>
      </c>
      <c r="G18" s="3" t="n">
        <f>IFERROR(SUMPRODUCT((RENT_DUE!$B$2:$B$1000="LEASE-BH-F16-2025")*(RENT_DUE!$D$2:$D$1000&gt;=DATE(2025,7,22))*(RENT_DUE!$D$2:$D$1000&lt;=DATE(2025,8,21))*RENT_DUE!$L$2:$L$1000), 0)</f>
        <v>0.0</v>
      </c>
      <c r="H18" s="3" t="n">
        <f>IFERROR(SUMPRODUCT((RENT_RECEIVED!$B$2:$B$1000="LEASE-BH-F16-2025")*(RENT_RECEIVED!$E$2:$E$1000&gt;=DATE(2025,7,22))*(RENT_RECEIVED!$E$2:$E$1000&lt;=DATE(2025,8,21))*RENT_RECEIVED!$O$2:$O$1000), 0)</f>
        <v>0.0</v>
      </c>
      <c r="I18" t="inlineStr">
        <is>
          <t>e1a2e4QVZE</t>
        </is>
      </c>
      <c r="J18" s="3" t="n">
        <f>IFERROR(SUMIFS(RENT_DUE!$L$2:$L$10000, RENT_DUE!$B$2:$B$10000, "LEASE-BH-F16-2025", RENT_DUE!$D$2:$D$10000, "&lt;"&amp;DATE(2025,7,22)), 0) - IFERROR(SUMIFS(RENT_RECEIVED!$O$2:$O$10000, RENT_RECEIVED!$B$2:$B$10000, "LEASE-BH-F16-2025", RENT_RECEIVED!$E$2:$E$10000, "&lt;"&amp;DATE(2025,7,22)), 0)</f>
        <v>0.0</v>
      </c>
      <c r="K18" s="3" t="n">
        <f>G18 - H18</f>
        <v>0.0</v>
      </c>
      <c r="L18" s="3" t="n">
        <f>J18 + K18</f>
        <v>0.0</v>
      </c>
      <c r="M18" s="3" t="n">
        <f>H18 * 0.1500</f>
        <v>0.0</v>
      </c>
      <c r="N18" s="3" t="n">
        <f>H18 * 0.0000</f>
        <v>0.0</v>
      </c>
      <c r="O18" s="3" t="n">
        <f>ABS(M18 + N18)</f>
        <v>0.0</v>
      </c>
      <c r="P18" t="inlineStr">
        <is>
          <t/>
        </is>
      </c>
      <c r="Q18" s="3" t="n">
        <f>SUMIFS(EXPENSES!E:E, EXPENSES!B:B, "LEASE-BH-F16-2025", EXPENSES!D:D, "&gt;="&amp;DATE(2025,7,22), EXPENSES!D:D, "&lt;="&amp;DATE(2025,8,21))</f>
        <v>0.0</v>
      </c>
      <c r="R18" t="inlineStr">
        <is>
          <t/>
        </is>
      </c>
      <c r="S18" s="3" t="n">
        <f>H18 - O18 - Q18</f>
        <v>0.0</v>
      </c>
      <c r="T18" t="inlineStr">
        <is>
          <t/>
        </is>
      </c>
      <c r="U18" t="inlineStr">
        <is>
          <t/>
        </is>
      </c>
      <c r="V18" t="inlineStr">
        <is>
          <t/>
        </is>
      </c>
      <c r="W18" t="inlineStr">
        <is>
          <t/>
        </is>
      </c>
      <c r="X18" t="inlineStr">
        <is>
          <t/>
        </is>
      </c>
      <c r="Y18" s="3" t="n">
        <v>3641.31</v>
      </c>
      <c r="Z18" s="3" t="n">
        <f>S18-Y18</f>
        <v>0.0</v>
      </c>
      <c r="AA18" t="inlineStr">
        <is>
          <t>PAID</t>
        </is>
      </c>
      <c r="AB18" t="inlineStr">
        <is>
          <t>MULTIPLE</t>
        </is>
      </c>
      <c r="AC18" s="2" t="n">
        <v>45891.0</v>
      </c>
    </row>
    <row r="19">
      <c r="A19" t="inlineStr">
        <is>
          <t>LEASE-BH-F17-2025</t>
        </is>
      </c>
      <c r="B19" t="inlineStr">
        <is>
          <t>Flat 17 - 3 West Gate</t>
        </is>
      </c>
      <c r="C19" t="inlineStr">
        <is>
          <t>Achal (Delegated for Udayan)</t>
        </is>
      </c>
      <c r="D19" t="inlineStr">
        <is>
          <t>Mr Harsh Patel</t>
        </is>
      </c>
      <c r="E19" s="2" t="n">
        <v>45705.0</v>
      </c>
      <c r="F19" t="n">
        <v>17.0</v>
      </c>
      <c r="G19" s="3" t="n">
        <f>IFERROR(SUMPRODUCT((RENT_DUE!$B$2:$B$1000="LEASE-BH-F17-2025")*(RENT_DUE!$D$2:$D$1000&gt;=DATE(2025,7,22))*(RENT_DUE!$D$2:$D$1000&lt;=DATE(2025,8,21))*RENT_DUE!$L$2:$L$1000), 0)</f>
        <v>0.0</v>
      </c>
      <c r="H19" s="3" t="n">
        <f>IFERROR(SUMPRODUCT((RENT_RECEIVED!$B$2:$B$1000="LEASE-BH-F17-2025")*(RENT_RECEIVED!$E$2:$E$1000&gt;=DATE(2025,7,22))*(RENT_RECEIVED!$E$2:$E$1000&lt;=DATE(2025,8,21))*RENT_RECEIVED!$O$2:$O$1000), 0)</f>
        <v>0.0</v>
      </c>
      <c r="I19" t="inlineStr">
        <is>
          <t>e1a2e4QVZE</t>
        </is>
      </c>
      <c r="J19" s="3" t="n">
        <f>IFERROR(SUMIFS(RENT_DUE!$L$2:$L$10000, RENT_DUE!$B$2:$B$10000, "LEASE-BH-F17-2025", RENT_DUE!$D$2:$D$10000, "&lt;"&amp;DATE(2025,7,22)), 0) - IFERROR(SUMIFS(RENT_RECEIVED!$O$2:$O$10000, RENT_RECEIVED!$B$2:$B$10000, "LEASE-BH-F17-2025", RENT_RECEIVED!$E$2:$E$10000, "&lt;"&amp;DATE(2025,7,22)), 0)</f>
        <v>0.0</v>
      </c>
      <c r="K19" s="3" t="n">
        <f>G19 - H19</f>
        <v>0.0</v>
      </c>
      <c r="L19" s="3" t="n">
        <f>J19 + K19</f>
        <v>0.0</v>
      </c>
      <c r="M19" s="3" t="n">
        <f>H19 * 0.1500</f>
        <v>0.0</v>
      </c>
      <c r="N19" s="3" t="n">
        <f>H19 * 0.0000</f>
        <v>0.0</v>
      </c>
      <c r="O19" s="3" t="n">
        <f>ABS(M19 + N19)</f>
        <v>0.0</v>
      </c>
      <c r="P19" t="inlineStr">
        <is>
          <t/>
        </is>
      </c>
      <c r="Q19" s="3" t="n">
        <f>SUMIFS(EXPENSES!E:E, EXPENSES!B:B, "LEASE-BH-F17-2025", EXPENSES!D:D, "&gt;="&amp;DATE(2025,7,22), EXPENSES!D:D, "&lt;="&amp;DATE(2025,8,21))</f>
        <v>0.0</v>
      </c>
      <c r="R19" t="inlineStr">
        <is>
          <t/>
        </is>
      </c>
      <c r="S19" s="3" t="n">
        <f>H19 - O19 - Q19</f>
        <v>0.0</v>
      </c>
      <c r="T19" t="inlineStr">
        <is>
          <t/>
        </is>
      </c>
      <c r="U19" t="inlineStr">
        <is>
          <t/>
        </is>
      </c>
      <c r="V19" t="inlineStr">
        <is>
          <t/>
        </is>
      </c>
      <c r="W19" t="inlineStr">
        <is>
          <t/>
        </is>
      </c>
      <c r="X19" t="inlineStr">
        <is>
          <t/>
        </is>
      </c>
      <c r="Y19" s="3" t="n">
        <v>5800.0</v>
      </c>
      <c r="Z19" s="3" t="n">
        <f>S19-Y19</f>
        <v>0.0</v>
      </c>
      <c r="AA19" t="inlineStr">
        <is>
          <t>PAID</t>
        </is>
      </c>
      <c r="AB19" t="inlineStr">
        <is>
          <t>MULTIPLE</t>
        </is>
      </c>
      <c r="AC19" s="2" t="n">
        <v>45982.0</v>
      </c>
    </row>
    <row r="20">
      <c r="A20" t="inlineStr">
        <is>
          <t>LEASE-BH-F18-2025</t>
        </is>
      </c>
      <c r="B20" t="inlineStr">
        <is>
          <t>Flat 18 - 3 West Gate</t>
        </is>
      </c>
      <c r="C20" t="inlineStr">
        <is>
          <t>Achal (Delegated for Udayan)</t>
        </is>
      </c>
      <c r="D20" t="inlineStr">
        <is>
          <t>Marie Dinko</t>
        </is>
      </c>
      <c r="E20" s="2" t="n">
        <v>45687.0</v>
      </c>
      <c r="F20" t="n">
        <v>30.0</v>
      </c>
      <c r="G20" s="3" t="n">
        <v>0.0</v>
      </c>
      <c r="H20" s="3" t="n">
        <f>IFERROR(SUMPRODUCT((RENT_RECEIVED!$B$2:$B$1000="LEASE-BH-F18-2025")*(RENT_RECEIVED!$E$2:$E$1000&gt;=DATE(2025,7,22))*(RENT_RECEIVED!$E$2:$E$1000&lt;=DATE(2025,8,21))*RENT_RECEIVED!$O$2:$O$1000), 0)</f>
        <v>0.0</v>
      </c>
      <c r="I20" t="inlineStr">
        <is>
          <t>e1a2e4QVZE</t>
        </is>
      </c>
      <c r="J20" s="3" t="n">
        <f>IFERROR(SUMIFS(RENT_DUE!$L$2:$L$10000, RENT_DUE!$B$2:$B$10000, "LEASE-BH-F18-2025", RENT_DUE!$D$2:$D$10000, "&lt;"&amp;DATE(2025,7,22)), 0) - IFERROR(SUMIFS(RENT_RECEIVED!$O$2:$O$10000, RENT_RECEIVED!$B$2:$B$10000, "LEASE-BH-F18-2025", RENT_RECEIVED!$E$2:$E$10000, "&lt;"&amp;DATE(2025,7,22)), 0)</f>
        <v>0.0</v>
      </c>
      <c r="K20" s="3" t="n">
        <f>G20 - H20</f>
        <v>0.0</v>
      </c>
      <c r="L20" s="3" t="n">
        <f>J20 + K20</f>
        <v>0.0</v>
      </c>
      <c r="M20" s="3" t="n">
        <f>H20 * 0.1500</f>
        <v>0.0</v>
      </c>
      <c r="N20" s="3" t="n">
        <f>H20 * 0.0000</f>
        <v>0.0</v>
      </c>
      <c r="O20" s="3" t="n">
        <f>ABS(M20 + N20)</f>
        <v>0.0</v>
      </c>
      <c r="P20" t="inlineStr">
        <is>
          <t/>
        </is>
      </c>
      <c r="Q20" s="3" t="n">
        <f>SUMIFS(EXPENSES!E:E, EXPENSES!B:B, "LEASE-BH-F18-2025", EXPENSES!D:D, "&gt;="&amp;DATE(2025,7,22), EXPENSES!D:D, "&lt;="&amp;DATE(2025,8,21))</f>
        <v>0.0</v>
      </c>
      <c r="R20" t="inlineStr">
        <is>
          <t/>
        </is>
      </c>
      <c r="S20" s="3" t="n">
        <f>H20 - O20 - Q20</f>
        <v>0.0</v>
      </c>
      <c r="T20" t="inlineStr">
        <is>
          <t/>
        </is>
      </c>
      <c r="U20" t="inlineStr">
        <is>
          <t/>
        </is>
      </c>
      <c r="V20" t="inlineStr">
        <is>
          <t/>
        </is>
      </c>
      <c r="W20" t="inlineStr">
        <is>
          <t/>
        </is>
      </c>
      <c r="X20" t="inlineStr">
        <is>
          <t/>
        </is>
      </c>
      <c r="Y20" s="3" t="n">
        <v>2044.25</v>
      </c>
      <c r="Z20" s="3" t="n">
        <f>S20-Y20</f>
        <v>0.0</v>
      </c>
      <c r="AA20" t="inlineStr">
        <is>
          <t>PAID</t>
        </is>
      </c>
      <c r="AB20" t="inlineStr">
        <is>
          <t>MULTIPLE</t>
        </is>
      </c>
      <c r="AC20" s="2" t="n">
        <v>45804.0</v>
      </c>
    </row>
    <row r="21">
      <c r="A21" t="inlineStr">
        <is>
          <t>LEASE-BH-F18-2025B</t>
        </is>
      </c>
      <c r="B21" t="inlineStr">
        <is>
          <t>Flat 18 - 3 West Gate</t>
        </is>
      </c>
      <c r="C21" t="inlineStr">
        <is>
          <t>Achal (Delegated for Udayan)</t>
        </is>
      </c>
      <c r="D21" t="inlineStr">
        <is>
          <t>Nirmali Gedara and Janith Hetti Arachchilage</t>
        </is>
      </c>
      <c r="E21" s="2" t="n">
        <v>45818.0</v>
      </c>
      <c r="F21" t="n">
        <v>10.0</v>
      </c>
      <c r="G21" s="3" t="n">
        <f>IFERROR(SUMPRODUCT((RENT_DUE!$B$2:$B$1000="LEASE-BH-F18-2025B")*(RENT_DUE!$D$2:$D$1000&gt;=DATE(2025,7,22))*(RENT_DUE!$D$2:$D$1000&lt;=DATE(2025,8,21))*RENT_DUE!$L$2:$L$1000), 0)</f>
        <v>0.0</v>
      </c>
      <c r="H21" s="3" t="n">
        <f>IFERROR(SUMPRODUCT((RENT_RECEIVED!$B$2:$B$1000="LEASE-BH-F18-2025B")*(RENT_RECEIVED!$E$2:$E$1000&gt;=DATE(2025,7,22))*(RENT_RECEIVED!$E$2:$E$1000&lt;=DATE(2025,8,21))*RENT_RECEIVED!$O$2:$O$1000), 0)</f>
        <v>0.0</v>
      </c>
      <c r="I21" t="inlineStr">
        <is>
          <t>e1a2e4QVZE</t>
        </is>
      </c>
      <c r="J21" s="3" t="n">
        <f>IFERROR(SUMIFS(RENT_DUE!$L$2:$L$10000, RENT_DUE!$B$2:$B$10000, "LEASE-BH-F18-2025B", RENT_DUE!$D$2:$D$10000, "&lt;"&amp;DATE(2025,7,22)), 0) - IFERROR(SUMIFS(RENT_RECEIVED!$O$2:$O$10000, RENT_RECEIVED!$B$2:$B$10000, "LEASE-BH-F18-2025B", RENT_RECEIVED!$E$2:$E$10000, "&lt;"&amp;DATE(2025,7,22)), 0)</f>
        <v>0.0</v>
      </c>
      <c r="K21" s="3" t="n">
        <f>G21 - H21</f>
        <v>0.0</v>
      </c>
      <c r="L21" s="3" t="n">
        <f>J21 + K21</f>
        <v>0.0</v>
      </c>
      <c r="M21" s="3" t="n">
        <f>H21 * 0.1500</f>
        <v>0.0</v>
      </c>
      <c r="N21" s="3" t="n">
        <f>H21 * 0.0000</f>
        <v>0.0</v>
      </c>
      <c r="O21" s="3" t="n">
        <f>ABS(M21 + N21)</f>
        <v>0.0</v>
      </c>
      <c r="P21" t="inlineStr">
        <is>
          <t/>
        </is>
      </c>
      <c r="Q21" s="3" t="n">
        <f>SUMIFS(EXPENSES!E:E, EXPENSES!B:B, "LEASE-BH-F18-2025B", EXPENSES!D:D, "&gt;="&amp;DATE(2025,7,22), EXPENSES!D:D, "&lt;="&amp;DATE(2025,8,21))</f>
        <v>0.0</v>
      </c>
      <c r="R21" t="inlineStr">
        <is>
          <t/>
        </is>
      </c>
      <c r="S21" s="3" t="n">
        <f>H21 - O21 - Q21</f>
        <v>0.0</v>
      </c>
      <c r="T21" t="inlineStr">
        <is>
          <t/>
        </is>
      </c>
      <c r="U21" t="inlineStr">
        <is>
          <t/>
        </is>
      </c>
      <c r="V21" t="inlineStr">
        <is>
          <t/>
        </is>
      </c>
      <c r="W21" t="inlineStr">
        <is>
          <t/>
        </is>
      </c>
      <c r="X21" t="inlineStr">
        <is>
          <t/>
        </is>
      </c>
      <c r="Y21" s="3" t="n">
        <v>4189.5</v>
      </c>
      <c r="Z21" s="3" t="n">
        <f>S21-Y21</f>
        <v>0.0</v>
      </c>
      <c r="AA21" t="inlineStr">
        <is>
          <t>PAID</t>
        </is>
      </c>
      <c r="AB21" t="inlineStr">
        <is>
          <t>MULTIPLE</t>
        </is>
      </c>
      <c r="AC21" s="2" t="n">
        <v>45982.0</v>
      </c>
    </row>
    <row r="22">
      <c r="A22" t="inlineStr">
        <is>
          <t>LEASE-BH-F19-2025</t>
        </is>
      </c>
      <c r="B22" t="inlineStr">
        <is>
          <t>Flat 19 - 3 West Gate</t>
        </is>
      </c>
      <c r="C22" t="inlineStr">
        <is>
          <t>Achal (Delegated for Udayan)</t>
        </is>
      </c>
      <c r="D22" t="inlineStr">
        <is>
          <t>Mr Joshua Banks, Miss Layla Middlemass</t>
        </is>
      </c>
      <c r="E22" s="2" t="n">
        <v>45730.0</v>
      </c>
      <c r="F22" t="n">
        <v>14.0</v>
      </c>
      <c r="G22" s="3" t="n">
        <f>IFERROR(SUMPRODUCT((RENT_DUE!$B$2:$B$1000="LEASE-BH-F19-2025")*(RENT_DUE!$D$2:$D$1000&gt;=DATE(2025,7,22))*(RENT_DUE!$D$2:$D$1000&lt;=DATE(2025,8,21))*RENT_DUE!$L$2:$L$1000), 0)</f>
        <v>0.0</v>
      </c>
      <c r="H22" s="3" t="n">
        <f>IFERROR(SUMPRODUCT((RENT_RECEIVED!$B$2:$B$1000="LEASE-BH-F19-2025")*(RENT_RECEIVED!$E$2:$E$1000&gt;=DATE(2025,7,22))*(RENT_RECEIVED!$E$2:$E$1000&lt;=DATE(2025,8,21))*RENT_RECEIVED!$O$2:$O$1000), 0)</f>
        <v>0.0</v>
      </c>
      <c r="I22" t="inlineStr">
        <is>
          <t>HIST-2025-07-1591</t>
        </is>
      </c>
      <c r="J22" s="3" t="n">
        <f>IFERROR(SUMIFS(RENT_DUE!$L$2:$L$10000, RENT_DUE!$B$2:$B$10000, "LEASE-BH-F19-2025", RENT_DUE!$D$2:$D$10000, "&lt;"&amp;DATE(2025,7,22)), 0) - IFERROR(SUMIFS(RENT_RECEIVED!$O$2:$O$10000, RENT_RECEIVED!$B$2:$B$10000, "LEASE-BH-F19-2025", RENT_RECEIVED!$E$2:$E$10000, "&lt;"&amp;DATE(2025,7,22)), 0)</f>
        <v>0.0</v>
      </c>
      <c r="K22" s="3" t="n">
        <f>G22 - H22</f>
        <v>0.0</v>
      </c>
      <c r="L22" s="3" t="n">
        <f>J22 + K22</f>
        <v>0.0</v>
      </c>
      <c r="M22" s="3" t="n">
        <f>H22 * 0.1500</f>
        <v>0.0</v>
      </c>
      <c r="N22" s="3" t="n">
        <f>H22 * 0.0000</f>
        <v>0.0</v>
      </c>
      <c r="O22" s="3" t="n">
        <f>ABS(M22 + N22)</f>
        <v>0.0</v>
      </c>
      <c r="P22" t="inlineStr">
        <is>
          <t/>
        </is>
      </c>
      <c r="Q22" s="3" t="n">
        <f>SUMIFS(EXPENSES!E:E, EXPENSES!B:B, "LEASE-BH-F19-2025", EXPENSES!D:D, "&gt;="&amp;DATE(2025,7,22), EXPENSES!D:D, "&lt;="&amp;DATE(2025,8,21))</f>
        <v>0.0</v>
      </c>
      <c r="R22" t="inlineStr">
        <is>
          <t/>
        </is>
      </c>
      <c r="S22" s="3" t="n">
        <f>H22 - O22 - Q22</f>
        <v>0.0</v>
      </c>
      <c r="T22" t="inlineStr">
        <is>
          <t/>
        </is>
      </c>
      <c r="U22" t="inlineStr">
        <is>
          <t/>
        </is>
      </c>
      <c r="V22" t="inlineStr">
        <is>
          <t/>
        </is>
      </c>
      <c r="W22" t="inlineStr">
        <is>
          <t/>
        </is>
      </c>
      <c r="X22" t="inlineStr">
        <is>
          <t/>
        </is>
      </c>
      <c r="Y22" s="3" t="n">
        <v>2888.3</v>
      </c>
      <c r="Z22" s="3" t="n">
        <f>S22-Y22</f>
        <v>0.0</v>
      </c>
      <c r="AA22" t="inlineStr">
        <is>
          <t>PAID</t>
        </is>
      </c>
      <c r="AB22" t="inlineStr">
        <is>
          <t>MULTIPLE</t>
        </is>
      </c>
      <c r="AC22" s="2" t="n">
        <v>45846.0</v>
      </c>
    </row>
    <row r="23">
      <c r="A23" t="inlineStr">
        <is>
          <t>LEASE-BH-F20-2025</t>
        </is>
      </c>
      <c r="B23" t="inlineStr">
        <is>
          <t>Flat 20 - 3 West Gate</t>
        </is>
      </c>
      <c r="C23" t="inlineStr">
        <is>
          <t>Achal (Delegated for Udayan)</t>
        </is>
      </c>
      <c r="D23" t="inlineStr">
        <is>
          <t>Mr James Kay</t>
        </is>
      </c>
      <c r="E23" s="2" t="n">
        <v>45732.0</v>
      </c>
      <c r="F23" t="n">
        <v>16.0</v>
      </c>
      <c r="G23" s="3" t="n">
        <f>IFERROR(SUMPRODUCT((RENT_DUE!$B$2:$B$1000="LEASE-BH-F20-2025")*(RENT_DUE!$D$2:$D$1000&gt;=DATE(2025,7,22))*(RENT_DUE!$D$2:$D$1000&lt;=DATE(2025,8,21))*RENT_DUE!$L$2:$L$1000), 0)</f>
        <v>0.0</v>
      </c>
      <c r="H23" s="3" t="n">
        <f>IFERROR(SUMPRODUCT((RENT_RECEIVED!$B$2:$B$1000="LEASE-BH-F20-2025")*(RENT_RECEIVED!$E$2:$E$1000&gt;=DATE(2025,7,22))*(RENT_RECEIVED!$E$2:$E$1000&lt;=DATE(2025,8,21))*RENT_RECEIVED!$O$2:$O$1000), 0)</f>
        <v>0.0</v>
      </c>
      <c r="I23" t="inlineStr">
        <is>
          <t>LJMK7Oyo1q</t>
        </is>
      </c>
      <c r="J23" s="3" t="n">
        <f>IFERROR(SUMIFS(RENT_DUE!$L$2:$L$10000, RENT_DUE!$B$2:$B$10000, "LEASE-BH-F20-2025", RENT_DUE!$D$2:$D$10000, "&lt;"&amp;DATE(2025,7,22)), 0) - IFERROR(SUMIFS(RENT_RECEIVED!$O$2:$O$10000, RENT_RECEIVED!$B$2:$B$10000, "LEASE-BH-F20-2025", RENT_RECEIVED!$E$2:$E$10000, "&lt;"&amp;DATE(2025,7,22)), 0)</f>
        <v>0.0</v>
      </c>
      <c r="K23" s="3" t="n">
        <f>G23 - H23</f>
        <v>0.0</v>
      </c>
      <c r="L23" s="3" t="n">
        <f>J23 + K23</f>
        <v>0.0</v>
      </c>
      <c r="M23" s="3" t="n">
        <f>H23 * 0.1500</f>
        <v>0.0</v>
      </c>
      <c r="N23" s="3" t="n">
        <f>H23 * 0.0000</f>
        <v>0.0</v>
      </c>
      <c r="O23" s="3" t="n">
        <f>ABS(M23 + N23)</f>
        <v>0.0</v>
      </c>
      <c r="P23" t="inlineStr">
        <is>
          <t/>
        </is>
      </c>
      <c r="Q23" s="3" t="n">
        <f>SUMIFS(EXPENSES!E:E, EXPENSES!B:B, "LEASE-BH-F20-2025", EXPENSES!D:D, "&gt;="&amp;DATE(2025,7,22), EXPENSES!D:D, "&lt;="&amp;DATE(2025,8,21))</f>
        <v>0.0</v>
      </c>
      <c r="R23" t="inlineStr">
        <is>
          <t/>
        </is>
      </c>
      <c r="S23" s="3" t="n">
        <f>H23 - O23 - Q23</f>
        <v>0.0</v>
      </c>
      <c r="T23" t="inlineStr">
        <is>
          <t/>
        </is>
      </c>
      <c r="U23" t="inlineStr">
        <is>
          <t/>
        </is>
      </c>
      <c r="V23" t="inlineStr">
        <is>
          <t/>
        </is>
      </c>
      <c r="W23" t="inlineStr">
        <is>
          <t/>
        </is>
      </c>
      <c r="X23" t="inlineStr">
        <is>
          <t/>
        </is>
      </c>
      <c r="Y23" s="3" t="n">
        <v>5255.0</v>
      </c>
      <c r="Z23" s="3" t="n">
        <f>S23-Y23</f>
        <v>0.0</v>
      </c>
      <c r="AA23" t="inlineStr">
        <is>
          <t>PAID</t>
        </is>
      </c>
      <c r="AB23" t="inlineStr">
        <is>
          <t>MULTIPLE</t>
        </is>
      </c>
      <c r="AC23" s="2" t="n">
        <v>45982.0</v>
      </c>
    </row>
    <row r="24">
      <c r="A24" t="inlineStr">
        <is>
          <t>LEASE-BH-F21-2025</t>
        </is>
      </c>
      <c r="B24" t="inlineStr">
        <is>
          <t>Flat 21 - 3 West Gate</t>
        </is>
      </c>
      <c r="C24" t="inlineStr">
        <is>
          <t>Achal (Delegated for Udayan)</t>
        </is>
      </c>
      <c r="D24" t="inlineStr">
        <is>
          <t>Mr Felwin Francis</t>
        </is>
      </c>
      <c r="E24" s="2" t="n">
        <v>45687.0</v>
      </c>
      <c r="F24" t="n">
        <v>30.0</v>
      </c>
      <c r="G24" s="3" t="n">
        <f>IFERROR(SUMPRODUCT((RENT_DUE!$B$2:$B$1000="LEASE-BH-F21-2025")*(RENT_DUE!$D$2:$D$1000&gt;=DATE(2025,7,22))*(RENT_DUE!$D$2:$D$1000&lt;=DATE(2025,8,21))*RENT_DUE!$L$2:$L$1000), 0)</f>
        <v>0.0</v>
      </c>
      <c r="H24" s="3" t="n">
        <f>IFERROR(SUMPRODUCT((RENT_RECEIVED!$B$2:$B$1000="LEASE-BH-F21-2025")*(RENT_RECEIVED!$E$2:$E$1000&gt;=DATE(2025,7,22))*(RENT_RECEIVED!$E$2:$E$1000&lt;=DATE(2025,8,21))*RENT_RECEIVED!$O$2:$O$1000), 0)</f>
        <v>0.0</v>
      </c>
      <c r="I24" t="inlineStr">
        <is>
          <t>e1a2e4QVZE</t>
        </is>
      </c>
      <c r="J24" s="3" t="n">
        <f>IFERROR(SUMIFS(RENT_DUE!$L$2:$L$10000, RENT_DUE!$B$2:$B$10000, "LEASE-BH-F21-2025", RENT_DUE!$D$2:$D$10000, "&lt;"&amp;DATE(2025,7,22)), 0) - IFERROR(SUMIFS(RENT_RECEIVED!$O$2:$O$10000, RENT_RECEIVED!$B$2:$B$10000, "LEASE-BH-F21-2025", RENT_RECEIVED!$E$2:$E$10000, "&lt;"&amp;DATE(2025,7,22)), 0)</f>
        <v>0.0</v>
      </c>
      <c r="K24" s="3" t="n">
        <f>G24 - H24</f>
        <v>0.0</v>
      </c>
      <c r="L24" s="3" t="n">
        <f>J24 + K24</f>
        <v>0.0</v>
      </c>
      <c r="M24" s="3" t="n">
        <f>H24 * 0.1500</f>
        <v>0.0</v>
      </c>
      <c r="N24" s="3" t="n">
        <f>H24 * 0.0000</f>
        <v>0.0</v>
      </c>
      <c r="O24" s="3" t="n">
        <f>ABS(M24 + N24)</f>
        <v>0.0</v>
      </c>
      <c r="P24" t="inlineStr">
        <is>
          <t/>
        </is>
      </c>
      <c r="Q24" s="3" t="n">
        <f>SUMIFS(EXPENSES!E:E, EXPENSES!B:B, "LEASE-BH-F21-2025", EXPENSES!D:D, "&gt;="&amp;DATE(2025,7,22), EXPENSES!D:D, "&lt;="&amp;DATE(2025,8,21))</f>
        <v>0.0</v>
      </c>
      <c r="R24" t="inlineStr">
        <is>
          <t/>
        </is>
      </c>
      <c r="S24" s="3" t="n">
        <f>H24 - O24 - Q24</f>
        <v>0.0</v>
      </c>
      <c r="T24" t="inlineStr">
        <is>
          <t/>
        </is>
      </c>
      <c r="U24" t="inlineStr">
        <is>
          <t/>
        </is>
      </c>
      <c r="V24" t="inlineStr">
        <is>
          <t/>
        </is>
      </c>
      <c r="W24" t="inlineStr">
        <is>
          <t/>
        </is>
      </c>
      <c r="X24" t="inlineStr">
        <is>
          <t/>
        </is>
      </c>
      <c r="Y24" s="3" t="n">
        <v>6637.5</v>
      </c>
      <c r="Z24" s="3" t="n">
        <f>S24-Y24</f>
        <v>0.0</v>
      </c>
      <c r="AA24" t="inlineStr">
        <is>
          <t>PAID</t>
        </is>
      </c>
      <c r="AB24" t="inlineStr">
        <is>
          <t>MULTIPLE</t>
        </is>
      </c>
      <c r="AC24" s="2" t="n">
        <v>45982.0</v>
      </c>
    </row>
    <row r="25">
      <c r="A25" t="inlineStr">
        <is>
          <t>LEASE-BH-F22-2025</t>
        </is>
      </c>
      <c r="B25" t="inlineStr">
        <is>
          <t>Flat 22 - 3 West Gate</t>
        </is>
      </c>
      <c r="C25" t="inlineStr">
        <is>
          <t>Achal (Delegated for Udayan)</t>
        </is>
      </c>
      <c r="D25" t="inlineStr">
        <is>
          <t>Mr Brian Lowe</t>
        </is>
      </c>
      <c r="E25" s="2" t="n">
        <v>45717.0</v>
      </c>
      <c r="F25" t="n">
        <v>1.0</v>
      </c>
      <c r="G25" s="3" t="n">
        <f>IFERROR(SUMPRODUCT((RENT_DUE!$B$2:$B$1000="LEASE-BH-F22-2025")*(RENT_DUE!$D$2:$D$1000&gt;=DATE(2025,7,22))*(RENT_DUE!$D$2:$D$1000&lt;=DATE(2025,8,21))*RENT_DUE!$L$2:$L$1000), 0)</f>
        <v>0.0</v>
      </c>
      <c r="H25" s="3" t="n">
        <f>IFERROR(SUMPRODUCT((RENT_RECEIVED!$B$2:$B$1000="LEASE-BH-F22-2025")*(RENT_RECEIVED!$E$2:$E$1000&gt;=DATE(2025,7,22))*(RENT_RECEIVED!$E$2:$E$1000&lt;=DATE(2025,8,21))*RENT_RECEIVED!$O$2:$O$1000), 0)</f>
        <v>0.0</v>
      </c>
      <c r="I25" t="inlineStr">
        <is>
          <t>e1a2e4QVZE, LJMK7Oyo1q</t>
        </is>
      </c>
      <c r="J25" s="3" t="n">
        <f>IFERROR(SUMIFS(RENT_DUE!$L$2:$L$10000, RENT_DUE!$B$2:$B$10000, "LEASE-BH-F22-2025", RENT_DUE!$D$2:$D$10000, "&lt;"&amp;DATE(2025,7,22)), 0) - IFERROR(SUMIFS(RENT_RECEIVED!$O$2:$O$10000, RENT_RECEIVED!$B$2:$B$10000, "LEASE-BH-F22-2025", RENT_RECEIVED!$E$2:$E$10000, "&lt;"&amp;DATE(2025,7,22)), 0)</f>
        <v>0.0</v>
      </c>
      <c r="K25" s="3" t="n">
        <f>G25 - H25</f>
        <v>0.0</v>
      </c>
      <c r="L25" s="3" t="n">
        <f>J25 + K25</f>
        <v>0.0</v>
      </c>
      <c r="M25" s="3" t="n">
        <f>H25 * 0.1500</f>
        <v>0.0</v>
      </c>
      <c r="N25" s="3" t="n">
        <f>H25 * 0.0000</f>
        <v>0.0</v>
      </c>
      <c r="O25" s="3" t="n">
        <f>ABS(M25 + N25)</f>
        <v>0.0</v>
      </c>
      <c r="P25" t="inlineStr">
        <is>
          <t/>
        </is>
      </c>
      <c r="Q25" s="3" t="n">
        <f>SUMIFS(EXPENSES!E:E, EXPENSES!B:B, "LEASE-BH-F22-2025", EXPENSES!D:D, "&gt;="&amp;DATE(2025,7,22), EXPENSES!D:D, "&lt;="&amp;DATE(2025,8,21))</f>
        <v>0.0</v>
      </c>
      <c r="R25" t="inlineStr">
        <is>
          <t/>
        </is>
      </c>
      <c r="S25" s="3" t="n">
        <f>H25 - O25 - Q25</f>
        <v>0.0</v>
      </c>
      <c r="T25" t="inlineStr">
        <is>
          <t/>
        </is>
      </c>
      <c r="U25" t="inlineStr">
        <is>
          <t/>
        </is>
      </c>
      <c r="V25" t="inlineStr">
        <is>
          <t/>
        </is>
      </c>
      <c r="W25" t="inlineStr">
        <is>
          <t/>
        </is>
      </c>
      <c r="X25" t="inlineStr">
        <is>
          <t/>
        </is>
      </c>
      <c r="Y25" s="3" t="n">
        <v>5661.0</v>
      </c>
      <c r="Z25" s="3" t="n">
        <f>S25-Y25</f>
        <v>0.0</v>
      </c>
      <c r="AA25" t="inlineStr">
        <is>
          <t>PAID</t>
        </is>
      </c>
      <c r="AB25" t="inlineStr">
        <is>
          <t>MULTIPLE</t>
        </is>
      </c>
      <c r="AC25" s="2" t="n">
        <v>45982.0</v>
      </c>
    </row>
    <row r="26">
      <c r="A26" t="inlineStr">
        <is>
          <t>LEASE-BH-F23-2025</t>
        </is>
      </c>
      <c r="B26" t="inlineStr">
        <is>
          <t>Flat 23 - 3 West Gate</t>
        </is>
      </c>
      <c r="C26" t="inlineStr">
        <is>
          <t>Achal (Delegated for Udayan)</t>
        </is>
      </c>
      <c r="D26" t="inlineStr">
        <is>
          <t>Mark Tennick</t>
        </is>
      </c>
      <c r="E26" s="2" t="n">
        <v>45830.0</v>
      </c>
      <c r="F26" t="n">
        <v>10.0</v>
      </c>
      <c r="G26" s="3" t="n">
        <f>IFERROR(SUMPRODUCT((RENT_DUE!$B$2:$B$1000="LEASE-BH-F23-2025")*(RENT_DUE!$D$2:$D$1000&gt;=DATE(2025,7,22))*(RENT_DUE!$D$2:$D$1000&lt;=DATE(2025,8,21))*RENT_DUE!$L$2:$L$1000), 0)</f>
        <v>0.0</v>
      </c>
      <c r="H26" s="3" t="n">
        <f>IFERROR(SUMPRODUCT((RENT_RECEIVED!$B$2:$B$1000="LEASE-BH-F23-2025")*(RENT_RECEIVED!$E$2:$E$1000&gt;=DATE(2025,7,22))*(RENT_RECEIVED!$E$2:$E$1000&lt;=DATE(2025,8,21))*RENT_RECEIVED!$O$2:$O$1000), 0)</f>
        <v>0.0</v>
      </c>
      <c r="I26" t="inlineStr">
        <is>
          <t>HIST-2025-07-1591</t>
        </is>
      </c>
      <c r="J26" s="3" t="n">
        <f>IFERROR(SUMIFS(RENT_DUE!$L$2:$L$10000, RENT_DUE!$B$2:$B$10000, "LEASE-BH-F23-2025", RENT_DUE!$D$2:$D$10000, "&lt;"&amp;DATE(2025,7,22)), 0) - IFERROR(SUMIFS(RENT_RECEIVED!$O$2:$O$10000, RENT_RECEIVED!$B$2:$B$10000, "LEASE-BH-F23-2025", RENT_RECEIVED!$E$2:$E$10000, "&lt;"&amp;DATE(2025,7,22)), 0)</f>
        <v>0.0</v>
      </c>
      <c r="K26" s="3" t="n">
        <f>G26 - H26</f>
        <v>0.0</v>
      </c>
      <c r="L26" s="3" t="n">
        <f>J26 + K26</f>
        <v>0.0</v>
      </c>
      <c r="M26" s="3" t="n">
        <f>H26 * 0.1500</f>
        <v>0.0</v>
      </c>
      <c r="N26" s="3" t="n">
        <f>H26 * 0.0000</f>
        <v>0.0</v>
      </c>
      <c r="O26" s="3" t="n">
        <f>ABS(M26 + N26)</f>
        <v>0.0</v>
      </c>
      <c r="P26" t="inlineStr">
        <is>
          <t/>
        </is>
      </c>
      <c r="Q26" s="3" t="n">
        <f>SUMIFS(EXPENSES!E:E, EXPENSES!B:B, "LEASE-BH-F23-2025", EXPENSES!D:D, "&gt;="&amp;DATE(2025,7,22), EXPENSES!D:D, "&lt;="&amp;DATE(2025,8,21))</f>
        <v>0.0</v>
      </c>
      <c r="R26" t="inlineStr">
        <is>
          <t/>
        </is>
      </c>
      <c r="S26" s="3" t="n">
        <f>H26 - O26 - Q26</f>
        <v>0.0</v>
      </c>
      <c r="T26" t="inlineStr">
        <is>
          <t/>
        </is>
      </c>
      <c r="U26" t="inlineStr">
        <is>
          <t/>
        </is>
      </c>
      <c r="V26" t="inlineStr">
        <is>
          <t/>
        </is>
      </c>
      <c r="W26" t="inlineStr">
        <is>
          <t/>
        </is>
      </c>
      <c r="X26" t="inlineStr">
        <is>
          <t/>
        </is>
      </c>
      <c r="Y26" s="3" t="n">
        <v>3798.3</v>
      </c>
      <c r="Z26" s="3" t="n">
        <f>S26-Y26</f>
        <v>0.0</v>
      </c>
      <c r="AA26" t="inlineStr">
        <is>
          <t>PAID</t>
        </is>
      </c>
      <c r="AB26" t="inlineStr">
        <is>
          <t>MULTIPLE</t>
        </is>
      </c>
      <c r="AC26" s="2" t="n">
        <v>45982.0</v>
      </c>
    </row>
    <row r="27">
      <c r="A27" t="inlineStr">
        <is>
          <t>LEASE-BH-F24-2025</t>
        </is>
      </c>
      <c r="B27" t="inlineStr">
        <is>
          <t>Flat 24 - 3 West Gate</t>
        </is>
      </c>
      <c r="C27" t="inlineStr">
        <is>
          <t>Achal (Delegated for Udayan)</t>
        </is>
      </c>
      <c r="D27" t="inlineStr">
        <is>
          <t>Mr Ethan Maloney, Miss Soraya Fearon</t>
        </is>
      </c>
      <c r="E27" s="2" t="n">
        <v>45700.0</v>
      </c>
      <c r="F27" t="n">
        <v>12.0</v>
      </c>
      <c r="G27" s="3" t="n">
        <f>IFERROR(SUMPRODUCT((RENT_DUE!$B$2:$B$1000="LEASE-BH-F24-2025")*(RENT_DUE!$D$2:$D$1000&gt;=DATE(2025,7,22))*(RENT_DUE!$D$2:$D$1000&lt;=DATE(2025,8,21))*RENT_DUE!$L$2:$L$1000), 0)</f>
        <v>0.0</v>
      </c>
      <c r="H27" s="3" t="n">
        <f>IFERROR(SUMPRODUCT((RENT_RECEIVED!$B$2:$B$1000="LEASE-BH-F24-2025")*(RENT_RECEIVED!$E$2:$E$1000&gt;=DATE(2025,7,22))*(RENT_RECEIVED!$E$2:$E$1000&lt;=DATE(2025,8,21))*RENT_RECEIVED!$O$2:$O$1000), 0)</f>
        <v>0.0</v>
      </c>
      <c r="I27" t="inlineStr">
        <is>
          <t>e1a2e4QVZE</t>
        </is>
      </c>
      <c r="J27" s="3" t="n">
        <f>IFERROR(SUMIFS(RENT_DUE!$L$2:$L$10000, RENT_DUE!$B$2:$B$10000, "LEASE-BH-F24-2025", RENT_DUE!$D$2:$D$10000, "&lt;"&amp;DATE(2025,7,22)), 0) - IFERROR(SUMIFS(RENT_RECEIVED!$O$2:$O$10000, RENT_RECEIVED!$B$2:$B$10000, "LEASE-BH-F24-2025", RENT_RECEIVED!$E$2:$E$10000, "&lt;"&amp;DATE(2025,7,22)), 0)</f>
        <v>0.0</v>
      </c>
      <c r="K27" s="3" t="n">
        <f>G27 - H27</f>
        <v>0.0</v>
      </c>
      <c r="L27" s="3" t="n">
        <f>J27 + K27</f>
        <v>0.0</v>
      </c>
      <c r="M27" s="3" t="n">
        <f>H27 * 0.1500</f>
        <v>0.0</v>
      </c>
      <c r="N27" s="3" t="n">
        <f>H27 * 0.0000</f>
        <v>0.0</v>
      </c>
      <c r="O27" s="3" t="n">
        <f>ABS(M27 + N27)</f>
        <v>0.0</v>
      </c>
      <c r="P27" t="inlineStr">
        <is>
          <t/>
        </is>
      </c>
      <c r="Q27" s="3" t="n">
        <f>SUMIFS(EXPENSES!E:E, EXPENSES!B:B, "LEASE-BH-F24-2025", EXPENSES!D:D, "&gt;="&amp;DATE(2025,7,22), EXPENSES!D:D, "&lt;="&amp;DATE(2025,8,21))</f>
        <v>0.0</v>
      </c>
      <c r="R27" t="inlineStr">
        <is>
          <t/>
        </is>
      </c>
      <c r="S27" s="3" t="n">
        <f>H27 - O27 - Q27</f>
        <v>0.0</v>
      </c>
      <c r="T27" t="inlineStr">
        <is>
          <t/>
        </is>
      </c>
      <c r="U27" t="inlineStr">
        <is>
          <t/>
        </is>
      </c>
      <c r="V27" t="inlineStr">
        <is>
          <t/>
        </is>
      </c>
      <c r="W27" t="inlineStr">
        <is>
          <t/>
        </is>
      </c>
      <c r="X27" t="inlineStr">
        <is>
          <t/>
        </is>
      </c>
      <c r="Y27" s="3" t="n">
        <v>6765.0</v>
      </c>
      <c r="Z27" s="3" t="n">
        <f>S27-Y27</f>
        <v>0.0</v>
      </c>
      <c r="AA27" t="inlineStr">
        <is>
          <t>PAID</t>
        </is>
      </c>
      <c r="AB27" t="inlineStr">
        <is>
          <t>MULTIPLE</t>
        </is>
      </c>
      <c r="AC27" s="2" t="n">
        <v>45982.0</v>
      </c>
    </row>
    <row r="28">
      <c r="A28" t="inlineStr">
        <is>
          <t>LEASE-BH-F26-2025</t>
        </is>
      </c>
      <c r="B28" t="inlineStr">
        <is>
          <t>Flat 26 - 3 West Gate</t>
        </is>
      </c>
      <c r="C28" t="inlineStr">
        <is>
          <t>Achal (Delegated for Udayan)</t>
        </is>
      </c>
      <c r="D28" t="inlineStr">
        <is>
          <t>Mr Louis Scotting</t>
        </is>
      </c>
      <c r="E28" s="2" t="n">
        <v>45730.0</v>
      </c>
      <c r="F28" t="n">
        <v>14.0</v>
      </c>
      <c r="G28" s="3" t="n">
        <f>IFERROR(SUMPRODUCT((RENT_DUE!$B$2:$B$1000="LEASE-BH-F26-2025")*(RENT_DUE!$D$2:$D$1000&gt;=DATE(2025,7,22))*(RENT_DUE!$D$2:$D$1000&lt;=DATE(2025,8,21))*RENT_DUE!$L$2:$L$1000), 0)</f>
        <v>0.0</v>
      </c>
      <c r="H28" s="3" t="n">
        <f>IFERROR(SUMPRODUCT((RENT_RECEIVED!$B$2:$B$1000="LEASE-BH-F26-2025")*(RENT_RECEIVED!$E$2:$E$1000&gt;=DATE(2025,7,22))*(RENT_RECEIVED!$E$2:$E$1000&lt;=DATE(2025,8,21))*RENT_RECEIVED!$O$2:$O$1000), 0)</f>
        <v>0.0</v>
      </c>
      <c r="I28" t="inlineStr">
        <is>
          <t>HIST-2025-07-1591</t>
        </is>
      </c>
      <c r="J28" s="3" t="n">
        <f>IFERROR(SUMIFS(RENT_DUE!$L$2:$L$10000, RENT_DUE!$B$2:$B$10000, "LEASE-BH-F26-2025", RENT_DUE!$D$2:$D$10000, "&lt;"&amp;DATE(2025,7,22)), 0) - IFERROR(SUMIFS(RENT_RECEIVED!$O$2:$O$10000, RENT_RECEIVED!$B$2:$B$10000, "LEASE-BH-F26-2025", RENT_RECEIVED!$E$2:$E$10000, "&lt;"&amp;DATE(2025,7,22)), 0)</f>
        <v>0.0</v>
      </c>
      <c r="K28" s="3" t="n">
        <f>G28 - H28</f>
        <v>0.0</v>
      </c>
      <c r="L28" s="3" t="n">
        <f>J28 + K28</f>
        <v>0.0</v>
      </c>
      <c r="M28" s="3" t="n">
        <f>H28 * 0.1500</f>
        <v>0.0</v>
      </c>
      <c r="N28" s="3" t="n">
        <f>H28 * 0.0000</f>
        <v>0.0</v>
      </c>
      <c r="O28" s="3" t="n">
        <f>ABS(M28 + N28)</f>
        <v>0.0</v>
      </c>
      <c r="P28" t="inlineStr">
        <is>
          <t/>
        </is>
      </c>
      <c r="Q28" s="3" t="n">
        <f>SUMIFS(EXPENSES!E:E, EXPENSES!B:B, "LEASE-BH-F26-2025", EXPENSES!D:D, "&gt;="&amp;DATE(2025,7,22), EXPENSES!D:D, "&lt;="&amp;DATE(2025,8,21))</f>
        <v>0.0</v>
      </c>
      <c r="R28" t="inlineStr">
        <is>
          <t/>
        </is>
      </c>
      <c r="S28" s="3" t="n">
        <f>H28 - O28 - Q28</f>
        <v>0.0</v>
      </c>
      <c r="T28" t="inlineStr">
        <is>
          <t/>
        </is>
      </c>
      <c r="U28" t="inlineStr">
        <is>
          <t/>
        </is>
      </c>
      <c r="V28" t="inlineStr">
        <is>
          <t/>
        </is>
      </c>
      <c r="W28" t="inlineStr">
        <is>
          <t/>
        </is>
      </c>
      <c r="X28" t="inlineStr">
        <is>
          <t/>
        </is>
      </c>
      <c r="Y28" s="3" t="n">
        <v>5163.75</v>
      </c>
      <c r="Z28" s="3" t="n">
        <f>S28-Y28</f>
        <v>0.0</v>
      </c>
      <c r="AA28" t="inlineStr">
        <is>
          <t>PAID</t>
        </is>
      </c>
      <c r="AB28" t="inlineStr">
        <is>
          <t>MULTIPLE</t>
        </is>
      </c>
      <c r="AC28" s="2" t="n">
        <v>45992.0</v>
      </c>
    </row>
    <row r="29">
      <c r="A29" t="inlineStr">
        <is>
          <t>LEASE-BH-F27-2025</t>
        </is>
      </c>
      <c r="B29" t="inlineStr">
        <is>
          <t>Flat 27 - 3 West Gate</t>
        </is>
      </c>
      <c r="C29" t="inlineStr">
        <is>
          <t>Achal (Delegated for Udayan)</t>
        </is>
      </c>
      <c r="D29" t="inlineStr">
        <is>
          <t>Miss Sophie Murray</t>
        </is>
      </c>
      <c r="E29" s="2" t="n">
        <v>45716.0</v>
      </c>
      <c r="F29" t="n">
        <v>30.0</v>
      </c>
      <c r="G29" s="3" t="n">
        <f>IFERROR(SUMPRODUCT((RENT_DUE!$B$2:$B$1000="LEASE-BH-F27-2025")*(RENT_DUE!$D$2:$D$1000&gt;=DATE(2025,7,22))*(RENT_DUE!$D$2:$D$1000&lt;=DATE(2025,8,21))*RENT_DUE!$L$2:$L$1000), 0)</f>
        <v>0.0</v>
      </c>
      <c r="H29" s="3" t="n">
        <f>IFERROR(SUMPRODUCT((RENT_RECEIVED!$B$2:$B$1000="LEASE-BH-F27-2025")*(RENT_RECEIVED!$E$2:$E$1000&gt;=DATE(2025,7,22))*(RENT_RECEIVED!$E$2:$E$1000&lt;=DATE(2025,8,21))*RENT_RECEIVED!$O$2:$O$1000), 0)</f>
        <v>0.0</v>
      </c>
      <c r="I29" t="inlineStr">
        <is>
          <t>e1a2e4QVZE, LJMK7Oyo1q</t>
        </is>
      </c>
      <c r="J29" s="3" t="n">
        <f>IFERROR(SUMIFS(RENT_DUE!$L$2:$L$10000, RENT_DUE!$B$2:$B$10000, "LEASE-BH-F27-2025", RENT_DUE!$D$2:$D$10000, "&lt;"&amp;DATE(2025,7,22)), 0) - IFERROR(SUMIFS(RENT_RECEIVED!$O$2:$O$10000, RENT_RECEIVED!$B$2:$B$10000, "LEASE-BH-F27-2025", RENT_RECEIVED!$E$2:$E$10000, "&lt;"&amp;DATE(2025,7,22)), 0)</f>
        <v>0.0</v>
      </c>
      <c r="K29" s="3" t="n">
        <f>G29 - H29</f>
        <v>0.0</v>
      </c>
      <c r="L29" s="3" t="n">
        <f>J29 + K29</f>
        <v>0.0</v>
      </c>
      <c r="M29" s="3" t="n">
        <f>H29 * 0.1500</f>
        <v>0.0</v>
      </c>
      <c r="N29" s="3" t="n">
        <f>H29 * 0.0000</f>
        <v>0.0</v>
      </c>
      <c r="O29" s="3" t="n">
        <f>ABS(M29 + N29)</f>
        <v>0.0</v>
      </c>
      <c r="P29" t="inlineStr">
        <is>
          <t/>
        </is>
      </c>
      <c r="Q29" s="3" t="n">
        <f>SUMIFS(EXPENSES!E:E, EXPENSES!B:B, "LEASE-BH-F27-2025", EXPENSES!D:D, "&gt;="&amp;DATE(2025,7,22), EXPENSES!D:D, "&lt;="&amp;DATE(2025,8,21))</f>
        <v>0.0</v>
      </c>
      <c r="R29" t="inlineStr">
        <is>
          <t/>
        </is>
      </c>
      <c r="S29" s="3" t="n">
        <f>H29 - O29 - Q29</f>
        <v>0.0</v>
      </c>
      <c r="T29" t="inlineStr">
        <is>
          <t/>
        </is>
      </c>
      <c r="U29" t="inlineStr">
        <is>
          <t/>
        </is>
      </c>
      <c r="V29" t="inlineStr">
        <is>
          <t/>
        </is>
      </c>
      <c r="W29" t="inlineStr">
        <is>
          <t/>
        </is>
      </c>
      <c r="X29" t="inlineStr">
        <is>
          <t/>
        </is>
      </c>
      <c r="Y29" s="3" t="n">
        <v>5355.0</v>
      </c>
      <c r="Z29" s="3" t="n">
        <f>S29-Y29</f>
        <v>0.0</v>
      </c>
      <c r="AA29" t="inlineStr">
        <is>
          <t>PAID</t>
        </is>
      </c>
      <c r="AB29" t="inlineStr">
        <is>
          <t>MULTIPLE</t>
        </is>
      </c>
      <c r="AC29" s="2" t="n">
        <v>45982.0</v>
      </c>
    </row>
    <row r="30">
      <c r="A30" t="inlineStr">
        <is>
          <t>LEASE-BH-F28-2025</t>
        </is>
      </c>
      <c r="B30" t="inlineStr">
        <is>
          <t>Flat 28 - 3 West Gate</t>
        </is>
      </c>
      <c r="C30" t="inlineStr">
        <is>
          <t>Achal (Delegated for Udayan)</t>
        </is>
      </c>
      <c r="D30" t="inlineStr">
        <is>
          <t>Ms Shiu Lun Cheung, Mr Chi Man Poon</t>
        </is>
      </c>
      <c r="E30" s="2" t="n">
        <v>45744.0</v>
      </c>
      <c r="F30" t="n">
        <v>18.0</v>
      </c>
      <c r="G30" s="3" t="n">
        <f>IFERROR(SUMPRODUCT((RENT_DUE!$B$2:$B$1000="LEASE-BH-F28-2025")*(RENT_DUE!$D$2:$D$1000&gt;=DATE(2025,7,22))*(RENT_DUE!$D$2:$D$1000&lt;=DATE(2025,8,21))*RENT_DUE!$L$2:$L$1000), 0)</f>
        <v>0.0</v>
      </c>
      <c r="H30" s="3" t="n">
        <f>IFERROR(SUMPRODUCT((RENT_RECEIVED!$B$2:$B$1000="LEASE-BH-F28-2025")*(RENT_RECEIVED!$E$2:$E$1000&gt;=DATE(2025,7,22))*(RENT_RECEIVED!$E$2:$E$1000&lt;=DATE(2025,8,21))*RENT_RECEIVED!$O$2:$O$1000), 0)</f>
        <v>0.0</v>
      </c>
      <c r="I30" t="inlineStr">
        <is>
          <t>HIST-2025-07-1591, HIST-2025-10-1650</t>
        </is>
      </c>
      <c r="J30" s="3" t="n">
        <f>IFERROR(SUMIFS(RENT_DUE!$L$2:$L$10000, RENT_DUE!$B$2:$B$10000, "LEASE-BH-F28-2025", RENT_DUE!$D$2:$D$10000, "&lt;"&amp;DATE(2025,7,22)), 0) - IFERROR(SUMIFS(RENT_RECEIVED!$O$2:$O$10000, RENT_RECEIVED!$B$2:$B$10000, "LEASE-BH-F28-2025", RENT_RECEIVED!$E$2:$E$10000, "&lt;"&amp;DATE(2025,7,22)), 0)</f>
        <v>0.0</v>
      </c>
      <c r="K30" s="3" t="n">
        <f>G30 - H30</f>
        <v>0.0</v>
      </c>
      <c r="L30" s="3" t="n">
        <f>J30 + K30</f>
        <v>0.0</v>
      </c>
      <c r="M30" s="3" t="n">
        <f>H30 * 0.1500</f>
        <v>0.0</v>
      </c>
      <c r="N30" s="3" t="n">
        <f>H30 * 0.0000</f>
        <v>0.0</v>
      </c>
      <c r="O30" s="3" t="n">
        <f>ABS(M30 + N30)</f>
        <v>0.0</v>
      </c>
      <c r="P30" t="inlineStr">
        <is>
          <t/>
        </is>
      </c>
      <c r="Q30" s="3" t="n">
        <f>SUMIFS(EXPENSES!E:E, EXPENSES!B:B, "LEASE-BH-F28-2025", EXPENSES!D:D, "&gt;="&amp;DATE(2025,7,22), EXPENSES!D:D, "&lt;="&amp;DATE(2025,8,21))</f>
        <v>0.0</v>
      </c>
      <c r="R30" t="inlineStr">
        <is>
          <t/>
        </is>
      </c>
      <c r="S30" s="3" t="n">
        <f>H30 - O30 - Q30</f>
        <v>0.0</v>
      </c>
      <c r="T30" t="inlineStr">
        <is>
          <t/>
        </is>
      </c>
      <c r="U30" t="inlineStr">
        <is>
          <t/>
        </is>
      </c>
      <c r="V30" t="inlineStr">
        <is>
          <t/>
        </is>
      </c>
      <c r="W30" t="inlineStr">
        <is>
          <t/>
        </is>
      </c>
      <c r="X30" t="inlineStr">
        <is>
          <t/>
        </is>
      </c>
      <c r="Y30" s="3" t="n">
        <v>0.0</v>
      </c>
      <c r="Z30" s="3" t="n">
        <f>S30-Y30</f>
        <v>0.0</v>
      </c>
      <c r="AA30" t="inlineStr">
        <is>
          <t>PAID</t>
        </is>
      </c>
      <c r="AB30" t="inlineStr">
        <is>
          <t>HIST-2025-10-1650</t>
        </is>
      </c>
      <c r="AC30" s="2" t="n">
        <v>45951.0</v>
      </c>
    </row>
    <row r="31">
      <c r="A31" t="inlineStr">
        <is>
          <t>LEASE-BH-F29-2025</t>
        </is>
      </c>
      <c r="B31" t="inlineStr">
        <is>
          <t>Flat 29 - 3 West Gate</t>
        </is>
      </c>
      <c r="C31" t="inlineStr">
        <is>
          <t>Achal (Delegated for Udayan)</t>
        </is>
      </c>
      <c r="D31" t="inlineStr">
        <is>
          <t>Mrs Margaret Fritchley</t>
        </is>
      </c>
      <c r="E31" s="2" t="n">
        <v>45715.0</v>
      </c>
      <c r="F31" t="n">
        <v>27.0</v>
      </c>
      <c r="G31" s="3" t="n">
        <f>IFERROR(SUMPRODUCT((RENT_DUE!$B$2:$B$1000="LEASE-BH-F29-2025")*(RENT_DUE!$D$2:$D$1000&gt;=DATE(2025,7,22))*(RENT_DUE!$D$2:$D$1000&lt;=DATE(2025,8,21))*RENT_DUE!$L$2:$L$1000), 0)</f>
        <v>0.0</v>
      </c>
      <c r="H31" s="3" t="n">
        <f>IFERROR(SUMPRODUCT((RENT_RECEIVED!$B$2:$B$1000="LEASE-BH-F29-2025")*(RENT_RECEIVED!$E$2:$E$1000&gt;=DATE(2025,7,22))*(RENT_RECEIVED!$E$2:$E$1000&lt;=DATE(2025,8,21))*RENT_RECEIVED!$O$2:$O$1000), 0)</f>
        <v>0.0</v>
      </c>
      <c r="I31" t="inlineStr">
        <is>
          <t>LJMK7Oyo1q</t>
        </is>
      </c>
      <c r="J31" s="3" t="n">
        <f>IFERROR(SUMIFS(RENT_DUE!$L$2:$L$10000, RENT_DUE!$B$2:$B$10000, "LEASE-BH-F29-2025", RENT_DUE!$D$2:$D$10000, "&lt;"&amp;DATE(2025,7,22)), 0) - IFERROR(SUMIFS(RENT_RECEIVED!$O$2:$O$10000, RENT_RECEIVED!$B$2:$B$10000, "LEASE-BH-F29-2025", RENT_RECEIVED!$E$2:$E$10000, "&lt;"&amp;DATE(2025,7,22)), 0)</f>
        <v>0.0</v>
      </c>
      <c r="K31" s="3" t="n">
        <f>G31 - H31</f>
        <v>0.0</v>
      </c>
      <c r="L31" s="3" t="n">
        <f>J31 + K31</f>
        <v>0.0</v>
      </c>
      <c r="M31" s="3" t="n">
        <f>H31 * 0.1500</f>
        <v>0.0</v>
      </c>
      <c r="N31" s="3" t="n">
        <f>H31 * 0.0000</f>
        <v>0.0</v>
      </c>
      <c r="O31" s="3" t="n">
        <f>ABS(M31 + N31)</f>
        <v>0.0</v>
      </c>
      <c r="P31" t="inlineStr">
        <is>
          <t/>
        </is>
      </c>
      <c r="Q31" s="3" t="n">
        <f>SUMIFS(EXPENSES!E:E, EXPENSES!B:B, "LEASE-BH-F29-2025", EXPENSES!D:D, "&gt;="&amp;DATE(2025,7,22), EXPENSES!D:D, "&lt;="&amp;DATE(2025,8,21))</f>
        <v>0.0</v>
      </c>
      <c r="R31" t="inlineStr">
        <is>
          <t/>
        </is>
      </c>
      <c r="S31" s="3" t="n">
        <f>H31 - O31 - Q31</f>
        <v>0.0</v>
      </c>
      <c r="T31" t="inlineStr">
        <is>
          <t/>
        </is>
      </c>
      <c r="U31" t="inlineStr">
        <is>
          <t/>
        </is>
      </c>
      <c r="V31" t="inlineStr">
        <is>
          <t/>
        </is>
      </c>
      <c r="W31" t="inlineStr">
        <is>
          <t/>
        </is>
      </c>
      <c r="X31" t="inlineStr">
        <is>
          <t/>
        </is>
      </c>
      <c r="Y31" s="3" t="n">
        <v>5541.0</v>
      </c>
      <c r="Z31" s="3" t="n">
        <f>S31-Y31</f>
        <v>0.0</v>
      </c>
      <c r="AA31" t="inlineStr">
        <is>
          <t>PAID</t>
        </is>
      </c>
      <c r="AB31" t="inlineStr">
        <is>
          <t>MULTIPLE</t>
        </is>
      </c>
      <c r="AC31" s="2" t="n">
        <v>45982.0</v>
      </c>
    </row>
    <row r="32">
      <c r="A32" t="inlineStr">
        <is>
          <t>LEASE-BH-F30-2025</t>
        </is>
      </c>
      <c r="B32" t="inlineStr">
        <is>
          <t>Flat 30 - 3 West Gate</t>
        </is>
      </c>
      <c r="C32" t="inlineStr">
        <is>
          <t>Achal (Delegated for Udayan)</t>
        </is>
      </c>
      <c r="D32" t="inlineStr">
        <is>
          <t>Mr Joel Bryan</t>
        </is>
      </c>
      <c r="E32" s="2" t="n">
        <v>45722.0</v>
      </c>
      <c r="F32" t="n">
        <v>6.0</v>
      </c>
      <c r="G32" s="3" t="n">
        <f>IFERROR(SUMPRODUCT((RENT_DUE!$B$2:$B$1000="LEASE-BH-F30-2025")*(RENT_DUE!$D$2:$D$1000&gt;=DATE(2025,7,22))*(RENT_DUE!$D$2:$D$1000&lt;=DATE(2025,8,21))*RENT_DUE!$L$2:$L$1000), 0)</f>
        <v>0.0</v>
      </c>
      <c r="H32" s="3" t="n">
        <f>IFERROR(SUMPRODUCT((RENT_RECEIVED!$B$2:$B$1000="LEASE-BH-F30-2025")*(RENT_RECEIVED!$E$2:$E$1000&gt;=DATE(2025,7,22))*(RENT_RECEIVED!$E$2:$E$1000&lt;=DATE(2025,8,21))*RENT_RECEIVED!$O$2:$O$1000), 0)</f>
        <v>0.0</v>
      </c>
      <c r="I32" t="inlineStr">
        <is>
          <t>HIST-2025-10-1650</t>
        </is>
      </c>
      <c r="J32" s="3" t="n">
        <f>IFERROR(SUMIFS(RENT_DUE!$L$2:$L$10000, RENT_DUE!$B$2:$B$10000, "LEASE-BH-F30-2025", RENT_DUE!$D$2:$D$10000, "&lt;"&amp;DATE(2025,7,22)), 0) - IFERROR(SUMIFS(RENT_RECEIVED!$O$2:$O$10000, RENT_RECEIVED!$B$2:$B$10000, "LEASE-BH-F30-2025", RENT_RECEIVED!$E$2:$E$10000, "&lt;"&amp;DATE(2025,7,22)), 0)</f>
        <v>0.0</v>
      </c>
      <c r="K32" s="3" t="n">
        <f>G32 - H32</f>
        <v>0.0</v>
      </c>
      <c r="L32" s="3" t="n">
        <f>J32 + K32</f>
        <v>0.0</v>
      </c>
      <c r="M32" s="3" t="n">
        <f>H32 * 0.1500</f>
        <v>0.0</v>
      </c>
      <c r="N32" s="3" t="n">
        <f>H32 * 0.0000</f>
        <v>0.0</v>
      </c>
      <c r="O32" s="3" t="n">
        <f>ABS(M32 + N32)</f>
        <v>0.0</v>
      </c>
      <c r="P32" t="inlineStr">
        <is>
          <t/>
        </is>
      </c>
      <c r="Q32" s="3" t="n">
        <f>SUMIFS(EXPENSES!E:E, EXPENSES!B:B, "LEASE-BH-F30-2025", EXPENSES!D:D, "&gt;="&amp;DATE(2025,7,22), EXPENSES!D:D, "&lt;="&amp;DATE(2025,8,21))</f>
        <v>0.0</v>
      </c>
      <c r="R32" t="inlineStr">
        <is>
          <t/>
        </is>
      </c>
      <c r="S32" s="3" t="n">
        <f>H32 - O32 - Q32</f>
        <v>0.0</v>
      </c>
      <c r="T32" t="inlineStr">
        <is>
          <t/>
        </is>
      </c>
      <c r="U32" t="inlineStr">
        <is>
          <t/>
        </is>
      </c>
      <c r="V32" t="inlineStr">
        <is>
          <t/>
        </is>
      </c>
      <c r="W32" t="inlineStr">
        <is>
          <t/>
        </is>
      </c>
      <c r="X32" t="inlineStr">
        <is>
          <t/>
        </is>
      </c>
      <c r="Y32" s="3" t="n">
        <v>5032.0</v>
      </c>
      <c r="Z32" s="3" t="n">
        <f>S32-Y32</f>
        <v>0.0</v>
      </c>
      <c r="AA32" t="inlineStr">
        <is>
          <t>PAID</t>
        </is>
      </c>
      <c r="AB32" t="inlineStr">
        <is>
          <t>MULTIPLE</t>
        </is>
      </c>
      <c r="AC32" s="2" t="n">
        <v>45992.0</v>
      </c>
    </row>
    <row r="33">
      <c r="A33" t="inlineStr">
        <is>
          <t>LEASE-BH-PS1-2025</t>
        </is>
      </c>
      <c r="B33" t="inlineStr">
        <is>
          <t>Parking Space 1 - 3 West Gate</t>
        </is>
      </c>
      <c r="C33" t="inlineStr">
        <is>
          <t>Achal (Delegated for Udayan)</t>
        </is>
      </c>
      <c r="D33" t="inlineStr">
        <is>
          <t>Mr Shermal Wijesinghage, Mrs Udeshika Dona</t>
        </is>
      </c>
      <c r="E33" s="2" t="n">
        <v>45842.0</v>
      </c>
      <c r="F33" t="n">
        <v>4.0</v>
      </c>
      <c r="G33" s="3" t="n">
        <f>IFERROR(SUMPRODUCT((RENT_DUE!$B$2:$B$1000="LEASE-BH-PS1-2025")*(RENT_DUE!$D$2:$D$1000&gt;=DATE(2025,7,22))*(RENT_DUE!$D$2:$D$1000&lt;=DATE(2025,8,21))*RENT_DUE!$L$2:$L$1000), 0)</f>
        <v>0.0</v>
      </c>
      <c r="H33" s="3" t="n">
        <f>IFERROR(SUMPRODUCT((RENT_RECEIVED!$B$2:$B$1000="LEASE-BH-PS1-2025")*(RENT_RECEIVED!$E$2:$E$1000&gt;=DATE(2025,7,22))*(RENT_RECEIVED!$E$2:$E$1000&lt;=DATE(2025,8,21))*RENT_RECEIVED!$O$2:$O$1000), 0)</f>
        <v>0.0</v>
      </c>
      <c r="I33" t="inlineStr">
        <is>
          <t/>
        </is>
      </c>
      <c r="J33" s="3" t="n">
        <f>IFERROR(SUMIFS(RENT_DUE!$L$2:$L$10000, RENT_DUE!$B$2:$B$10000, "LEASE-BH-PS1-2025", RENT_DUE!$D$2:$D$10000, "&lt;"&amp;DATE(2025,7,22)), 0) - IFERROR(SUMIFS(RENT_RECEIVED!$O$2:$O$10000, RENT_RECEIVED!$B$2:$B$10000, "LEASE-BH-PS1-2025", RENT_RECEIVED!$E$2:$E$10000, "&lt;"&amp;DATE(2025,7,22)), 0)</f>
        <v>0.0</v>
      </c>
      <c r="K33" s="3" t="n">
        <f>G33 - H33</f>
        <v>0.0</v>
      </c>
      <c r="L33" s="3" t="n">
        <f>J33 + K33</f>
        <v>0.0</v>
      </c>
      <c r="M33" s="3" t="n">
        <f>H33 * 0.1500</f>
        <v>0.0</v>
      </c>
      <c r="N33" s="3" t="n">
        <f>H33 * 0.0000</f>
        <v>0.0</v>
      </c>
      <c r="O33" s="3" t="n">
        <f>ABS(M33 + N33)</f>
        <v>0.0</v>
      </c>
      <c r="P33" t="inlineStr">
        <is>
          <t/>
        </is>
      </c>
      <c r="Q33" s="3" t="n">
        <f>SUMIFS(EXPENSES!E:E, EXPENSES!B:B, "LEASE-BH-PS1-2025", EXPENSES!D:D, "&gt;="&amp;DATE(2025,7,22), EXPENSES!D:D, "&lt;="&amp;DATE(2025,8,21))</f>
        <v>0.0</v>
      </c>
      <c r="R33" t="inlineStr">
        <is>
          <t/>
        </is>
      </c>
      <c r="S33" s="3" t="n">
        <f>H33 - O33 - Q33</f>
        <v>0.0</v>
      </c>
      <c r="T33" t="inlineStr">
        <is>
          <t/>
        </is>
      </c>
      <c r="U33" t="inlineStr">
        <is>
          <t/>
        </is>
      </c>
      <c r="V33" t="inlineStr">
        <is>
          <t/>
        </is>
      </c>
      <c r="W33" t="inlineStr">
        <is>
          <t/>
        </is>
      </c>
      <c r="X33" t="inlineStr">
        <is>
          <t/>
        </is>
      </c>
      <c r="Y33" s="3" t="n">
        <v>0.0</v>
      </c>
      <c r="Z33" s="3" t="n">
        <f>S33-Y33</f>
        <v>0.0</v>
      </c>
      <c r="AA33" t="inlineStr">
        <is>
          <t>NONE</t>
        </is>
      </c>
      <c r="AB33" t="inlineStr">
        <is>
          <t>-</t>
        </is>
      </c>
      <c r="AC33" t="inlineStr">
        <is>
          <t/>
        </is>
      </c>
    </row>
    <row r="34">
      <c r="A34" t="inlineStr">
        <is>
          <t>LEASE-BH-PS2-2025</t>
        </is>
      </c>
      <c r="B34" t="inlineStr">
        <is>
          <t>Parking Space 2 - 3 West Gate</t>
        </is>
      </c>
      <c r="C34" t="inlineStr">
        <is>
          <t>Achal (Delegated for Udayan)</t>
        </is>
      </c>
      <c r="D34" t="inlineStr">
        <is>
          <t>Nirmali Gedara and Janith Hetti Arachchilage</t>
        </is>
      </c>
      <c r="E34" s="2" t="n">
        <v>45852.0</v>
      </c>
      <c r="F34" t="n">
        <v>14.0</v>
      </c>
      <c r="G34" s="3" t="n">
        <f>IFERROR(SUMPRODUCT((RENT_DUE!$B$2:$B$1000="LEASE-BH-PS2-2025")*(RENT_DUE!$D$2:$D$1000&gt;=DATE(2025,7,22))*(RENT_DUE!$D$2:$D$1000&lt;=DATE(2025,8,21))*RENT_DUE!$L$2:$L$1000), 0)</f>
        <v>0.0</v>
      </c>
      <c r="H34" s="3" t="n">
        <f>IFERROR(SUMPRODUCT((RENT_RECEIVED!$B$2:$B$1000="LEASE-BH-PS2-2025")*(RENT_RECEIVED!$E$2:$E$1000&gt;=DATE(2025,7,22))*(RENT_RECEIVED!$E$2:$E$1000&lt;=DATE(2025,8,21))*RENT_RECEIVED!$O$2:$O$1000), 0)</f>
        <v>0.0</v>
      </c>
      <c r="I34" t="inlineStr">
        <is>
          <t/>
        </is>
      </c>
      <c r="J34" s="3" t="n">
        <f>IFERROR(SUMIFS(RENT_DUE!$L$2:$L$10000, RENT_DUE!$B$2:$B$10000, "LEASE-BH-PS2-2025", RENT_DUE!$D$2:$D$10000, "&lt;"&amp;DATE(2025,7,22)), 0) - IFERROR(SUMIFS(RENT_RECEIVED!$O$2:$O$10000, RENT_RECEIVED!$B$2:$B$10000, "LEASE-BH-PS2-2025", RENT_RECEIVED!$E$2:$E$10000, "&lt;"&amp;DATE(2025,7,22)), 0)</f>
        <v>0.0</v>
      </c>
      <c r="K34" s="3" t="n">
        <f>G34 - H34</f>
        <v>0.0</v>
      </c>
      <c r="L34" s="3" t="n">
        <f>J34 + K34</f>
        <v>0.0</v>
      </c>
      <c r="M34" s="3" t="n">
        <f>H34 * 0.1500</f>
        <v>0.0</v>
      </c>
      <c r="N34" s="3" t="n">
        <f>H34 * 0.0000</f>
        <v>0.0</v>
      </c>
      <c r="O34" s="3" t="n">
        <f>ABS(M34 + N34)</f>
        <v>0.0</v>
      </c>
      <c r="P34" t="inlineStr">
        <is>
          <t/>
        </is>
      </c>
      <c r="Q34" s="3" t="n">
        <f>SUMIFS(EXPENSES!E:E, EXPENSES!B:B, "LEASE-BH-PS2-2025", EXPENSES!D:D, "&gt;="&amp;DATE(2025,7,22), EXPENSES!D:D, "&lt;="&amp;DATE(2025,8,21))</f>
        <v>0.0</v>
      </c>
      <c r="R34" t="inlineStr">
        <is>
          <t/>
        </is>
      </c>
      <c r="S34" s="3" t="n">
        <f>H34 - O34 - Q34</f>
        <v>0.0</v>
      </c>
      <c r="T34" t="inlineStr">
        <is>
          <t/>
        </is>
      </c>
      <c r="U34" t="inlineStr">
        <is>
          <t/>
        </is>
      </c>
      <c r="V34" t="inlineStr">
        <is>
          <t/>
        </is>
      </c>
      <c r="W34" t="inlineStr">
        <is>
          <t/>
        </is>
      </c>
      <c r="X34" t="inlineStr">
        <is>
          <t/>
        </is>
      </c>
      <c r="Y34" s="3" t="n">
        <v>0.0</v>
      </c>
      <c r="Z34" s="3" t="n">
        <f>S34-Y34</f>
        <v>0.0</v>
      </c>
      <c r="AA34" t="inlineStr">
        <is>
          <t>NONE</t>
        </is>
      </c>
      <c r="AB34" t="inlineStr">
        <is>
          <t>-</t>
        </is>
      </c>
      <c r="AC34" t="inlineStr">
        <is>
          <t/>
        </is>
      </c>
    </row>
    <row r="35">
      <c r="A35" t="inlineStr">
        <is>
          <t>LEASE-KH-F-2024</t>
        </is>
      </c>
      <c r="B35" t="inlineStr">
        <is>
          <t>Apartment F - Knighton Hayes Manor</t>
        </is>
      </c>
      <c r="C35" t="inlineStr">
        <is>
          <t>Achal (Delegated for Udayan)</t>
        </is>
      </c>
      <c r="D35" t="inlineStr">
        <is>
          <t>Mr Riaz Hamid, Ismat Tarr-Hamid</t>
        </is>
      </c>
      <c r="E35" s="2" t="n">
        <v>45648.0</v>
      </c>
      <c r="F35" t="n">
        <v>22.0</v>
      </c>
      <c r="G35" s="3" t="n">
        <f>IFERROR(SUMPRODUCT((RENT_DUE!$B$2:$B$1000="LEASE-KH-F-2024")*(RENT_DUE!$D$2:$D$1000&gt;=DATE(2025,7,22))*(RENT_DUE!$D$2:$D$1000&lt;=DATE(2025,8,21))*RENT_DUE!$L$2:$L$1000), 0)</f>
        <v>0.0</v>
      </c>
      <c r="H35" s="3" t="n">
        <f>IFERROR(SUMPRODUCT((RENT_RECEIVED!$B$2:$B$1000="LEASE-KH-F-2024")*(RENT_RECEIVED!$E$2:$E$1000&gt;=DATE(2025,7,22))*(RENT_RECEIVED!$E$2:$E$1000&lt;=DATE(2025,8,21))*RENT_RECEIVED!$O$2:$O$1000), 0)</f>
        <v>0.0</v>
      </c>
      <c r="I35" t="inlineStr">
        <is>
          <t>e1a2e4QVZE</t>
        </is>
      </c>
      <c r="J35" s="3" t="n">
        <f>IFERROR(SUMIFS(RENT_DUE!$L$2:$L$10000, RENT_DUE!$B$2:$B$10000, "LEASE-KH-F-2024", RENT_DUE!$D$2:$D$10000, "&lt;"&amp;DATE(2025,7,22)), 0) - IFERROR(SUMIFS(RENT_RECEIVED!$O$2:$O$10000, RENT_RECEIVED!$B$2:$B$10000, "LEASE-KH-F-2024", RENT_RECEIVED!$E$2:$E$10000, "&lt;"&amp;DATE(2025,7,22)), 0)</f>
        <v>0.0</v>
      </c>
      <c r="K35" s="3" t="n">
        <f>G35 - H35</f>
        <v>0.0</v>
      </c>
      <c r="L35" s="3" t="n">
        <f>J35 + K35</f>
        <v>0.0</v>
      </c>
      <c r="M35" s="3" t="n">
        <f>H35 * 0.1000</f>
        <v>0.0</v>
      </c>
      <c r="N35" s="3" t="n">
        <f>H35 * 0.0000</f>
        <v>0.0</v>
      </c>
      <c r="O35" s="3" t="n">
        <f>ABS(M35 + N35)</f>
        <v>0.0</v>
      </c>
      <c r="P35" t="inlineStr">
        <is>
          <t/>
        </is>
      </c>
      <c r="Q35" s="3" t="n">
        <f>SUMIFS(EXPENSES!E:E, EXPENSES!B:B, "LEASE-KH-F-2024", EXPENSES!D:D, "&gt;="&amp;DATE(2025,7,22), EXPENSES!D:D, "&lt;="&amp;DATE(2025,8,21))</f>
        <v>0.0</v>
      </c>
      <c r="R35" t="inlineStr">
        <is>
          <t/>
        </is>
      </c>
      <c r="S35" s="3" t="n">
        <f>H35 - O35 - Q35</f>
        <v>0.0</v>
      </c>
      <c r="T35" t="inlineStr">
        <is>
          <t/>
        </is>
      </c>
      <c r="U35" t="inlineStr">
        <is>
          <t/>
        </is>
      </c>
      <c r="V35" t="inlineStr">
        <is>
          <t/>
        </is>
      </c>
      <c r="W35" t="inlineStr">
        <is>
          <t/>
        </is>
      </c>
      <c r="X35" t="inlineStr">
        <is>
          <t/>
        </is>
      </c>
      <c r="Y35" s="3" t="n">
        <v>12150.0</v>
      </c>
      <c r="Z35" s="3" t="n">
        <f>S35-Y35</f>
        <v>0.0</v>
      </c>
      <c r="AA35" t="inlineStr">
        <is>
          <t>PAID</t>
        </is>
      </c>
      <c r="AB35" t="inlineStr">
        <is>
          <t>MULTIPLE</t>
        </is>
      </c>
      <c r="AC35" s="2" t="n">
        <v>45982.0</v>
      </c>
    </row>
    <row r="36">
      <c r="A36" t="inlineStr">
        <is>
          <t>BODEN-BLOCK-2025</t>
        </is>
      </c>
      <c r="B36" t="inlineStr">
        <is>
          <t>Boden House Block - Block Property</t>
        </is>
      </c>
      <c r="C36" t="inlineStr">
        <is>
          <t>Achal (Delegated for Udayan)</t>
        </is>
      </c>
      <c r="D36" t="inlineStr">
        <is>
          <t>Prestvale Properties Limited</t>
        </is>
      </c>
      <c r="E36" s="2" t="n">
        <v>45717.0</v>
      </c>
      <c r="F36" t="n">
        <v>1.0</v>
      </c>
      <c r="G36" s="3" t="n">
        <f>IFERROR(SUMPRODUCT((RENT_DUE!$B$2:$B$1000="BODEN-BLOCK-2025")*(RENT_DUE!$D$2:$D$1000&gt;=DATE(2025,7,22))*(RENT_DUE!$D$2:$D$1000&lt;=DATE(2025,8,21))*RENT_DUE!$L$2:$L$1000), 0)</f>
        <v>0.0</v>
      </c>
      <c r="H36" s="3" t="n">
        <f>IFERROR(SUMPRODUCT((RENT_RECEIVED!$B$2:$B$1000="BODEN-BLOCK-2025")*(RENT_RECEIVED!$E$2:$E$1000&gt;=DATE(2025,7,22))*(RENT_RECEIVED!$E$2:$E$1000&lt;=DATE(2025,8,21))*RENT_RECEIVED!$O$2:$O$1000), 0)</f>
        <v>0.0</v>
      </c>
      <c r="I36" t="inlineStr">
        <is>
          <t/>
        </is>
      </c>
      <c r="J36" s="3" t="n">
        <f>IFERROR(SUMIFS(RENT_DUE!$L$2:$L$10000, RENT_DUE!$B$2:$B$10000, "BODEN-BLOCK-2025", RENT_DUE!$D$2:$D$10000, "&lt;"&amp;DATE(2025,7,22)), 0) - IFERROR(SUMIFS(RENT_RECEIVED!$O$2:$O$10000, RENT_RECEIVED!$B$2:$B$10000, "BODEN-BLOCK-2025", RENT_RECEIVED!$E$2:$E$10000, "&lt;"&amp;DATE(2025,7,22)), 0)</f>
        <v>0.0</v>
      </c>
      <c r="K36" s="3" t="n">
        <f>G36 - H36</f>
        <v>0.0</v>
      </c>
      <c r="L36" s="3" t="n">
        <f>J36 + K36</f>
        <v>0.0</v>
      </c>
      <c r="M36" s="3" t="n">
        <f>H36 * 0.0000</f>
        <v>0.0</v>
      </c>
      <c r="N36" s="3" t="n">
        <f>H36 * 0.0500</f>
        <v>0.0</v>
      </c>
      <c r="O36" s="3" t="n">
        <f>ABS(M36 + N36)</f>
        <v>0.0</v>
      </c>
      <c r="P36" t="inlineStr">
        <is>
          <t>HIST-2025-10-1650</t>
        </is>
      </c>
      <c r="Q36" s="3" t="n">
        <f>SUMIFS(EXPENSES!E:E, EXPENSES!B:B, "BODEN-BLOCK-2025", EXPENSES!D:D, "&gt;="&amp;DATE(2025,7,22), EXPENSES!D:D, "&lt;="&amp;DATE(2025,8,21))</f>
        <v>0.0</v>
      </c>
      <c r="R36" t="inlineStr">
        <is>
          <t>HIST-2025-10-1650</t>
        </is>
      </c>
      <c r="S36" s="3" t="n">
        <f>H36 - O36 - Q36</f>
        <v>0.0</v>
      </c>
      <c r="T36" t="inlineStr">
        <is>
          <t>Boden House NG10</t>
        </is>
      </c>
      <c r="U36" s="3" t="n">
        <f>IFERROR(SUMIFS(PROPERTY_ACCOUNT!D:D, PROPERTY_ACCOUNT!A:A, T36, PROPERTY_ACCOUNT!B:B, "opening"), 0)</f>
        <v>0.0</v>
      </c>
      <c r="V36" s="3" t="n">
        <f>IFERROR(SUMIFS(PROPERTY_ACCOUNT!D:D, PROPERTY_ACCOUNT!A:A, T36, PROPERTY_ACCOUNT!B:B, "in"), 0)</f>
        <v>0.0</v>
      </c>
      <c r="W36" s="3" t="n">
        <f>IFERROR(SUMIFS(PROPERTY_ACCOUNT!D:D, PROPERTY_ACCOUNT!A:A, T36, PROPERTY_ACCOUNT!B:B, "out"), 0)</f>
        <v>0.0</v>
      </c>
      <c r="X36" s="3" t="n">
        <f>U36 + V36 - W36</f>
        <v>0.0</v>
      </c>
      <c r="Y36" s="3" t="n">
        <v>0.0</v>
      </c>
      <c r="Z36" s="3" t="n">
        <f>S36-Y36</f>
        <v>0.0</v>
      </c>
      <c r="AA36" t="inlineStr">
        <is>
          <t>PAID</t>
        </is>
      </c>
      <c r="AB36" t="inlineStr">
        <is>
          <t>MULTIPLE</t>
        </is>
      </c>
      <c r="AC36" s="2" t="n">
        <v>45993.0</v>
      </c>
    </row>
    <row r="37">
      <c r="A37" s="5" t="inlineStr">
        <is>
          <t>TOTALS</t>
        </is>
      </c>
      <c r="G37" s="6" t="n">
        <f>SUM(G2:G36)</f>
        <v>0.0</v>
      </c>
      <c r="H37" s="6" t="n">
        <f>SUM(H2:H36)</f>
        <v>0.0</v>
      </c>
      <c r="I37" t="inlineStr">
        <is>
          <t/>
        </is>
      </c>
      <c r="J37" s="6" t="n">
        <f>SUM(J2:J36)</f>
        <v>0.0</v>
      </c>
      <c r="K37" s="6" t="n">
        <f>SUM(K2:K36)</f>
        <v>0.0</v>
      </c>
      <c r="L37" s="6" t="n">
        <f>SUM(L2:L36)</f>
        <v>0.0</v>
      </c>
      <c r="M37" s="6" t="n">
        <f>SUM(M2:M36)</f>
        <v>0.0</v>
      </c>
      <c r="N37" s="6" t="n">
        <f>SUM(N2:N36)</f>
        <v>0.0</v>
      </c>
      <c r="O37" s="6" t="n">
        <f>SUM(O2:O36)</f>
        <v>0.0</v>
      </c>
      <c r="P37" t="inlineStr">
        <is>
          <t/>
        </is>
      </c>
      <c r="Q37" s="6" t="n">
        <f>SUM(Q2:Q36)</f>
        <v>0.0</v>
      </c>
      <c r="R37" t="inlineStr">
        <is>
          <t/>
        </is>
      </c>
      <c r="S37" s="6" t="n">
        <f>SUM(S2:S36)</f>
        <v>0.0</v>
      </c>
      <c r="T37" t="inlineStr">
        <is>
          <t/>
        </is>
      </c>
      <c r="U37" s="6" t="n">
        <f>SUM(U2:U36)</f>
        <v>0.0</v>
      </c>
      <c r="V37" s="6" t="n">
        <f>SUM(V2:V36)</f>
        <v>0.0</v>
      </c>
      <c r="W37" s="6" t="n">
        <f>SUM(W2:W36)</f>
        <v>0.0</v>
      </c>
      <c r="X37" s="6" t="n">
        <f>SUM(X2:X36)</f>
        <v>0.0</v>
      </c>
    </row>
    <row r="39">
      <c r="A39" s="5" t="inlineStr">
        <is>
          <t>PAYMENT RECONCILIATION</t>
        </is>
      </c>
    </row>
    <row r="40">
      <c r="A40" t="inlineStr">
        <is>
          <t>Period: 2025-07-22 to 2025-08-21</t>
        </is>
      </c>
    </row>
    <row r="42">
      <c r="A42" s="5" t="inlineStr">
        <is>
          <t>BROUGHT FORWARD (items from prior periods paid this period)</t>
        </is>
      </c>
    </row>
    <row r="43">
      <c r="A43" t="inlineStr">
        <is>
          <t xml:space="preserve">  Prior Period Income:</t>
        </is>
      </c>
    </row>
    <row r="44">
      <c r="A44" t="inlineStr">
        <is>
          <t xml:space="preserve">    2025-05-19 | Apartment F - Knighton Hayes Manor | rent</t>
        </is>
      </c>
      <c r="B44" s="3" t="n">
        <v>1012.5</v>
      </c>
    </row>
    <row r="45">
      <c r="A45" s="5" t="inlineStr">
        <is>
          <t xml:space="preserve">  Prior Period Income Total (1 items):</t>
        </is>
      </c>
      <c r="B45" s="6" t="n">
        <v>1012.5</v>
      </c>
    </row>
    <row r="46">
      <c r="A46" t="inlineStr">
        <is>
          <t xml:space="preserve">  Prior Period Expenses: None</t>
        </is>
      </c>
    </row>
    <row r="47">
      <c r="A47" s="5" t="inlineStr">
        <is>
          <t xml:space="preserve">  NET B/F (Income - Expenses):</t>
        </is>
      </c>
      <c r="B47" s="6" t="n">
        <v>1012.5</v>
      </c>
    </row>
    <row r="49">
      <c r="A49" s="5" t="inlineStr">
        <is>
          <t>THIS PERIOD ACTIVITY (see transactions above for details)</t>
        </is>
      </c>
    </row>
    <row r="50">
      <c r="A50" t="inlineStr">
        <is>
          <t xml:space="preserve">  Period Income (18 transactions)</t>
        </is>
      </c>
      <c r="B50" s="3" t="n">
        <v>11960.5</v>
      </c>
    </row>
    <row r="51">
      <c r="A51" t="inlineStr">
        <is>
          <t xml:space="preserve">  Period Expenses (0 transactions)</t>
        </is>
      </c>
      <c r="B51" s="3" t="n">
        <v>0.0</v>
      </c>
    </row>
    <row r="52">
      <c r="A52" s="5" t="inlineStr">
        <is>
          <t xml:space="preserve">  Net Activity (Income - Expenses):</t>
        </is>
      </c>
      <c r="B52" s="6" t="n">
        <v>11960.5</v>
      </c>
    </row>
    <row r="54">
      <c r="A54" s="5" t="inlineStr">
        <is>
          <t>PAYMENTS MADE THIS PERIOD</t>
        </is>
      </c>
    </row>
    <row r="55">
      <c r="A55" t="inlineStr">
        <is>
          <t xml:space="preserve">  e1a2e4QVZE (2025-07-23)</t>
        </is>
      </c>
      <c r="B55" s="6" t="n">
        <v>11960.5</v>
      </c>
    </row>
    <row r="56">
      <c r="A56" t="inlineStr">
        <is>
          <t xml:space="preserve">    Covers: 18 income (£11960.50) = £11960.50</t>
        </is>
      </c>
    </row>
    <row r="57">
      <c r="A57" t="inlineStr">
        <is>
          <t xml:space="preserve">  HIST-2025-07-1604 (2025-07-23)</t>
        </is>
      </c>
      <c r="B57" s="6" t="n">
        <v>1012.5</v>
      </c>
    </row>
    <row r="58">
      <c r="A58" t="inlineStr">
        <is>
          <t xml:space="preserve">    Covers: 1 income (£1012.50) = £1012.50</t>
        </is>
      </c>
    </row>
    <row r="59">
      <c r="A59" s="5" t="inlineStr">
        <is>
          <t xml:space="preserve">  Total Payments Made:</t>
        </is>
      </c>
      <c r="B59" s="6" t="n">
        <v>12973.0</v>
      </c>
    </row>
    <row r="60">
      <c r="A60" t="inlineStr">
        <is>
          <t xml:space="preserve">  (See PAYMENT_ALLOCATIONS sheet for full details)</t>
        </is>
      </c>
    </row>
    <row r="62">
      <c r="A62" s="5" t="inlineStr">
        <is>
          <t>SUMMARY</t>
        </is>
      </c>
    </row>
    <row r="63">
      <c r="A63" t="inlineStr">
        <is>
          <t xml:space="preserve">  Total Allocated (Income - Expenses):</t>
        </is>
      </c>
      <c r="B63" s="3" t="n">
        <v>12973.0</v>
      </c>
    </row>
    <row r="64">
      <c r="A64" t="inlineStr">
        <is>
          <t xml:space="preserve">  Total Payments Made:</t>
        </is>
      </c>
      <c r="B64" s="3" t="n">
        <v>12973.0</v>
      </c>
    </row>
    <row r="65">
      <c r="A65" t="inlineStr">
        <is>
          <t xml:space="preserve">  Unallocated Payment Amounts:</t>
        </is>
      </c>
      <c r="B65" s="3" t="n">
        <v>0.0</v>
      </c>
    </row>
    <row r="67">
      <c r="A67" t="inlineStr">
        <is>
          <t>Check: Allocated 12973.00 + Unallocated 0.00 = 12973.00 vs Payments 12973.00</t>
        </is>
      </c>
    </row>
  </sheetData>
  <pageMargins bottom="0.75" footer="0.3" header="0.3" left="0.7" right="0.7" top="0.75"/>
</worksheet>
</file>

<file path=xl/worksheets/sheet15.xml><?xml version="1.0" encoding="utf-8"?>
<worksheet xmlns="http://schemas.openxmlformats.org/spreadsheetml/2006/main">
  <dimension ref="A1:AC67"/>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IFERROR(SUMPRODUCT((RENT_DUE!$B$2:$B$1000="LEASE-BH-F1-2025")*(RENT_DUE!$D$2:$D$1000&gt;=DATE(2025,8,22))*(RENT_DUE!$D$2:$D$1000&lt;=DATE(2025,9,21))*RENT_DUE!$L$2:$L$1000), 0)</f>
        <v>0.0</v>
      </c>
      <c r="H2" s="3" t="n">
        <f>IFERROR(SUMPRODUCT((RENT_RECEIVED!$B$2:$B$1000="LEASE-BH-F1-2025")*(RENT_RECEIVED!$E$2:$E$1000&gt;=DATE(2025,8,22))*(RENT_RECEIVED!$E$2:$E$1000&lt;=DATE(2025,9,21))*RENT_RECEIVED!$O$2:$O$1000), 0)</f>
        <v>0.0</v>
      </c>
      <c r="I2" t="inlineStr">
        <is>
          <t>HIST-2025-10-1650, HIST-2025-12-1654</t>
        </is>
      </c>
      <c r="J2" s="3" t="n">
        <f>IFERROR(SUMIFS(RENT_DUE!$L$2:$L$10000, RENT_DUE!$B$2:$B$10000, "LEASE-BH-F1-2025", RENT_DUE!$D$2:$D$10000, "&lt;"&amp;DATE(2025,8,22)), 0) - IFERROR(SUMIFS(RENT_RECEIVED!$O$2:$O$10000, RENT_RECEIVED!$B$2:$B$10000, "LEASE-BH-F1-2025", RENT_RECEIVED!$E$2:$E$10000, "&lt;"&amp;DATE(2025,8,22)), 0)</f>
        <v>0.0</v>
      </c>
      <c r="K2" s="3" t="n">
        <f>G2 - H2</f>
        <v>0.0</v>
      </c>
      <c r="L2" s="3" t="n">
        <f>J2 + K2</f>
        <v>0.0</v>
      </c>
      <c r="M2" s="3" t="n">
        <f>H2 * 0.1500</f>
        <v>0.0</v>
      </c>
      <c r="N2" s="3" t="n">
        <f>H2 * 0.0000</f>
        <v>0.0</v>
      </c>
      <c r="O2" s="3" t="n">
        <f>ABS(M2 + N2)</f>
        <v>0.0</v>
      </c>
      <c r="P2" t="inlineStr">
        <is>
          <t/>
        </is>
      </c>
      <c r="Q2" s="3" t="n">
        <f>SUMIFS(EXPENSES!E:E, EXPENSES!B:B, "LEASE-BH-F1-2025", EXPENSES!D:D, "&gt;="&amp;DATE(2025,8,22), EXPENSES!D:D, "&lt;="&amp;DATE(2025,9,21))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IFERROR(SUMPRODUCT((RENT_DUE!$B$2:$B$1000="LEASE-BH-F2-2025")*(RENT_DUE!$D$2:$D$1000&gt;=DATE(2025,8,22))*(RENT_DUE!$D$2:$D$1000&lt;=DATE(2025,9,21))*RENT_DUE!$L$2:$L$1000), 0)</f>
        <v>0.0</v>
      </c>
      <c r="H3" s="3" t="n">
        <f>IFERROR(SUMPRODUCT((RENT_RECEIVED!$B$2:$B$1000="LEASE-BH-F2-2025")*(RENT_RECEIVED!$E$2:$E$1000&gt;=DATE(2025,8,22))*(RENT_RECEIVED!$E$2:$E$1000&lt;=DATE(2025,9,21))*RENT_RECEIVED!$O$2:$O$1000), 0)</f>
        <v>0.0</v>
      </c>
      <c r="I3" t="inlineStr">
        <is>
          <t>HIST-2025-10-1650</t>
        </is>
      </c>
      <c r="J3" s="3" t="n">
        <f>IFERROR(SUMIFS(RENT_DUE!$L$2:$L$10000, RENT_DUE!$B$2:$B$10000, "LEASE-BH-F2-2025", RENT_DUE!$D$2:$D$10000, "&lt;"&amp;DATE(2025,8,22)), 0) - IFERROR(SUMIFS(RENT_RECEIVED!$O$2:$O$10000, RENT_RECEIVED!$B$2:$B$10000, "LEASE-BH-F2-2025", RENT_RECEIVED!$E$2:$E$10000, "&lt;"&amp;DATE(2025,8,22)), 0)</f>
        <v>0.0</v>
      </c>
      <c r="K3" s="3" t="n">
        <f>G3 - H3</f>
        <v>0.0</v>
      </c>
      <c r="L3" s="3" t="n">
        <f>J3 + K3</f>
        <v>0.0</v>
      </c>
      <c r="M3" s="3" t="n">
        <f>H3 * 0.1500</f>
        <v>0.0</v>
      </c>
      <c r="N3" s="3" t="n">
        <f>H3 * 0.0000</f>
        <v>0.0</v>
      </c>
      <c r="O3" s="3" t="n">
        <f>ABS(M3 + N3)</f>
        <v>0.0</v>
      </c>
      <c r="P3" t="inlineStr">
        <is>
          <t/>
        </is>
      </c>
      <c r="Q3" s="3" t="n">
        <f>SUMIFS(EXPENSES!E:E, EXPENSES!B:B, "LEASE-BH-F2-2025", EXPENSES!D:D, "&gt;="&amp;DATE(2025,8,22), EXPENSES!D:D, "&lt;="&amp;DATE(2025,9,21))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IFERROR(SUMPRODUCT((RENT_DUE!$B$2:$B$1000="LEASE-BH-F3-2025")*(RENT_DUE!$D$2:$D$1000&gt;=DATE(2025,8,22))*(RENT_DUE!$D$2:$D$1000&lt;=DATE(2025,9,21))*RENT_DUE!$L$2:$L$1000), 0)</f>
        <v>0.0</v>
      </c>
      <c r="H4" s="3" t="n">
        <f>IFERROR(SUMPRODUCT((RENT_RECEIVED!$B$2:$B$1000="LEASE-BH-F3-2025")*(RENT_RECEIVED!$E$2:$E$1000&gt;=DATE(2025,8,22))*(RENT_RECEIVED!$E$2:$E$1000&lt;=DATE(2025,9,21))*RENT_RECEIVED!$O$2:$O$1000), 0)</f>
        <v>0.0</v>
      </c>
      <c r="I4" t="inlineStr">
        <is>
          <t>HIST-2025-12-1654</t>
        </is>
      </c>
      <c r="J4" s="3" t="n">
        <f>IFERROR(SUMIFS(RENT_DUE!$L$2:$L$10000, RENT_DUE!$B$2:$B$10000, "LEASE-BH-F3-2025", RENT_DUE!$D$2:$D$10000, "&lt;"&amp;DATE(2025,8,22)), 0) - IFERROR(SUMIFS(RENT_RECEIVED!$O$2:$O$10000, RENT_RECEIVED!$B$2:$B$10000, "LEASE-BH-F3-2025", RENT_RECEIVED!$E$2:$E$10000, "&lt;"&amp;DATE(2025,8,22)), 0)</f>
        <v>0.0</v>
      </c>
      <c r="K4" s="3" t="n">
        <f>G4 - H4</f>
        <v>0.0</v>
      </c>
      <c r="L4" s="3" t="n">
        <f>J4 + K4</f>
        <v>0.0</v>
      </c>
      <c r="M4" s="3" t="n">
        <f>H4 * 0.1500</f>
        <v>0.0</v>
      </c>
      <c r="N4" s="3" t="n">
        <f>H4 * 0.0000</f>
        <v>0.0</v>
      </c>
      <c r="O4" s="3" t="n">
        <f>ABS(M4 + N4)</f>
        <v>0.0</v>
      </c>
      <c r="P4" t="inlineStr">
        <is>
          <t/>
        </is>
      </c>
      <c r="Q4" s="3" t="n">
        <f>SUMIFS(EXPENSES!E:E, EXPENSES!B:B, "LEASE-BH-F3-2025", EXPENSES!D:D, "&gt;="&amp;DATE(2025,8,22), EXPENSES!D:D, "&lt;="&amp;DATE(2025,9,21))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IFERROR(SUMPRODUCT((RENT_DUE!$B$2:$B$1000="LEASE-BH-F4-2025")*(RENT_DUE!$D$2:$D$1000&gt;=DATE(2025,8,22))*(RENT_DUE!$D$2:$D$1000&lt;=DATE(2025,9,21))*RENT_DUE!$L$2:$L$1000), 0)</f>
        <v>0.0</v>
      </c>
      <c r="H5" s="3" t="n">
        <f>IFERROR(SUMPRODUCT((RENT_RECEIVED!$B$2:$B$1000="LEASE-BH-F4-2025")*(RENT_RECEIVED!$E$2:$E$1000&gt;=DATE(2025,8,22))*(RENT_RECEIVED!$E$2:$E$1000&lt;=DATE(2025,9,21))*RENT_RECEIVED!$O$2:$O$1000), 0)</f>
        <v>0.0</v>
      </c>
      <c r="I5" t="inlineStr">
        <is>
          <t>2Xlz4lYnZe</t>
        </is>
      </c>
      <c r="J5" s="3" t="n">
        <f>IFERROR(SUMIFS(RENT_DUE!$L$2:$L$10000, RENT_DUE!$B$2:$B$10000, "LEASE-BH-F4-2025", RENT_DUE!$D$2:$D$10000, "&lt;"&amp;DATE(2025,8,22)), 0) - IFERROR(SUMIFS(RENT_RECEIVED!$O$2:$O$10000, RENT_RECEIVED!$B$2:$B$10000, "LEASE-BH-F4-2025", RENT_RECEIVED!$E$2:$E$10000, "&lt;"&amp;DATE(2025,8,22)), 0)</f>
        <v>0.0</v>
      </c>
      <c r="K5" s="3" t="n">
        <f>G5 - H5</f>
        <v>0.0</v>
      </c>
      <c r="L5" s="3" t="n">
        <f>J5 + K5</f>
        <v>0.0</v>
      </c>
      <c r="M5" s="3" t="n">
        <f>H5 * 0.1500</f>
        <v>0.0</v>
      </c>
      <c r="N5" s="3" t="n">
        <f>H5 * 0.0000</f>
        <v>0.0</v>
      </c>
      <c r="O5" s="3" t="n">
        <f>ABS(M5 + N5)</f>
        <v>0.0</v>
      </c>
      <c r="P5" t="inlineStr">
        <is>
          <t/>
        </is>
      </c>
      <c r="Q5" s="3" t="n">
        <f>SUMIFS(EXPENSES!E:E, EXPENSES!B:B, "LEASE-BH-F4-2025", EXPENSES!D:D, "&gt;="&amp;DATE(2025,8,22), EXPENSES!D:D, "&lt;="&amp;DATE(2025,9,21))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IFERROR(SUMPRODUCT((RENT_DUE!$B$2:$B$1000="LEASE-BH-F5-2025")*(RENT_DUE!$D$2:$D$1000&gt;=DATE(2025,8,22))*(RENT_DUE!$D$2:$D$1000&lt;=DATE(2025,9,21))*RENT_DUE!$L$2:$L$1000), 0)</f>
        <v>0.0</v>
      </c>
      <c r="H6" s="3" t="n">
        <f>IFERROR(SUMPRODUCT((RENT_RECEIVED!$B$2:$B$1000="LEASE-BH-F5-2025")*(RENT_RECEIVED!$E$2:$E$1000&gt;=DATE(2025,8,22))*(RENT_RECEIVED!$E$2:$E$1000&lt;=DATE(2025,9,21))*RENT_RECEIVED!$O$2:$O$1000), 0)</f>
        <v>0.0</v>
      </c>
      <c r="I6" t="inlineStr">
        <is>
          <t>2Xlz4lYnZe, LJMK7Oyo1q</t>
        </is>
      </c>
      <c r="J6" s="3" t="n">
        <f>IFERROR(SUMIFS(RENT_DUE!$L$2:$L$10000, RENT_DUE!$B$2:$B$10000, "LEASE-BH-F5-2025", RENT_DUE!$D$2:$D$10000, "&lt;"&amp;DATE(2025,8,22)), 0) - IFERROR(SUMIFS(RENT_RECEIVED!$O$2:$O$10000, RENT_RECEIVED!$B$2:$B$10000, "LEASE-BH-F5-2025", RENT_RECEIVED!$E$2:$E$10000, "&lt;"&amp;DATE(2025,8,22)), 0)</f>
        <v>0.0</v>
      </c>
      <c r="K6" s="3" t="n">
        <f>G6 - H6</f>
        <v>0.0</v>
      </c>
      <c r="L6" s="3" t="n">
        <f>J6 + K6</f>
        <v>0.0</v>
      </c>
      <c r="M6" s="3" t="n">
        <f>H6 * 0.1500</f>
        <v>0.0</v>
      </c>
      <c r="N6" s="3" t="n">
        <f>H6 * 0.0000</f>
        <v>0.0</v>
      </c>
      <c r="O6" s="3" t="n">
        <f>ABS(M6 + N6)</f>
        <v>0.0</v>
      </c>
      <c r="P6" t="inlineStr">
        <is>
          <t/>
        </is>
      </c>
      <c r="Q6" s="3" t="n">
        <f>SUMIFS(EXPENSES!E:E, EXPENSES!B:B, "LEASE-BH-F5-2025", EXPENSES!D:D, "&gt;="&amp;DATE(2025,8,22), EXPENSES!D:D, "&lt;="&amp;DATE(2025,9,21))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IFERROR(SUMPRODUCT((RENT_DUE!$B$2:$B$1000="LEASE-BH-F6-2025")*(RENT_DUE!$D$2:$D$1000&gt;=DATE(2025,8,22))*(RENT_DUE!$D$2:$D$1000&lt;=DATE(2025,9,21))*RENT_DUE!$L$2:$L$1000), 0)</f>
        <v>0.0</v>
      </c>
      <c r="H7" s="3" t="n">
        <f>IFERROR(SUMPRODUCT((RENT_RECEIVED!$B$2:$B$1000="LEASE-BH-F6-2025")*(RENT_RECEIVED!$E$2:$E$1000&gt;=DATE(2025,8,22))*(RENT_RECEIVED!$E$2:$E$1000&lt;=DATE(2025,9,21))*RENT_RECEIVED!$O$2:$O$1000), 0)</f>
        <v>0.0</v>
      </c>
      <c r="I7" t="inlineStr">
        <is>
          <t>2Xlz4lYnZe</t>
        </is>
      </c>
      <c r="J7" s="3" t="n">
        <f>IFERROR(SUMIFS(RENT_DUE!$L$2:$L$10000, RENT_DUE!$B$2:$B$10000, "LEASE-BH-F6-2025", RENT_DUE!$D$2:$D$10000, "&lt;"&amp;DATE(2025,8,22)), 0) - IFERROR(SUMIFS(RENT_RECEIVED!$O$2:$O$10000, RENT_RECEIVED!$B$2:$B$10000, "LEASE-BH-F6-2025", RENT_RECEIVED!$E$2:$E$10000, "&lt;"&amp;DATE(2025,8,22)), 0)</f>
        <v>0.0</v>
      </c>
      <c r="K7" s="3" t="n">
        <f>G7 - H7</f>
        <v>0.0</v>
      </c>
      <c r="L7" s="3" t="n">
        <f>J7 + K7</f>
        <v>0.0</v>
      </c>
      <c r="M7" s="3" t="n">
        <f>H7 * 0.1500</f>
        <v>0.0</v>
      </c>
      <c r="N7" s="3" t="n">
        <f>H7 * 0.0000</f>
        <v>0.0</v>
      </c>
      <c r="O7" s="3" t="n">
        <f>ABS(M7 + N7)</f>
        <v>0.0</v>
      </c>
      <c r="P7" t="inlineStr">
        <is>
          <t/>
        </is>
      </c>
      <c r="Q7" s="3" t="n">
        <f>SUMIFS(EXPENSES!E:E, EXPENSES!B:B, "LEASE-BH-F6-2025", EXPENSES!D:D, "&gt;="&amp;DATE(2025,8,22), EXPENSES!D:D, "&lt;="&amp;DATE(2025,9,21))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v>0.0</v>
      </c>
      <c r="H8" s="3" t="n">
        <f>IFERROR(SUMPRODUCT((RENT_RECEIVED!$B$2:$B$1000="LEASE-BH-F7-2025")*(RENT_RECEIVED!$E$2:$E$1000&gt;=DATE(2025,8,22))*(RENT_RECEIVED!$E$2:$E$1000&lt;=DATE(2025,9,21))*RENT_RECEIVED!$O$2:$O$1000), 0)</f>
        <v>0.0</v>
      </c>
      <c r="I8" t="inlineStr">
        <is>
          <t/>
        </is>
      </c>
      <c r="J8" s="3" t="n">
        <f>IFERROR(SUMIFS(RENT_DUE!$L$2:$L$10000, RENT_DUE!$B$2:$B$10000, "LEASE-BH-F7-2025", RENT_DUE!$D$2:$D$10000, "&lt;"&amp;DATE(2025,8,22)), 0) - IFERROR(SUMIFS(RENT_RECEIVED!$O$2:$O$10000, RENT_RECEIVED!$B$2:$B$10000, "LEASE-BH-F7-2025", RENT_RECEIVED!$E$2:$E$10000, "&lt;"&amp;DATE(2025,8,22)), 0)</f>
        <v>0.0</v>
      </c>
      <c r="K8" s="3" t="n">
        <f>G8 - H8</f>
        <v>0.0</v>
      </c>
      <c r="L8" s="3" t="n">
        <f>J8 + K8</f>
        <v>0.0</v>
      </c>
      <c r="M8" s="3" t="n">
        <f>H8 * 0.1500</f>
        <v>0.0</v>
      </c>
      <c r="N8" s="3" t="n">
        <f>H8 * 0.0000</f>
        <v>0.0</v>
      </c>
      <c r="O8" s="3" t="n">
        <f>ABS(M8 + N8)</f>
        <v>0.0</v>
      </c>
      <c r="P8" t="inlineStr">
        <is>
          <t/>
        </is>
      </c>
      <c r="Q8" s="3" t="n">
        <f>SUMIFS(EXPENSES!E:E, EXPENSES!B:B, "LEASE-BH-F7-2025", EXPENSES!D:D, "&gt;="&amp;DATE(2025,8,22), EXPENSES!D:D, "&lt;="&amp;DATE(2025,9,21))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IFERROR(SUMPRODUCT((RENT_DUE!$B$2:$B$1000="LEASE-BH-F8-2025")*(RENT_DUE!$D$2:$D$1000&gt;=DATE(2025,8,22))*(RENT_DUE!$D$2:$D$1000&lt;=DATE(2025,9,21))*RENT_DUE!$L$2:$L$1000), 0)</f>
        <v>0.0</v>
      </c>
      <c r="H9" s="3" t="n">
        <f>IFERROR(SUMPRODUCT((RENT_RECEIVED!$B$2:$B$1000="LEASE-BH-F8-2025")*(RENT_RECEIVED!$E$2:$E$1000&gt;=DATE(2025,8,22))*(RENT_RECEIVED!$E$2:$E$1000&lt;=DATE(2025,9,21))*RENT_RECEIVED!$O$2:$O$1000), 0)</f>
        <v>0.0</v>
      </c>
      <c r="I9" t="inlineStr">
        <is>
          <t>2Xlz4lYnZe</t>
        </is>
      </c>
      <c r="J9" s="3" t="n">
        <f>IFERROR(SUMIFS(RENT_DUE!$L$2:$L$10000, RENT_DUE!$B$2:$B$10000, "LEASE-BH-F8-2025", RENT_DUE!$D$2:$D$10000, "&lt;"&amp;DATE(2025,8,22)), 0) - IFERROR(SUMIFS(RENT_RECEIVED!$O$2:$O$10000, RENT_RECEIVED!$B$2:$B$10000, "LEASE-BH-F8-2025", RENT_RECEIVED!$E$2:$E$10000, "&lt;"&amp;DATE(2025,8,22)), 0)</f>
        <v>0.0</v>
      </c>
      <c r="K9" s="3" t="n">
        <f>G9 - H9</f>
        <v>0.0</v>
      </c>
      <c r="L9" s="3" t="n">
        <f>J9 + K9</f>
        <v>0.0</v>
      </c>
      <c r="M9" s="3" t="n">
        <f>H9 * 0.1500</f>
        <v>0.0</v>
      </c>
      <c r="N9" s="3" t="n">
        <f>H9 * 0.0000</f>
        <v>0.0</v>
      </c>
      <c r="O9" s="3" t="n">
        <f>ABS(M9 + N9)</f>
        <v>0.0</v>
      </c>
      <c r="P9" t="inlineStr">
        <is>
          <t/>
        </is>
      </c>
      <c r="Q9" s="3" t="n">
        <f>SUMIFS(EXPENSES!E:E, EXPENSES!B:B, "LEASE-BH-F8-2025", EXPENSES!D:D, "&gt;="&amp;DATE(2025,8,22), EXPENSES!D:D, "&lt;="&amp;DATE(2025,9,21))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IFERROR(SUMPRODUCT((RENT_DUE!$B$2:$B$1000="LEASE-BH-F9-2025")*(RENT_DUE!$D$2:$D$1000&gt;=DATE(2025,8,22))*(RENT_DUE!$D$2:$D$1000&lt;=DATE(2025,9,21))*RENT_DUE!$L$2:$L$1000), 0)</f>
        <v>0.0</v>
      </c>
      <c r="H10" s="3" t="n">
        <f>IFERROR(SUMPRODUCT((RENT_RECEIVED!$B$2:$B$1000="LEASE-BH-F9-2025")*(RENT_RECEIVED!$E$2:$E$1000&gt;=DATE(2025,8,22))*(RENT_RECEIVED!$E$2:$E$1000&lt;=DATE(2025,9,21))*RENT_RECEIVED!$O$2:$O$1000), 0)</f>
        <v>0.0</v>
      </c>
      <c r="I10" t="inlineStr">
        <is>
          <t>2Xlz4lYnZe</t>
        </is>
      </c>
      <c r="J10" s="3" t="n">
        <f>IFERROR(SUMIFS(RENT_DUE!$L$2:$L$10000, RENT_DUE!$B$2:$B$10000, "LEASE-BH-F9-2025", RENT_DUE!$D$2:$D$10000, "&lt;"&amp;DATE(2025,8,22)), 0) - IFERROR(SUMIFS(RENT_RECEIVED!$O$2:$O$10000, RENT_RECEIVED!$B$2:$B$10000, "LEASE-BH-F9-2025", RENT_RECEIVED!$E$2:$E$10000, "&lt;"&amp;DATE(2025,8,22)),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"&gt;="&amp;DATE(2025,8,22), EXPENSES!D:D, "&lt;="&amp;DATE(2025,9,21))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f>IFERROR(SUMPRODUCT((RENT_DUE!$B$2:$B$1000="LEASE-BH-F10-2025")*(RENT_DUE!$D$2:$D$1000&gt;=DATE(2025,8,22))*(RENT_DUE!$D$2:$D$1000&lt;=DATE(2025,9,21))*RENT_DUE!$L$2:$L$1000), 0)</f>
        <v>0.0</v>
      </c>
      <c r="H11" s="3" t="n">
        <f>IFERROR(SUMPRODUCT((RENT_RECEIVED!$B$2:$B$1000="LEASE-BH-F10-2025")*(RENT_RECEIVED!$E$2:$E$1000&gt;=DATE(2025,8,22))*(RENT_RECEIVED!$E$2:$E$1000&lt;=DATE(2025,9,21))*RENT_RECEIVED!$O$2:$O$1000), 0)</f>
        <v>0.0</v>
      </c>
      <c r="I11" t="inlineStr">
        <is>
          <t>2Xlz4lYnZe</t>
        </is>
      </c>
      <c r="J11" s="3" t="n">
        <f>IFERROR(SUMIFS(RENT_DUE!$L$2:$L$10000, RENT_DUE!$B$2:$B$10000, "LEASE-BH-F10-2025", RENT_DUE!$D$2:$D$10000, "&lt;"&amp;DATE(2025,8,22)), 0) - IFERROR(SUMIFS(RENT_RECEIVED!$O$2:$O$10000, RENT_RECEIVED!$B$2:$B$10000, "LEASE-BH-F10-2025", RENT_RECEIVED!$E$2:$E$10000, "&lt;"&amp;DATE(2025,8,22)),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"&gt;="&amp;DATE(2025,8,22), EXPENSES!D:D, "&lt;="&amp;DATE(2025,9,21))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LEASE-BH-F10-2025B</t>
        </is>
      </c>
      <c r="B12" t="inlineStr">
        <is>
          <t>Flat 10 - 3 West Gate</t>
        </is>
      </c>
      <c r="C12" t="inlineStr">
        <is>
          <t>Achal (Delegated for Udayan)</t>
        </is>
      </c>
      <c r="D12" t="inlineStr">
        <is>
          <t>Anna Stoliarchuk</t>
        </is>
      </c>
      <c r="E12" s="2" t="n">
        <v>45903.0</v>
      </c>
      <c r="F12" t="n">
        <v>9.0</v>
      </c>
      <c r="G12" s="3" t="n">
        <f>IFERROR(SUMPRODUCT((RENT_DUE!$B$2:$B$1000="LEASE-BH-F10-2025B")*(RENT_DUE!$D$2:$D$1000&gt;=DATE(2025,8,22))*(RENT_DUE!$D$2:$D$1000&lt;=DATE(2025,9,21))*RENT_DUE!$L$2:$L$1000), 0)</f>
        <v>0.0</v>
      </c>
      <c r="H12" s="3" t="n">
        <f>IFERROR(SUMPRODUCT((RENT_RECEIVED!$B$2:$B$1000="LEASE-BH-F10-2025B")*(RENT_RECEIVED!$E$2:$E$1000&gt;=DATE(2025,8,22))*(RENT_RECEIVED!$E$2:$E$1000&lt;=DATE(2025,9,21))*RENT_RECEIVED!$O$2:$O$1000), 0)</f>
        <v>0.0</v>
      </c>
      <c r="I12" t="inlineStr">
        <is>
          <t>2Xlz4lYnZe</t>
        </is>
      </c>
      <c r="J12" s="3" t="n">
        <f>IFERROR(SUMIFS(RENT_DUE!$L$2:$L$10000, RENT_DUE!$B$2:$B$10000, "LEASE-BH-F10-2025B", RENT_DUE!$D$2:$D$10000, "&lt;"&amp;DATE(2025,8,22)), 0) - IFERROR(SUMIFS(RENT_RECEIVED!$O$2:$O$10000, RENT_RECEIVED!$B$2:$B$10000, "LEASE-BH-F10-2025B", RENT_RECEIVED!$E$2:$E$10000, "&lt;"&amp;DATE(2025,8,22)), 0)</f>
        <v>0.0</v>
      </c>
      <c r="K12" s="3" t="n">
        <f>G12 - H12</f>
        <v>0.0</v>
      </c>
      <c r="L12" s="3" t="n">
        <f>J12 + K12</f>
        <v>0.0</v>
      </c>
      <c r="M12" s="3" t="n">
        <f>H12 * 0.1500</f>
        <v>0.0</v>
      </c>
      <c r="N12" s="3" t="n">
        <f>H12 * 0.0000</f>
        <v>0.0</v>
      </c>
      <c r="O12" s="3" t="n">
        <f>ABS(M12 + N12)</f>
        <v>0.0</v>
      </c>
      <c r="P12" t="inlineStr">
        <is>
          <t/>
        </is>
      </c>
      <c r="Q12" s="3" t="n">
        <f>SUMIFS(EXPENSES!E:E, EXPENSES!B:B, "LEASE-BH-F10-2025B", EXPENSES!D:D, "&gt;="&amp;DATE(2025,8,22), EXPENSES!D:D, "&lt;="&amp;DATE(2025,9,21))</f>
        <v>0.0</v>
      </c>
      <c r="R12" t="inlineStr">
        <is>
          <t/>
        </is>
      </c>
      <c r="S12" s="3" t="n">
        <f>H12 - O12 - Q12</f>
        <v>0.0</v>
      </c>
      <c r="T12" t="inlineStr">
        <is>
          <t/>
        </is>
      </c>
      <c r="U12" t="inlineStr">
        <is>
          <t/>
        </is>
      </c>
      <c r="V12" t="inlineStr">
        <is>
          <t/>
        </is>
      </c>
      <c r="W12" t="inlineStr">
        <is>
          <t/>
        </is>
      </c>
      <c r="X12" t="inlineStr">
        <is>
          <t/>
        </is>
      </c>
      <c r="Y12" s="3" t="n">
        <v>1910.25</v>
      </c>
      <c r="Z12" s="3" t="n">
        <f>S12-Y12</f>
        <v>0.0</v>
      </c>
      <c r="AA12" t="inlineStr">
        <is>
          <t>PAID</t>
        </is>
      </c>
      <c r="AB12" t="inlineStr">
        <is>
          <t>MULTIPLE</t>
        </is>
      </c>
      <c r="AC12" s="2" t="n">
        <v>45982.0</v>
      </c>
    </row>
    <row r="13">
      <c r="A13" t="inlineStr">
        <is>
          <t>LEASE-BH-F11-2025</t>
        </is>
      </c>
      <c r="B13" t="inlineStr">
        <is>
          <t>Flat 11 - 3 West Gate</t>
        </is>
      </c>
      <c r="C13" t="inlineStr">
        <is>
          <t>Achal (Delegated for Udayan)</t>
        </is>
      </c>
      <c r="D13" t="inlineStr">
        <is>
          <t>Mr Richard Perrotta</t>
        </is>
      </c>
      <c r="E13" s="2" t="n">
        <v>45722.0</v>
      </c>
      <c r="F13" t="n">
        <v>26.0</v>
      </c>
      <c r="G13" s="3" t="n">
        <f>IFERROR(SUMPRODUCT((RENT_DUE!$B$2:$B$1000="LEASE-BH-F11-2025")*(RENT_DUE!$D$2:$D$1000&gt;=DATE(2025,8,22))*(RENT_DUE!$D$2:$D$1000&lt;=DATE(2025,9,21))*RENT_DUE!$L$2:$L$1000), 0)</f>
        <v>0.0</v>
      </c>
      <c r="H13" s="3" t="n">
        <f>IFERROR(SUMPRODUCT((RENT_RECEIVED!$B$2:$B$1000="LEASE-BH-F11-2025")*(RENT_RECEIVED!$E$2:$E$1000&gt;=DATE(2025,8,22))*(RENT_RECEIVED!$E$2:$E$1000&lt;=DATE(2025,9,21))*RENT_RECEIVED!$O$2:$O$1000), 0)</f>
        <v>0.0</v>
      </c>
      <c r="I13" t="inlineStr">
        <is>
          <t>2Xlz4lYnZe</t>
        </is>
      </c>
      <c r="J13" s="3" t="n">
        <f>IFERROR(SUMIFS(RENT_DUE!$L$2:$L$10000, RENT_DUE!$B$2:$B$10000, "LEASE-BH-F11-2025", RENT_DUE!$D$2:$D$10000, "&lt;"&amp;DATE(2025,8,22)), 0) - IFERROR(SUMIFS(RENT_RECEIVED!$O$2:$O$10000, RENT_RECEIVED!$B$2:$B$10000, "LEASE-BH-F11-2025", RENT_RECEIVED!$E$2:$E$10000, "&lt;"&amp;DATE(2025,8,22)), 0)</f>
        <v>0.0</v>
      </c>
      <c r="K13" s="3" t="n">
        <f>G13 - H13</f>
        <v>0.0</v>
      </c>
      <c r="L13" s="3" t="n">
        <f>J13 + K13</f>
        <v>0.0</v>
      </c>
      <c r="M13" s="3" t="n">
        <f>H13 * 0.1500</f>
        <v>0.0</v>
      </c>
      <c r="N13" s="3" t="n">
        <f>H13 * 0.0000</f>
        <v>0.0</v>
      </c>
      <c r="O13" s="3" t="n">
        <f>ABS(M13 + N13)</f>
        <v>0.0</v>
      </c>
      <c r="P13" t="inlineStr">
        <is>
          <t/>
        </is>
      </c>
      <c r="Q13" s="3" t="n">
        <f>SUMIFS(EXPENSES!E:E, EXPENSES!B:B, "LEASE-BH-F11-2025", EXPENSES!D:D, "&gt;="&amp;DATE(2025,8,22), EXPENSES!D:D, "&lt;="&amp;DATE(2025,9,21))</f>
        <v>0.0</v>
      </c>
      <c r="R13" t="inlineStr">
        <is>
          <t/>
        </is>
      </c>
      <c r="S13" s="3" t="n">
        <f>H13 - O13 - Q13</f>
        <v>0.0</v>
      </c>
      <c r="T13" t="inlineStr">
        <is>
          <t/>
        </is>
      </c>
      <c r="U13" t="inlineStr">
        <is>
          <t/>
        </is>
      </c>
      <c r="V13" t="inlineStr">
        <is>
          <t/>
        </is>
      </c>
      <c r="W13" t="inlineStr">
        <is>
          <t/>
        </is>
      </c>
      <c r="X13" t="inlineStr">
        <is>
          <t/>
        </is>
      </c>
      <c r="Y13" s="3" t="n">
        <v>5979.75</v>
      </c>
      <c r="Z13" s="3" t="n">
        <f>S13-Y13</f>
        <v>0.0</v>
      </c>
      <c r="AA13" t="inlineStr">
        <is>
          <t>PAID</t>
        </is>
      </c>
      <c r="AB13" t="inlineStr">
        <is>
          <t>MULTIPLE</t>
        </is>
      </c>
      <c r="AC13" s="2" t="n">
        <v>45981.0</v>
      </c>
    </row>
    <row r="14">
      <c r="A14" t="inlineStr">
        <is>
          <t>LEASE-BH-F12-2025</t>
        </is>
      </c>
      <c r="B14" t="inlineStr">
        <is>
          <t>Flat 12 - 3 West Gate</t>
        </is>
      </c>
      <c r="C14" t="inlineStr">
        <is>
          <t>Achal (Delegated for Udayan)</t>
        </is>
      </c>
      <c r="D14" t="inlineStr">
        <is>
          <t>MR J SOOPIYADAKATH THEKKE PURAYIL &amp; MS S</t>
        </is>
      </c>
      <c r="E14" s="2" t="n">
        <v>45754.0</v>
      </c>
      <c r="F14" t="n">
        <v>7.0</v>
      </c>
      <c r="G14" s="3" t="n">
        <v>0.0</v>
      </c>
      <c r="H14" s="3" t="n">
        <f>IFERROR(SUMPRODUCT((RENT_RECEIVED!$B$2:$B$1000="LEASE-BH-F12-2025")*(RENT_RECEIVED!$E$2:$E$1000&gt;=DATE(2025,8,22))*(RENT_RECEIVED!$E$2:$E$1000&lt;=DATE(2025,9,21))*RENT_RECEIVED!$O$2:$O$1000), 0)</f>
        <v>0.0</v>
      </c>
      <c r="I14" t="inlineStr">
        <is>
          <t/>
        </is>
      </c>
      <c r="J14" s="3" t="n">
        <f>IFERROR(SUMIFS(RENT_DUE!$L$2:$L$10000, RENT_DUE!$B$2:$B$10000, "LEASE-BH-F12-2025", RENT_DUE!$D$2:$D$10000, "&lt;"&amp;DATE(2025,8,22)), 0) - IFERROR(SUMIFS(RENT_RECEIVED!$O$2:$O$10000, RENT_RECEIVED!$B$2:$B$10000, "LEASE-BH-F12-2025", RENT_RECEIVED!$E$2:$E$10000, "&lt;"&amp;DATE(2025,8,22)), 0)</f>
        <v>0.0</v>
      </c>
      <c r="K14" s="3" t="n">
        <f>G14 - H14</f>
        <v>0.0</v>
      </c>
      <c r="L14" s="3" t="n">
        <f>J14 + K14</f>
        <v>0.0</v>
      </c>
      <c r="M14" s="3" t="n">
        <f>H14 * 0.1500</f>
        <v>0.0</v>
      </c>
      <c r="N14" s="3" t="n">
        <f>H14 * 0.0000</f>
        <v>0.0</v>
      </c>
      <c r="O14" s="3" t="n">
        <f>ABS(M14 + N14)</f>
        <v>0.0</v>
      </c>
      <c r="P14" t="inlineStr">
        <is>
          <t/>
        </is>
      </c>
      <c r="Q14" s="3" t="n">
        <f>SUMIFS(EXPENSES!E:E, EXPENSES!B:B, "LEASE-BH-F12-2025", EXPENSES!D:D, "&gt;="&amp;DATE(2025,8,22), EXPENSES!D:D, "&lt;="&amp;DATE(2025,9,21))</f>
        <v>0.0</v>
      </c>
      <c r="R14" t="inlineStr">
        <is>
          <t/>
        </is>
      </c>
      <c r="S14" s="3" t="n">
        <f>H14 - O14 - Q14</f>
        <v>0.0</v>
      </c>
      <c r="T14" t="inlineStr">
        <is>
          <t/>
        </is>
      </c>
      <c r="U14" t="inlineStr">
        <is>
          <t/>
        </is>
      </c>
      <c r="V14" t="inlineStr">
        <is>
          <t/>
        </is>
      </c>
      <c r="W14" t="inlineStr">
        <is>
          <t/>
        </is>
      </c>
      <c r="X14" t="inlineStr">
        <is>
          <t/>
        </is>
      </c>
      <c r="Y14" s="3" t="n">
        <v>1147.5</v>
      </c>
      <c r="Z14" s="3" t="n">
        <f>S14-Y14</f>
        <v>0.0</v>
      </c>
      <c r="AA14" t="inlineStr">
        <is>
          <t>PAID</t>
        </is>
      </c>
      <c r="AB14" t="inlineStr">
        <is>
          <t>MULTIPLE</t>
        </is>
      </c>
      <c r="AC14" s="2" t="n">
        <v>45804.0</v>
      </c>
    </row>
    <row r="15">
      <c r="A15" t="inlineStr">
        <is>
          <t>LEASE-BH-F12-2025B</t>
        </is>
      </c>
      <c r="B15" t="inlineStr">
        <is>
          <t>Flat 12 - 3 West Gate</t>
        </is>
      </c>
      <c r="C15" t="inlineStr">
        <is>
          <t>Achal (Delegated for Udayan)</t>
        </is>
      </c>
      <c r="D15" t="inlineStr">
        <is>
          <t>Adam Kirby</t>
        </is>
      </c>
      <c r="E15" s="2" t="n">
        <v>45860.0</v>
      </c>
      <c r="F15" t="n">
        <v>22.0</v>
      </c>
      <c r="G15" s="3" t="n">
        <f>IFERROR(SUMPRODUCT((RENT_DUE!$B$2:$B$1000="LEASE-BH-F12-2025B")*(RENT_DUE!$D$2:$D$1000&gt;=DATE(2025,8,22))*(RENT_DUE!$D$2:$D$1000&lt;=DATE(2025,9,21))*RENT_DUE!$L$2:$L$1000), 0)</f>
        <v>0.0</v>
      </c>
      <c r="H15" s="3" t="n">
        <f>IFERROR(SUMPRODUCT((RENT_RECEIVED!$B$2:$B$1000="LEASE-BH-F12-2025B")*(RENT_RECEIVED!$E$2:$E$1000&gt;=DATE(2025,8,22))*(RENT_RECEIVED!$E$2:$E$1000&lt;=DATE(2025,9,21))*RENT_RECEIVED!$O$2:$O$1000), 0)</f>
        <v>0.0</v>
      </c>
      <c r="I15" t="inlineStr">
        <is>
          <t/>
        </is>
      </c>
      <c r="J15" s="3" t="n">
        <f>IFERROR(SUMIFS(RENT_DUE!$L$2:$L$10000, RENT_DUE!$B$2:$B$10000, "LEASE-BH-F12-2025B", RENT_DUE!$D$2:$D$10000, "&lt;"&amp;DATE(2025,8,22)), 0) - IFERROR(SUMIFS(RENT_RECEIVED!$O$2:$O$10000, RENT_RECEIVED!$B$2:$B$10000, "LEASE-BH-F12-2025B", RENT_RECEIVED!$E$2:$E$10000, "&lt;"&amp;DATE(2025,8,22)), 0)</f>
        <v>0.0</v>
      </c>
      <c r="K15" s="3" t="n">
        <f>G15 - H15</f>
        <v>0.0</v>
      </c>
      <c r="L15" s="3" t="n">
        <f>J15 + K15</f>
        <v>0.0</v>
      </c>
      <c r="M15" s="3" t="n">
        <f>H15 * 0.1500</f>
        <v>0.0</v>
      </c>
      <c r="N15" s="3" t="n">
        <f>H15 * 0.0000</f>
        <v>0.0</v>
      </c>
      <c r="O15" s="3" t="n">
        <f>ABS(M15 + N15)</f>
        <v>0.0</v>
      </c>
      <c r="P15" t="inlineStr">
        <is>
          <t/>
        </is>
      </c>
      <c r="Q15" s="3" t="n">
        <f>SUMIFS(EXPENSES!E:E, EXPENSES!B:B, "LEASE-BH-F12-2025B", EXPENSES!D:D, "&gt;="&amp;DATE(2025,8,22), EXPENSES!D:D, "&lt;="&amp;DATE(2025,9,21))</f>
        <v>0.0</v>
      </c>
      <c r="R15" t="inlineStr">
        <is>
          <t/>
        </is>
      </c>
      <c r="S15" s="3" t="n">
        <f>H15 - O15 - Q15</f>
        <v>0.0</v>
      </c>
      <c r="T15" t="inlineStr">
        <is>
          <t/>
        </is>
      </c>
      <c r="U15" t="inlineStr">
        <is>
          <t/>
        </is>
      </c>
      <c r="V15" t="inlineStr">
        <is>
          <t/>
        </is>
      </c>
      <c r="W15" t="inlineStr">
        <is>
          <t/>
        </is>
      </c>
      <c r="X15" t="inlineStr">
        <is>
          <t/>
        </is>
      </c>
      <c r="Y15" s="3" t="n">
        <v>4834.2</v>
      </c>
      <c r="Z15" s="3" t="n">
        <f>S15-Y15</f>
        <v>0.0</v>
      </c>
      <c r="AA15" t="inlineStr">
        <is>
          <t>PAID</t>
        </is>
      </c>
      <c r="AB15" t="inlineStr">
        <is>
          <t>MULTIPLE</t>
        </is>
      </c>
      <c r="AC15" s="2" t="n">
        <v>45992.0</v>
      </c>
    </row>
    <row r="16">
      <c r="A16" t="inlineStr">
        <is>
          <t>LEASE-BH-F13-2025</t>
        </is>
      </c>
      <c r="B16" t="inlineStr">
        <is>
          <t>Flat 13 - 3 West Gate</t>
        </is>
      </c>
      <c r="C16" t="inlineStr">
        <is>
          <t>Achal (Delegated for Udayan)</t>
        </is>
      </c>
      <c r="D16" t="inlineStr">
        <is>
          <t>Mr Nathan Holland</t>
        </is>
      </c>
      <c r="E16" s="2" t="n">
        <v>45719.0</v>
      </c>
      <c r="F16" t="n">
        <v>3.0</v>
      </c>
      <c r="G16" s="3" t="n">
        <f>IFERROR(SUMPRODUCT((RENT_DUE!$B$2:$B$1000="LEASE-BH-F13-2025")*(RENT_DUE!$D$2:$D$1000&gt;=DATE(2025,8,22))*(RENT_DUE!$D$2:$D$1000&lt;=DATE(2025,9,21))*RENT_DUE!$L$2:$L$1000), 0)</f>
        <v>0.0</v>
      </c>
      <c r="H16" s="3" t="n">
        <f>IFERROR(SUMPRODUCT((RENT_RECEIVED!$B$2:$B$1000="LEASE-BH-F13-2025")*(RENT_RECEIVED!$E$2:$E$1000&gt;=DATE(2025,8,22))*(RENT_RECEIVED!$E$2:$E$1000&lt;=DATE(2025,9,21))*RENT_RECEIVED!$O$2:$O$1000), 0)</f>
        <v>0.0</v>
      </c>
      <c r="I16" t="inlineStr">
        <is>
          <t>2Xlz4lYnZe</t>
        </is>
      </c>
      <c r="J16" s="3" t="n">
        <f>IFERROR(SUMIFS(RENT_DUE!$L$2:$L$10000, RENT_DUE!$B$2:$B$10000, "LEASE-BH-F13-2025", RENT_DUE!$D$2:$D$10000, "&lt;"&amp;DATE(2025,8,22)), 0) - IFERROR(SUMIFS(RENT_RECEIVED!$O$2:$O$10000, RENT_RECEIVED!$B$2:$B$10000, "LEASE-BH-F13-2025", RENT_RECEIVED!$E$2:$E$10000, "&lt;"&amp;DATE(2025,8,22)), 0)</f>
        <v>0.0</v>
      </c>
      <c r="K16" s="3" t="n">
        <f>G16 - H16</f>
        <v>0.0</v>
      </c>
      <c r="L16" s="3" t="n">
        <f>J16 + K16</f>
        <v>0.0</v>
      </c>
      <c r="M16" s="3" t="n">
        <f>H16 * 0.1500</f>
        <v>0.0</v>
      </c>
      <c r="N16" s="3" t="n">
        <f>H16 * 0.0000</f>
        <v>0.0</v>
      </c>
      <c r="O16" s="3" t="n">
        <f>ABS(M16 + N16)</f>
        <v>0.0</v>
      </c>
      <c r="P16" t="inlineStr">
        <is>
          <t/>
        </is>
      </c>
      <c r="Q16" s="3" t="n">
        <f>SUMIFS(EXPENSES!E:E, EXPENSES!B:B, "LEASE-BH-F13-2025", EXPENSES!D:D, "&gt;="&amp;DATE(2025,8,22), EXPENSES!D:D, "&lt;="&amp;DATE(2025,9,21))</f>
        <v>0.0</v>
      </c>
      <c r="R16" t="inlineStr">
        <is>
          <t/>
        </is>
      </c>
      <c r="S16" s="3" t="n">
        <f>H16 - O16 - Q16</f>
        <v>0.0</v>
      </c>
      <c r="T16" t="inlineStr">
        <is>
          <t/>
        </is>
      </c>
      <c r="U16" t="inlineStr">
        <is>
          <t/>
        </is>
      </c>
      <c r="V16" t="inlineStr">
        <is>
          <t/>
        </is>
      </c>
      <c r="W16" t="inlineStr">
        <is>
          <t/>
        </is>
      </c>
      <c r="X16" t="inlineStr">
        <is>
          <t/>
        </is>
      </c>
      <c r="Y16" s="3" t="n">
        <v>5440.0</v>
      </c>
      <c r="Z16" s="3" t="n">
        <f>S16-Y16</f>
        <v>0.0</v>
      </c>
      <c r="AA16" t="inlineStr">
        <is>
          <t>PAID</t>
        </is>
      </c>
      <c r="AB16" t="inlineStr">
        <is>
          <t>MULTIPLE</t>
        </is>
      </c>
      <c r="AC16" s="2" t="n">
        <v>45936.0</v>
      </c>
    </row>
    <row r="17">
      <c r="A17" t="inlineStr">
        <is>
          <t>LEASE-BH-F14-2025</t>
        </is>
      </c>
      <c r="B17" t="inlineStr">
        <is>
          <t>Flat 14 - 3 West Gate</t>
        </is>
      </c>
      <c r="C17" t="inlineStr">
        <is>
          <t>Achal (Delegated for Udayan)</t>
        </is>
      </c>
      <c r="D17" t="inlineStr">
        <is>
          <t>Ms Sarah Buckle, Mr Matthew Lewsley</t>
        </is>
      </c>
      <c r="E17" s="2" t="n">
        <v>45744.0</v>
      </c>
      <c r="F17" t="n">
        <v>28.0</v>
      </c>
      <c r="G17" s="3" t="n">
        <f>IFERROR(SUMPRODUCT((RENT_DUE!$B$2:$B$1000="LEASE-BH-F14-2025")*(RENT_DUE!$D$2:$D$1000&gt;=DATE(2025,8,22))*(RENT_DUE!$D$2:$D$1000&lt;=DATE(2025,9,21))*RENT_DUE!$L$2:$L$1000), 0)</f>
        <v>0.0</v>
      </c>
      <c r="H17" s="3" t="n">
        <f>IFERROR(SUMPRODUCT((RENT_RECEIVED!$B$2:$B$1000="LEASE-BH-F14-2025")*(RENT_RECEIVED!$E$2:$E$1000&gt;=DATE(2025,8,22))*(RENT_RECEIVED!$E$2:$E$1000&lt;=DATE(2025,9,21))*RENT_RECEIVED!$O$2:$O$1000), 0)</f>
        <v>0.0</v>
      </c>
      <c r="I17" t="inlineStr">
        <is>
          <t>HIST-2025-10-1650</t>
        </is>
      </c>
      <c r="J17" s="3" t="n">
        <f>IFERROR(SUMIFS(RENT_DUE!$L$2:$L$10000, RENT_DUE!$B$2:$B$10000, "LEASE-BH-F14-2025", RENT_DUE!$D$2:$D$10000, "&lt;"&amp;DATE(2025,8,22)), 0) - IFERROR(SUMIFS(RENT_RECEIVED!$O$2:$O$10000, RENT_RECEIVED!$B$2:$B$10000, "LEASE-BH-F14-2025", RENT_RECEIVED!$E$2:$E$10000, "&lt;"&amp;DATE(2025,8,22)), 0)</f>
        <v>0.0</v>
      </c>
      <c r="K17" s="3" t="n">
        <f>G17 - H17</f>
        <v>0.0</v>
      </c>
      <c r="L17" s="3" t="n">
        <f>J17 + K17</f>
        <v>0.0</v>
      </c>
      <c r="M17" s="3" t="n">
        <f>H17 * 0.1500</f>
        <v>0.0</v>
      </c>
      <c r="N17" s="3" t="n">
        <f>H17 * 0.0000</f>
        <v>0.0</v>
      </c>
      <c r="O17" s="3" t="n">
        <f>ABS(M17 + N17)</f>
        <v>0.0</v>
      </c>
      <c r="P17" t="inlineStr">
        <is>
          <t/>
        </is>
      </c>
      <c r="Q17" s="3" t="n">
        <f>SUMIFS(EXPENSES!E:E, EXPENSES!B:B, "LEASE-BH-F14-2025", EXPENSES!D:D, "&gt;="&amp;DATE(2025,8,22), EXPENSES!D:D, "&lt;="&amp;DATE(2025,9,21))</f>
        <v>0.0</v>
      </c>
      <c r="R17" t="inlineStr">
        <is>
          <t/>
        </is>
      </c>
      <c r="S17" s="3" t="n">
        <f>H17 - O17 - Q17</f>
        <v>0.0</v>
      </c>
      <c r="T17" t="inlineStr">
        <is>
          <t/>
        </is>
      </c>
      <c r="U17" t="inlineStr">
        <is>
          <t/>
        </is>
      </c>
      <c r="V17" t="inlineStr">
        <is>
          <t/>
        </is>
      </c>
      <c r="W17" t="inlineStr">
        <is>
          <t/>
        </is>
      </c>
      <c r="X17" t="inlineStr">
        <is>
          <t/>
        </is>
      </c>
      <c r="Y17" s="3" t="n">
        <v>5410.25</v>
      </c>
      <c r="Z17" s="3" t="n">
        <f>S17-Y17</f>
        <v>0.0</v>
      </c>
      <c r="AA17" t="inlineStr">
        <is>
          <t>PAID</t>
        </is>
      </c>
      <c r="AB17" t="inlineStr">
        <is>
          <t>MULTIPLE</t>
        </is>
      </c>
      <c r="AC17" s="2" t="n">
        <v>45992.0</v>
      </c>
    </row>
    <row r="18">
      <c r="A18" t="inlineStr">
        <is>
          <t>LEASE-BH-F15-2025</t>
        </is>
      </c>
      <c r="B18" t="inlineStr">
        <is>
          <t>Flat 15 - 3 West Gate</t>
        </is>
      </c>
      <c r="C18" t="inlineStr">
        <is>
          <t>Achal (Delegated for Udayan)</t>
        </is>
      </c>
      <c r="D18" t="inlineStr">
        <is>
          <t>Ms Lucy Cassell</t>
        </is>
      </c>
      <c r="E18" s="2" t="n">
        <v>45703.0</v>
      </c>
      <c r="F18" t="n">
        <v>15.0</v>
      </c>
      <c r="G18" s="3" t="n">
        <f>IFERROR(SUMPRODUCT((RENT_DUE!$B$2:$B$1000="LEASE-BH-F15-2025")*(RENT_DUE!$D$2:$D$1000&gt;=DATE(2025,8,22))*(RENT_DUE!$D$2:$D$1000&lt;=DATE(2025,9,21))*RENT_DUE!$L$2:$L$1000), 0)</f>
        <v>0.0</v>
      </c>
      <c r="H18" s="3" t="n">
        <f>IFERROR(SUMPRODUCT((RENT_RECEIVED!$B$2:$B$1000="LEASE-BH-F15-2025")*(RENT_RECEIVED!$E$2:$E$1000&gt;=DATE(2025,8,22))*(RENT_RECEIVED!$E$2:$E$1000&lt;=DATE(2025,9,21))*RENT_RECEIVED!$O$2:$O$1000), 0)</f>
        <v>0.0</v>
      </c>
      <c r="I18" t="inlineStr">
        <is>
          <t>2Xlz4lYnZe, LJMK7Oyo1q</t>
        </is>
      </c>
      <c r="J18" s="3" t="n">
        <f>IFERROR(SUMIFS(RENT_DUE!$L$2:$L$10000, RENT_DUE!$B$2:$B$10000, "LEASE-BH-F15-2025", RENT_DUE!$D$2:$D$10000, "&lt;"&amp;DATE(2025,8,22)), 0) - IFERROR(SUMIFS(RENT_RECEIVED!$O$2:$O$10000, RENT_RECEIVED!$B$2:$B$10000, "LEASE-BH-F15-2025", RENT_RECEIVED!$E$2:$E$10000, "&lt;"&amp;DATE(2025,8,22)), 0)</f>
        <v>0.0</v>
      </c>
      <c r="K18" s="3" t="n">
        <f>G18 - H18</f>
        <v>0.0</v>
      </c>
      <c r="L18" s="3" t="n">
        <f>J18 + K18</f>
        <v>0.0</v>
      </c>
      <c r="M18" s="3" t="n">
        <f>H18 * 0.1500</f>
        <v>0.0</v>
      </c>
      <c r="N18" s="3" t="n">
        <f>H18 * 0.0000</f>
        <v>0.0</v>
      </c>
      <c r="O18" s="3" t="n">
        <f>ABS(M18 + N18)</f>
        <v>0.0</v>
      </c>
      <c r="P18" t="inlineStr">
        <is>
          <t/>
        </is>
      </c>
      <c r="Q18" s="3" t="n">
        <f>SUMIFS(EXPENSES!E:E, EXPENSES!B:B, "LEASE-BH-F15-2025", EXPENSES!D:D, "&gt;="&amp;DATE(2025,8,22), EXPENSES!D:D, "&lt;="&amp;DATE(2025,9,21))</f>
        <v>0.0</v>
      </c>
      <c r="R18" t="inlineStr">
        <is>
          <t/>
        </is>
      </c>
      <c r="S18" s="3" t="n">
        <f>H18 - O18 - Q18</f>
        <v>0.0</v>
      </c>
      <c r="T18" t="inlineStr">
        <is>
          <t/>
        </is>
      </c>
      <c r="U18" t="inlineStr">
        <is>
          <t/>
        </is>
      </c>
      <c r="V18" t="inlineStr">
        <is>
          <t/>
        </is>
      </c>
      <c r="W18" t="inlineStr">
        <is>
          <t/>
        </is>
      </c>
      <c r="X18" t="inlineStr">
        <is>
          <t/>
        </is>
      </c>
      <c r="Y18" s="3" t="n">
        <v>6170.0</v>
      </c>
      <c r="Z18" s="3" t="n">
        <f>S18-Y18</f>
        <v>0.0</v>
      </c>
      <c r="AA18" t="inlineStr">
        <is>
          <t>PAID</t>
        </is>
      </c>
      <c r="AB18" t="inlineStr">
        <is>
          <t>MULTIPLE</t>
        </is>
      </c>
      <c r="AC18" s="2" t="n">
        <v>45982.0</v>
      </c>
    </row>
    <row r="19">
      <c r="A19" t="inlineStr">
        <is>
          <t>LEASE-BH-F16-2025</t>
        </is>
      </c>
      <c r="B19" t="inlineStr">
        <is>
          <t>Flat 16 - 3 West Gate</t>
        </is>
      </c>
      <c r="C19" t="inlineStr">
        <is>
          <t>Achal (Delegated for Udayan)</t>
        </is>
      </c>
      <c r="D19" t="inlineStr">
        <is>
          <t>Mr Riley Paul Beresford, Ms Gina Louise Judge</t>
        </is>
      </c>
      <c r="E19" s="2" t="n">
        <v>45726.0</v>
      </c>
      <c r="F19" t="n">
        <v>10.0</v>
      </c>
      <c r="G19" s="3" t="n">
        <f>IFERROR(SUMPRODUCT((RENT_DUE!$B$2:$B$1000="LEASE-BH-F16-2025")*(RENT_DUE!$D$2:$D$1000&gt;=DATE(2025,8,22))*(RENT_DUE!$D$2:$D$1000&lt;=DATE(2025,9,21))*RENT_DUE!$L$2:$L$1000), 0)</f>
        <v>0.0</v>
      </c>
      <c r="H19" s="3" t="n">
        <f>IFERROR(SUMPRODUCT((RENT_RECEIVED!$B$2:$B$1000="LEASE-BH-F16-2025")*(RENT_RECEIVED!$E$2:$E$1000&gt;=DATE(2025,8,22))*(RENT_RECEIVED!$E$2:$E$1000&lt;=DATE(2025,9,21))*RENT_RECEIVED!$O$2:$O$1000), 0)</f>
        <v>0.0</v>
      </c>
      <c r="I19" t="inlineStr">
        <is>
          <t>LJMK7Oyo1q</t>
        </is>
      </c>
      <c r="J19" s="3" t="n">
        <f>IFERROR(SUMIFS(RENT_DUE!$L$2:$L$10000, RENT_DUE!$B$2:$B$10000, "LEASE-BH-F16-2025", RENT_DUE!$D$2:$D$10000, "&lt;"&amp;DATE(2025,8,22)), 0) - IFERROR(SUMIFS(RENT_RECEIVED!$O$2:$O$10000, RENT_RECEIVED!$B$2:$B$10000, "LEASE-BH-F16-2025", RENT_RECEIVED!$E$2:$E$10000, "&lt;"&amp;DATE(2025,8,22)), 0)</f>
        <v>0.0</v>
      </c>
      <c r="K19" s="3" t="n">
        <f>G19 - H19</f>
        <v>0.0</v>
      </c>
      <c r="L19" s="3" t="n">
        <f>J19 + K19</f>
        <v>0.0</v>
      </c>
      <c r="M19" s="3" t="n">
        <f>H19 * 0.1500</f>
        <v>0.0</v>
      </c>
      <c r="N19" s="3" t="n">
        <f>H19 * 0.0000</f>
        <v>0.0</v>
      </c>
      <c r="O19" s="3" t="n">
        <f>ABS(M19 + N19)</f>
        <v>0.0</v>
      </c>
      <c r="P19" t="inlineStr">
        <is>
          <t/>
        </is>
      </c>
      <c r="Q19" s="3" t="n">
        <f>SUMIFS(EXPENSES!E:E, EXPENSES!B:B, "LEASE-BH-F16-2025", EXPENSES!D:D, "&gt;="&amp;DATE(2025,8,22), EXPENSES!D:D, "&lt;="&amp;DATE(2025,9,21))</f>
        <v>0.0</v>
      </c>
      <c r="R19" t="inlineStr">
        <is>
          <t/>
        </is>
      </c>
      <c r="S19" s="3" t="n">
        <f>H19 - O19 - Q19</f>
        <v>0.0</v>
      </c>
      <c r="T19" t="inlineStr">
        <is>
          <t/>
        </is>
      </c>
      <c r="U19" t="inlineStr">
        <is>
          <t/>
        </is>
      </c>
      <c r="V19" t="inlineStr">
        <is>
          <t/>
        </is>
      </c>
      <c r="W19" t="inlineStr">
        <is>
          <t/>
        </is>
      </c>
      <c r="X19" t="inlineStr">
        <is>
          <t/>
        </is>
      </c>
      <c r="Y19" s="3" t="n">
        <v>3641.31</v>
      </c>
      <c r="Z19" s="3" t="n">
        <f>S19-Y19</f>
        <v>0.0</v>
      </c>
      <c r="AA19" t="inlineStr">
        <is>
          <t>PAID</t>
        </is>
      </c>
      <c r="AB19" t="inlineStr">
        <is>
          <t>MULTIPLE</t>
        </is>
      </c>
      <c r="AC19" s="2" t="n">
        <v>45891.0</v>
      </c>
    </row>
    <row r="20">
      <c r="A20" t="inlineStr">
        <is>
          <t>LEASE-BH-F17-2025</t>
        </is>
      </c>
      <c r="B20" t="inlineStr">
        <is>
          <t>Flat 17 - 3 West Gate</t>
        </is>
      </c>
      <c r="C20" t="inlineStr">
        <is>
          <t>Achal (Delegated for Udayan)</t>
        </is>
      </c>
      <c r="D20" t="inlineStr">
        <is>
          <t>Mr Harsh Patel</t>
        </is>
      </c>
      <c r="E20" s="2" t="n">
        <v>45705.0</v>
      </c>
      <c r="F20" t="n">
        <v>17.0</v>
      </c>
      <c r="G20" s="3" t="n">
        <f>IFERROR(SUMPRODUCT((RENT_DUE!$B$2:$B$1000="LEASE-BH-F17-2025")*(RENT_DUE!$D$2:$D$1000&gt;=DATE(2025,8,22))*(RENT_DUE!$D$2:$D$1000&lt;=DATE(2025,9,21))*RENT_DUE!$L$2:$L$1000), 0)</f>
        <v>0.0</v>
      </c>
      <c r="H20" s="3" t="n">
        <f>IFERROR(SUMPRODUCT((RENT_RECEIVED!$B$2:$B$1000="LEASE-BH-F17-2025")*(RENT_RECEIVED!$E$2:$E$1000&gt;=DATE(2025,8,22))*(RENT_RECEIVED!$E$2:$E$1000&lt;=DATE(2025,9,21))*RENT_RECEIVED!$O$2:$O$1000), 0)</f>
        <v>0.0</v>
      </c>
      <c r="I20" t="inlineStr">
        <is>
          <t>LJMK7Oyo1q</t>
        </is>
      </c>
      <c r="J20" s="3" t="n">
        <f>IFERROR(SUMIFS(RENT_DUE!$L$2:$L$10000, RENT_DUE!$B$2:$B$10000, "LEASE-BH-F17-2025", RENT_DUE!$D$2:$D$10000, "&lt;"&amp;DATE(2025,8,22)), 0) - IFERROR(SUMIFS(RENT_RECEIVED!$O$2:$O$10000, RENT_RECEIVED!$B$2:$B$10000, "LEASE-BH-F17-2025", RENT_RECEIVED!$E$2:$E$10000, "&lt;"&amp;DATE(2025,8,22)), 0)</f>
        <v>0.0</v>
      </c>
      <c r="K20" s="3" t="n">
        <f>G20 - H20</f>
        <v>0.0</v>
      </c>
      <c r="L20" s="3" t="n">
        <f>J20 + K20</f>
        <v>0.0</v>
      </c>
      <c r="M20" s="3" t="n">
        <f>H20 * 0.1500</f>
        <v>0.0</v>
      </c>
      <c r="N20" s="3" t="n">
        <f>H20 * 0.0000</f>
        <v>0.0</v>
      </c>
      <c r="O20" s="3" t="n">
        <f>ABS(M20 + N20)</f>
        <v>0.0</v>
      </c>
      <c r="P20" t="inlineStr">
        <is>
          <t/>
        </is>
      </c>
      <c r="Q20" s="3" t="n">
        <f>SUMIFS(EXPENSES!E:E, EXPENSES!B:B, "LEASE-BH-F17-2025", EXPENSES!D:D, "&gt;="&amp;DATE(2025,8,22), EXPENSES!D:D, "&lt;="&amp;DATE(2025,9,21))</f>
        <v>0.0</v>
      </c>
      <c r="R20" t="inlineStr">
        <is>
          <t/>
        </is>
      </c>
      <c r="S20" s="3" t="n">
        <f>H20 - O20 - Q20</f>
        <v>0.0</v>
      </c>
      <c r="T20" t="inlineStr">
        <is>
          <t/>
        </is>
      </c>
      <c r="U20" t="inlineStr">
        <is>
          <t/>
        </is>
      </c>
      <c r="V20" t="inlineStr">
        <is>
          <t/>
        </is>
      </c>
      <c r="W20" t="inlineStr">
        <is>
          <t/>
        </is>
      </c>
      <c r="X20" t="inlineStr">
        <is>
          <t/>
        </is>
      </c>
      <c r="Y20" s="3" t="n">
        <v>5800.0</v>
      </c>
      <c r="Z20" s="3" t="n">
        <f>S20-Y20</f>
        <v>0.0</v>
      </c>
      <c r="AA20" t="inlineStr">
        <is>
          <t>PAID</t>
        </is>
      </c>
      <c r="AB20" t="inlineStr">
        <is>
          <t>MULTIPLE</t>
        </is>
      </c>
      <c r="AC20" s="2" t="n">
        <v>45982.0</v>
      </c>
    </row>
    <row r="21">
      <c r="A21" t="inlineStr">
        <is>
          <t>LEASE-BH-F18-2025</t>
        </is>
      </c>
      <c r="B21" t="inlineStr">
        <is>
          <t>Flat 18 - 3 West Gate</t>
        </is>
      </c>
      <c r="C21" t="inlineStr">
        <is>
          <t>Achal (Delegated for Udayan)</t>
        </is>
      </c>
      <c r="D21" t="inlineStr">
        <is>
          <t>Marie Dinko</t>
        </is>
      </c>
      <c r="E21" s="2" t="n">
        <v>45687.0</v>
      </c>
      <c r="F21" t="n">
        <v>30.0</v>
      </c>
      <c r="G21" s="3" t="n">
        <v>0.0</v>
      </c>
      <c r="H21" s="3" t="n">
        <f>IFERROR(SUMPRODUCT((RENT_RECEIVED!$B$2:$B$1000="LEASE-BH-F18-2025")*(RENT_RECEIVED!$E$2:$E$1000&gt;=DATE(2025,8,22))*(RENT_RECEIVED!$E$2:$E$1000&lt;=DATE(2025,9,21))*RENT_RECEIVED!$O$2:$O$1000), 0)</f>
        <v>0.0</v>
      </c>
      <c r="I21" t="inlineStr">
        <is>
          <t>2Xlz4lYnZe, LJMK7Oyo1q</t>
        </is>
      </c>
      <c r="J21" s="3" t="n">
        <f>IFERROR(SUMIFS(RENT_DUE!$L$2:$L$10000, RENT_DUE!$B$2:$B$10000, "LEASE-BH-F18-2025", RENT_DUE!$D$2:$D$10000, "&lt;"&amp;DATE(2025,8,22)), 0) - IFERROR(SUMIFS(RENT_RECEIVED!$O$2:$O$10000, RENT_RECEIVED!$B$2:$B$10000, "LEASE-BH-F18-2025", RENT_RECEIVED!$E$2:$E$10000, "&lt;"&amp;DATE(2025,8,22)), 0)</f>
        <v>0.0</v>
      </c>
      <c r="K21" s="3" t="n">
        <f>G21 - H21</f>
        <v>0.0</v>
      </c>
      <c r="L21" s="3" t="n">
        <f>J21 + K21</f>
        <v>0.0</v>
      </c>
      <c r="M21" s="3" t="n">
        <f>H21 * 0.1500</f>
        <v>0.0</v>
      </c>
      <c r="N21" s="3" t="n">
        <f>H21 * 0.0000</f>
        <v>0.0</v>
      </c>
      <c r="O21" s="3" t="n">
        <f>ABS(M21 + N21)</f>
        <v>0.0</v>
      </c>
      <c r="P21" t="inlineStr">
        <is>
          <t/>
        </is>
      </c>
      <c r="Q21" s="3" t="n">
        <f>SUMIFS(EXPENSES!E:E, EXPENSES!B:B, "LEASE-BH-F18-2025", EXPENSES!D:D, "&gt;="&amp;DATE(2025,8,22), EXPENSES!D:D, "&lt;="&amp;DATE(2025,9,21))</f>
        <v>0.0</v>
      </c>
      <c r="R21" t="inlineStr">
        <is>
          <t/>
        </is>
      </c>
      <c r="S21" s="3" t="n">
        <f>H21 - O21 - Q21</f>
        <v>0.0</v>
      </c>
      <c r="T21" t="inlineStr">
        <is>
          <t/>
        </is>
      </c>
      <c r="U21" t="inlineStr">
        <is>
          <t/>
        </is>
      </c>
      <c r="V21" t="inlineStr">
        <is>
          <t/>
        </is>
      </c>
      <c r="W21" t="inlineStr">
        <is>
          <t/>
        </is>
      </c>
      <c r="X21" t="inlineStr">
        <is>
          <t/>
        </is>
      </c>
      <c r="Y21" s="3" t="n">
        <v>2044.25</v>
      </c>
      <c r="Z21" s="3" t="n">
        <f>S21-Y21</f>
        <v>0.0</v>
      </c>
      <c r="AA21" t="inlineStr">
        <is>
          <t>PAID</t>
        </is>
      </c>
      <c r="AB21" t="inlineStr">
        <is>
          <t>MULTIPLE</t>
        </is>
      </c>
      <c r="AC21" s="2" t="n">
        <v>45804.0</v>
      </c>
    </row>
    <row r="22">
      <c r="A22" t="inlineStr">
        <is>
          <t>LEASE-BH-F18-2025B</t>
        </is>
      </c>
      <c r="B22" t="inlineStr">
        <is>
          <t>Flat 18 - 3 West Gate</t>
        </is>
      </c>
      <c r="C22" t="inlineStr">
        <is>
          <t>Achal (Delegated for Udayan)</t>
        </is>
      </c>
      <c r="D22" t="inlineStr">
        <is>
          <t>Nirmali Gedara and Janith Hetti Arachchilage</t>
        </is>
      </c>
      <c r="E22" s="2" t="n">
        <v>45818.0</v>
      </c>
      <c r="F22" t="n">
        <v>10.0</v>
      </c>
      <c r="G22" s="3" t="n">
        <f>IFERROR(SUMPRODUCT((RENT_DUE!$B$2:$B$1000="LEASE-BH-F18-2025B")*(RENT_DUE!$D$2:$D$1000&gt;=DATE(2025,8,22))*(RENT_DUE!$D$2:$D$1000&lt;=DATE(2025,9,21))*RENT_DUE!$L$2:$L$1000), 0)</f>
        <v>0.0</v>
      </c>
      <c r="H22" s="3" t="n">
        <f>IFERROR(SUMPRODUCT((RENT_RECEIVED!$B$2:$B$1000="LEASE-BH-F18-2025B")*(RENT_RECEIVED!$E$2:$E$1000&gt;=DATE(2025,8,22))*(RENT_RECEIVED!$E$2:$E$1000&lt;=DATE(2025,9,21))*RENT_RECEIVED!$O$2:$O$1000), 0)</f>
        <v>0.0</v>
      </c>
      <c r="I22" t="inlineStr">
        <is>
          <t>2Xlz4lYnZe, LJMK7Oyo1q</t>
        </is>
      </c>
      <c r="J22" s="3" t="n">
        <f>IFERROR(SUMIFS(RENT_DUE!$L$2:$L$10000, RENT_DUE!$B$2:$B$10000, "LEASE-BH-F18-2025B", RENT_DUE!$D$2:$D$10000, "&lt;"&amp;DATE(2025,8,22)), 0) - IFERROR(SUMIFS(RENT_RECEIVED!$O$2:$O$10000, RENT_RECEIVED!$B$2:$B$10000, "LEASE-BH-F18-2025B", RENT_RECEIVED!$E$2:$E$10000, "&lt;"&amp;DATE(2025,8,22)), 0)</f>
        <v>0.0</v>
      </c>
      <c r="K22" s="3" t="n">
        <f>G22 - H22</f>
        <v>0.0</v>
      </c>
      <c r="L22" s="3" t="n">
        <f>J22 + K22</f>
        <v>0.0</v>
      </c>
      <c r="M22" s="3" t="n">
        <f>H22 * 0.1500</f>
        <v>0.0</v>
      </c>
      <c r="N22" s="3" t="n">
        <f>H22 * 0.0000</f>
        <v>0.0</v>
      </c>
      <c r="O22" s="3" t="n">
        <f>ABS(M22 + N22)</f>
        <v>0.0</v>
      </c>
      <c r="P22" t="inlineStr">
        <is>
          <t/>
        </is>
      </c>
      <c r="Q22" s="3" t="n">
        <f>SUMIFS(EXPENSES!E:E, EXPENSES!B:B, "LEASE-BH-F18-2025B", EXPENSES!D:D, "&gt;="&amp;DATE(2025,8,22), EXPENSES!D:D, "&lt;="&amp;DATE(2025,9,21))</f>
        <v>0.0</v>
      </c>
      <c r="R22" t="inlineStr">
        <is>
          <t/>
        </is>
      </c>
      <c r="S22" s="3" t="n">
        <f>H22 - O22 - Q22</f>
        <v>0.0</v>
      </c>
      <c r="T22" t="inlineStr">
        <is>
          <t/>
        </is>
      </c>
      <c r="U22" t="inlineStr">
        <is>
          <t/>
        </is>
      </c>
      <c r="V22" t="inlineStr">
        <is>
          <t/>
        </is>
      </c>
      <c r="W22" t="inlineStr">
        <is>
          <t/>
        </is>
      </c>
      <c r="X22" t="inlineStr">
        <is>
          <t/>
        </is>
      </c>
      <c r="Y22" s="3" t="n">
        <v>4189.5</v>
      </c>
      <c r="Z22" s="3" t="n">
        <f>S22-Y22</f>
        <v>0.0</v>
      </c>
      <c r="AA22" t="inlineStr">
        <is>
          <t>PAID</t>
        </is>
      </c>
      <c r="AB22" t="inlineStr">
        <is>
          <t>MULTIPLE</t>
        </is>
      </c>
      <c r="AC22" s="2" t="n">
        <v>45982.0</v>
      </c>
    </row>
    <row r="23">
      <c r="A23" t="inlineStr">
        <is>
          <t>LEASE-BH-F19-2025</t>
        </is>
      </c>
      <c r="B23" t="inlineStr">
        <is>
          <t>Flat 19 - 3 West Gate</t>
        </is>
      </c>
      <c r="C23" t="inlineStr">
        <is>
          <t>Achal (Delegated for Udayan)</t>
        </is>
      </c>
      <c r="D23" t="inlineStr">
        <is>
          <t>Mr Joshua Banks, Miss Layla Middlemass</t>
        </is>
      </c>
      <c r="E23" s="2" t="n">
        <v>45730.0</v>
      </c>
      <c r="F23" t="n">
        <v>14.0</v>
      </c>
      <c r="G23" s="3" t="n">
        <v>0.0</v>
      </c>
      <c r="H23" s="3" t="n">
        <f>IFERROR(SUMPRODUCT((RENT_RECEIVED!$B$2:$B$1000="LEASE-BH-F19-2025")*(RENT_RECEIVED!$E$2:$E$1000&gt;=DATE(2025,8,22))*(RENT_RECEIVED!$E$2:$E$1000&lt;=DATE(2025,9,21))*RENT_RECEIVED!$O$2:$O$1000), 0)</f>
        <v>0.0</v>
      </c>
      <c r="I23" t="inlineStr">
        <is>
          <t/>
        </is>
      </c>
      <c r="J23" s="3" t="n">
        <f>IFERROR(SUMIFS(RENT_DUE!$L$2:$L$10000, RENT_DUE!$B$2:$B$10000, "LEASE-BH-F19-2025", RENT_DUE!$D$2:$D$10000, "&lt;"&amp;DATE(2025,8,22)), 0) - IFERROR(SUMIFS(RENT_RECEIVED!$O$2:$O$10000, RENT_RECEIVED!$B$2:$B$10000, "LEASE-BH-F19-2025", RENT_RECEIVED!$E$2:$E$10000, "&lt;"&amp;DATE(2025,8,22)), 0)</f>
        <v>0.0</v>
      </c>
      <c r="K23" s="3" t="n">
        <f>G23 - H23</f>
        <v>0.0</v>
      </c>
      <c r="L23" s="3" t="n">
        <f>J23 + K23</f>
        <v>0.0</v>
      </c>
      <c r="M23" s="3" t="n">
        <f>H23 * 0.1500</f>
        <v>0.0</v>
      </c>
      <c r="N23" s="3" t="n">
        <f>H23 * 0.0000</f>
        <v>0.0</v>
      </c>
      <c r="O23" s="3" t="n">
        <f>ABS(M23 + N23)</f>
        <v>0.0</v>
      </c>
      <c r="P23" t="inlineStr">
        <is>
          <t/>
        </is>
      </c>
      <c r="Q23" s="3" t="n">
        <f>SUMIFS(EXPENSES!E:E, EXPENSES!B:B, "LEASE-BH-F19-2025", EXPENSES!D:D, "&gt;="&amp;DATE(2025,8,22), EXPENSES!D:D, "&lt;="&amp;DATE(2025,9,21))</f>
        <v>0.0</v>
      </c>
      <c r="R23" t="inlineStr">
        <is>
          <t/>
        </is>
      </c>
      <c r="S23" s="3" t="n">
        <f>H23 - O23 - Q23</f>
        <v>0.0</v>
      </c>
      <c r="T23" t="inlineStr">
        <is>
          <t/>
        </is>
      </c>
      <c r="U23" t="inlineStr">
        <is>
          <t/>
        </is>
      </c>
      <c r="V23" t="inlineStr">
        <is>
          <t/>
        </is>
      </c>
      <c r="W23" t="inlineStr">
        <is>
          <t/>
        </is>
      </c>
      <c r="X23" t="inlineStr">
        <is>
          <t/>
        </is>
      </c>
      <c r="Y23" s="3" t="n">
        <v>2888.3</v>
      </c>
      <c r="Z23" s="3" t="n">
        <f>S23-Y23</f>
        <v>0.0</v>
      </c>
      <c r="AA23" t="inlineStr">
        <is>
          <t>PAID</t>
        </is>
      </c>
      <c r="AB23" t="inlineStr">
        <is>
          <t>MULTIPLE</t>
        </is>
      </c>
      <c r="AC23" s="2" t="n">
        <v>45846.0</v>
      </c>
    </row>
    <row r="24">
      <c r="A24" t="inlineStr">
        <is>
          <t>LEASE-BH-F19-2025B</t>
        </is>
      </c>
      <c r="B24" t="inlineStr">
        <is>
          <t>Flat 19 - 3 West Gate</t>
        </is>
      </c>
      <c r="C24" t="inlineStr">
        <is>
          <t>Achal (Delegated for Udayan)</t>
        </is>
      </c>
      <c r="D24" t="inlineStr">
        <is>
          <t>Charanya Kaliamoorthy</t>
        </is>
      </c>
      <c r="E24" s="2" t="n">
        <v>45901.0</v>
      </c>
      <c r="F24" t="n">
        <v>1.0</v>
      </c>
      <c r="G24" s="3" t="n">
        <f>IFERROR(SUMPRODUCT((RENT_DUE!$B$2:$B$1000="LEASE-BH-F19-2025B")*(RENT_DUE!$D$2:$D$1000&gt;=DATE(2025,8,22))*(RENT_DUE!$D$2:$D$1000&lt;=DATE(2025,9,21))*RENT_DUE!$L$2:$L$1000), 0)</f>
        <v>0.0</v>
      </c>
      <c r="H24" s="3" t="n">
        <f>IFERROR(SUMPRODUCT((RENT_RECEIVED!$B$2:$B$1000="LEASE-BH-F19-2025B")*(RENT_RECEIVED!$E$2:$E$1000&gt;=DATE(2025,8,22))*(RENT_RECEIVED!$E$2:$E$1000&lt;=DATE(2025,9,21))*RENT_RECEIVED!$O$2:$O$1000), 0)</f>
        <v>0.0</v>
      </c>
      <c r="I24" t="inlineStr">
        <is>
          <t/>
        </is>
      </c>
      <c r="J24" s="3" t="n">
        <f>IFERROR(SUMIFS(RENT_DUE!$L$2:$L$10000, RENT_DUE!$B$2:$B$10000, "LEASE-BH-F19-2025B", RENT_DUE!$D$2:$D$10000, "&lt;"&amp;DATE(2025,8,22)), 0) - IFERROR(SUMIFS(RENT_RECEIVED!$O$2:$O$10000, RENT_RECEIVED!$B$2:$B$10000, "LEASE-BH-F19-2025B", RENT_RECEIVED!$E$2:$E$10000, "&lt;"&amp;DATE(2025,8,22)), 0)</f>
        <v>0.0</v>
      </c>
      <c r="K24" s="3" t="n">
        <f>G24 - H24</f>
        <v>0.0</v>
      </c>
      <c r="L24" s="3" t="n">
        <f>J24 + K24</f>
        <v>0.0</v>
      </c>
      <c r="M24" s="3" t="n">
        <f>H24 * 0.1500</f>
        <v>0.0</v>
      </c>
      <c r="N24" s="3" t="n">
        <f>H24 * 0.0000</f>
        <v>0.0</v>
      </c>
      <c r="O24" s="3" t="n">
        <f>ABS(M24 + N24)</f>
        <v>0.0</v>
      </c>
      <c r="P24" t="inlineStr">
        <is>
          <t/>
        </is>
      </c>
      <c r="Q24" s="3" t="n">
        <f>SUMIFS(EXPENSES!E:E, EXPENSES!B:B, "LEASE-BH-F19-2025B", EXPENSES!D:D, "&gt;="&amp;DATE(2025,8,22), EXPENSES!D:D, "&lt;="&amp;DATE(2025,9,21))</f>
        <v>0.0</v>
      </c>
      <c r="R24" t="inlineStr">
        <is>
          <t/>
        </is>
      </c>
      <c r="S24" s="3" t="n">
        <f>H24 - O24 - Q24</f>
        <v>0.0</v>
      </c>
      <c r="T24" t="inlineStr">
        <is>
          <t/>
        </is>
      </c>
      <c r="U24" t="inlineStr">
        <is>
          <t/>
        </is>
      </c>
      <c r="V24" t="inlineStr">
        <is>
          <t/>
        </is>
      </c>
      <c r="W24" t="inlineStr">
        <is>
          <t/>
        </is>
      </c>
      <c r="X24" t="inlineStr">
        <is>
          <t/>
        </is>
      </c>
      <c r="Y24" s="3" t="n">
        <v>12685.86</v>
      </c>
      <c r="Z24" s="3" t="n">
        <f>S24-Y24</f>
        <v>0.0</v>
      </c>
      <c r="AA24" t="inlineStr">
        <is>
          <t>PAID</t>
        </is>
      </c>
      <c r="AB24" t="inlineStr">
        <is>
          <t>MULTIPLE</t>
        </is>
      </c>
      <c r="AC24" s="2" t="n">
        <v>45982.0</v>
      </c>
    </row>
    <row r="25">
      <c r="A25" t="inlineStr">
        <is>
          <t>LEASE-BH-F20-2025</t>
        </is>
      </c>
      <c r="B25" t="inlineStr">
        <is>
          <t>Flat 20 - 3 West Gate</t>
        </is>
      </c>
      <c r="C25" t="inlineStr">
        <is>
          <t>Achal (Delegated for Udayan)</t>
        </is>
      </c>
      <c r="D25" t="inlineStr">
        <is>
          <t>Mr James Kay</t>
        </is>
      </c>
      <c r="E25" s="2" t="n">
        <v>45732.0</v>
      </c>
      <c r="F25" t="n">
        <v>16.0</v>
      </c>
      <c r="G25" s="3" t="n">
        <f>IFERROR(SUMPRODUCT((RENT_DUE!$B$2:$B$1000="LEASE-BH-F20-2025")*(RENT_DUE!$D$2:$D$1000&gt;=DATE(2025,8,22))*(RENT_DUE!$D$2:$D$1000&lt;=DATE(2025,9,21))*RENT_DUE!$L$2:$L$1000), 0)</f>
        <v>0.0</v>
      </c>
      <c r="H25" s="3" t="n">
        <f>IFERROR(SUMPRODUCT((RENT_RECEIVED!$B$2:$B$1000="LEASE-BH-F20-2025")*(RENT_RECEIVED!$E$2:$E$1000&gt;=DATE(2025,8,22))*(RENT_RECEIVED!$E$2:$E$1000&lt;=DATE(2025,9,21))*RENT_RECEIVED!$O$2:$O$1000), 0)</f>
        <v>0.0</v>
      </c>
      <c r="I25" t="inlineStr">
        <is>
          <t>2Xlz4lYnZe</t>
        </is>
      </c>
      <c r="J25" s="3" t="n">
        <f>IFERROR(SUMIFS(RENT_DUE!$L$2:$L$10000, RENT_DUE!$B$2:$B$10000, "LEASE-BH-F20-2025", RENT_DUE!$D$2:$D$10000, "&lt;"&amp;DATE(2025,8,22)), 0) - IFERROR(SUMIFS(RENT_RECEIVED!$O$2:$O$10000, RENT_RECEIVED!$B$2:$B$10000, "LEASE-BH-F20-2025", RENT_RECEIVED!$E$2:$E$10000, "&lt;"&amp;DATE(2025,8,22)), 0)</f>
        <v>0.0</v>
      </c>
      <c r="K25" s="3" t="n">
        <f>G25 - H25</f>
        <v>0.0</v>
      </c>
      <c r="L25" s="3" t="n">
        <f>J25 + K25</f>
        <v>0.0</v>
      </c>
      <c r="M25" s="3" t="n">
        <f>H25 * 0.1500</f>
        <v>0.0</v>
      </c>
      <c r="N25" s="3" t="n">
        <f>H25 * 0.0000</f>
        <v>0.0</v>
      </c>
      <c r="O25" s="3" t="n">
        <f>ABS(M25 + N25)</f>
        <v>0.0</v>
      </c>
      <c r="P25" t="inlineStr">
        <is>
          <t/>
        </is>
      </c>
      <c r="Q25" s="3" t="n">
        <f>SUMIFS(EXPENSES!E:E, EXPENSES!B:B, "LEASE-BH-F20-2025", EXPENSES!D:D, "&gt;="&amp;DATE(2025,8,22), EXPENSES!D:D, "&lt;="&amp;DATE(2025,9,21))</f>
        <v>0.0</v>
      </c>
      <c r="R25" t="inlineStr">
        <is>
          <t/>
        </is>
      </c>
      <c r="S25" s="3" t="n">
        <f>H25 - O25 - Q25</f>
        <v>0.0</v>
      </c>
      <c r="T25" t="inlineStr">
        <is>
          <t/>
        </is>
      </c>
      <c r="U25" t="inlineStr">
        <is>
          <t/>
        </is>
      </c>
      <c r="V25" t="inlineStr">
        <is>
          <t/>
        </is>
      </c>
      <c r="W25" t="inlineStr">
        <is>
          <t/>
        </is>
      </c>
      <c r="X25" t="inlineStr">
        <is>
          <t/>
        </is>
      </c>
      <c r="Y25" s="3" t="n">
        <v>5255.0</v>
      </c>
      <c r="Z25" s="3" t="n">
        <f>S25-Y25</f>
        <v>0.0</v>
      </c>
      <c r="AA25" t="inlineStr">
        <is>
          <t>PAID</t>
        </is>
      </c>
      <c r="AB25" t="inlineStr">
        <is>
          <t>MULTIPLE</t>
        </is>
      </c>
      <c r="AC25" s="2" t="n">
        <v>45982.0</v>
      </c>
    </row>
    <row r="26">
      <c r="A26" t="inlineStr">
        <is>
          <t>LEASE-BH-F21-2025</t>
        </is>
      </c>
      <c r="B26" t="inlineStr">
        <is>
          <t>Flat 21 - 3 West Gate</t>
        </is>
      </c>
      <c r="C26" t="inlineStr">
        <is>
          <t>Achal (Delegated for Udayan)</t>
        </is>
      </c>
      <c r="D26" t="inlineStr">
        <is>
          <t>Mr Felwin Francis</t>
        </is>
      </c>
      <c r="E26" s="2" t="n">
        <v>45687.0</v>
      </c>
      <c r="F26" t="n">
        <v>30.0</v>
      </c>
      <c r="G26" s="3" t="n">
        <f>IFERROR(SUMPRODUCT((RENT_DUE!$B$2:$B$1000="LEASE-BH-F21-2025")*(RENT_DUE!$D$2:$D$1000&gt;=DATE(2025,8,22))*(RENT_DUE!$D$2:$D$1000&lt;=DATE(2025,9,21))*RENT_DUE!$L$2:$L$1000), 0)</f>
        <v>0.0</v>
      </c>
      <c r="H26" s="3" t="n">
        <f>IFERROR(SUMPRODUCT((RENT_RECEIVED!$B$2:$B$1000="LEASE-BH-F21-2025")*(RENT_RECEIVED!$E$2:$E$1000&gt;=DATE(2025,8,22))*(RENT_RECEIVED!$E$2:$E$1000&lt;=DATE(2025,9,21))*RENT_RECEIVED!$O$2:$O$1000), 0)</f>
        <v>0.0</v>
      </c>
      <c r="I26" t="inlineStr">
        <is>
          <t>2Xlz4lYnZe, LJMK7Oyo1q</t>
        </is>
      </c>
      <c r="J26" s="3" t="n">
        <f>IFERROR(SUMIFS(RENT_DUE!$L$2:$L$10000, RENT_DUE!$B$2:$B$10000, "LEASE-BH-F21-2025", RENT_DUE!$D$2:$D$10000, "&lt;"&amp;DATE(2025,8,22)), 0) - IFERROR(SUMIFS(RENT_RECEIVED!$O$2:$O$10000, RENT_RECEIVED!$B$2:$B$10000, "LEASE-BH-F21-2025", RENT_RECEIVED!$E$2:$E$10000, "&lt;"&amp;DATE(2025,8,22)), 0)</f>
        <v>0.0</v>
      </c>
      <c r="K26" s="3" t="n">
        <f>G26 - H26</f>
        <v>0.0</v>
      </c>
      <c r="L26" s="3" t="n">
        <f>J26 + K26</f>
        <v>0.0</v>
      </c>
      <c r="M26" s="3" t="n">
        <f>H26 * 0.1500</f>
        <v>0.0</v>
      </c>
      <c r="N26" s="3" t="n">
        <f>H26 * 0.0000</f>
        <v>0.0</v>
      </c>
      <c r="O26" s="3" t="n">
        <f>ABS(M26 + N26)</f>
        <v>0.0</v>
      </c>
      <c r="P26" t="inlineStr">
        <is>
          <t/>
        </is>
      </c>
      <c r="Q26" s="3" t="n">
        <f>SUMIFS(EXPENSES!E:E, EXPENSES!B:B, "LEASE-BH-F21-2025", EXPENSES!D:D, "&gt;="&amp;DATE(2025,8,22), EXPENSES!D:D, "&lt;="&amp;DATE(2025,9,21))</f>
        <v>0.0</v>
      </c>
      <c r="R26" t="inlineStr">
        <is>
          <t/>
        </is>
      </c>
      <c r="S26" s="3" t="n">
        <f>H26 - O26 - Q26</f>
        <v>0.0</v>
      </c>
      <c r="T26" t="inlineStr">
        <is>
          <t/>
        </is>
      </c>
      <c r="U26" t="inlineStr">
        <is>
          <t/>
        </is>
      </c>
      <c r="V26" t="inlineStr">
        <is>
          <t/>
        </is>
      </c>
      <c r="W26" t="inlineStr">
        <is>
          <t/>
        </is>
      </c>
      <c r="X26" t="inlineStr">
        <is>
          <t/>
        </is>
      </c>
      <c r="Y26" s="3" t="n">
        <v>6637.5</v>
      </c>
      <c r="Z26" s="3" t="n">
        <f>S26-Y26</f>
        <v>0.0</v>
      </c>
      <c r="AA26" t="inlineStr">
        <is>
          <t>PAID</t>
        </is>
      </c>
      <c r="AB26" t="inlineStr">
        <is>
          <t>MULTIPLE</t>
        </is>
      </c>
      <c r="AC26" s="2" t="n">
        <v>45982.0</v>
      </c>
    </row>
    <row r="27">
      <c r="A27" t="inlineStr">
        <is>
          <t>LEASE-BH-F22-2025</t>
        </is>
      </c>
      <c r="B27" t="inlineStr">
        <is>
          <t>Flat 22 - 3 West Gate</t>
        </is>
      </c>
      <c r="C27" t="inlineStr">
        <is>
          <t>Achal (Delegated for Udayan)</t>
        </is>
      </c>
      <c r="D27" t="inlineStr">
        <is>
          <t>Mr Brian Lowe</t>
        </is>
      </c>
      <c r="E27" s="2" t="n">
        <v>45717.0</v>
      </c>
      <c r="F27" t="n">
        <v>1.0</v>
      </c>
      <c r="G27" s="3" t="n">
        <f>IFERROR(SUMPRODUCT((RENT_DUE!$B$2:$B$1000="LEASE-BH-F22-2025")*(RENT_DUE!$D$2:$D$1000&gt;=DATE(2025,8,22))*(RENT_DUE!$D$2:$D$1000&lt;=DATE(2025,9,21))*RENT_DUE!$L$2:$L$1000), 0)</f>
        <v>0.0</v>
      </c>
      <c r="H27" s="3" t="n">
        <f>IFERROR(SUMPRODUCT((RENT_RECEIVED!$B$2:$B$1000="LEASE-BH-F22-2025")*(RENT_RECEIVED!$E$2:$E$1000&gt;=DATE(2025,8,22))*(RENT_RECEIVED!$E$2:$E$1000&lt;=DATE(2025,9,21))*RENT_RECEIVED!$O$2:$O$1000), 0)</f>
        <v>0.0</v>
      </c>
      <c r="I27" t="inlineStr">
        <is>
          <t>2Xlz4lYnZe</t>
        </is>
      </c>
      <c r="J27" s="3" t="n">
        <f>IFERROR(SUMIFS(RENT_DUE!$L$2:$L$10000, RENT_DUE!$B$2:$B$10000, "LEASE-BH-F22-2025", RENT_DUE!$D$2:$D$10000, "&lt;"&amp;DATE(2025,8,22)), 0) - IFERROR(SUMIFS(RENT_RECEIVED!$O$2:$O$10000, RENT_RECEIVED!$B$2:$B$10000, "LEASE-BH-F22-2025", RENT_RECEIVED!$E$2:$E$10000, "&lt;"&amp;DATE(2025,8,22)), 0)</f>
        <v>0.0</v>
      </c>
      <c r="K27" s="3" t="n">
        <f>G27 - H27</f>
        <v>0.0</v>
      </c>
      <c r="L27" s="3" t="n">
        <f>J27 + K27</f>
        <v>0.0</v>
      </c>
      <c r="M27" s="3" t="n">
        <f>H27 * 0.1500</f>
        <v>0.0</v>
      </c>
      <c r="N27" s="3" t="n">
        <f>H27 * 0.0000</f>
        <v>0.0</v>
      </c>
      <c r="O27" s="3" t="n">
        <f>ABS(M27 + N27)</f>
        <v>0.0</v>
      </c>
      <c r="P27" t="inlineStr">
        <is>
          <t/>
        </is>
      </c>
      <c r="Q27" s="3" t="n">
        <f>SUMIFS(EXPENSES!E:E, EXPENSES!B:B, "LEASE-BH-F22-2025", EXPENSES!D:D, "&gt;="&amp;DATE(2025,8,22), EXPENSES!D:D, "&lt;="&amp;DATE(2025,9,21))</f>
        <v>0.0</v>
      </c>
      <c r="R27" t="inlineStr">
        <is>
          <t/>
        </is>
      </c>
      <c r="S27" s="3" t="n">
        <f>H27 - O27 - Q27</f>
        <v>0.0</v>
      </c>
      <c r="T27" t="inlineStr">
        <is>
          <t/>
        </is>
      </c>
      <c r="U27" t="inlineStr">
        <is>
          <t/>
        </is>
      </c>
      <c r="V27" t="inlineStr">
        <is>
          <t/>
        </is>
      </c>
      <c r="W27" t="inlineStr">
        <is>
          <t/>
        </is>
      </c>
      <c r="X27" t="inlineStr">
        <is>
          <t/>
        </is>
      </c>
      <c r="Y27" s="3" t="n">
        <v>5661.0</v>
      </c>
      <c r="Z27" s="3" t="n">
        <f>S27-Y27</f>
        <v>0.0</v>
      </c>
      <c r="AA27" t="inlineStr">
        <is>
          <t>PAID</t>
        </is>
      </c>
      <c r="AB27" t="inlineStr">
        <is>
          <t>MULTIPLE</t>
        </is>
      </c>
      <c r="AC27" s="2" t="n">
        <v>45982.0</v>
      </c>
    </row>
    <row r="28">
      <c r="A28" t="inlineStr">
        <is>
          <t>LEASE-BH-F23-2025</t>
        </is>
      </c>
      <c r="B28" t="inlineStr">
        <is>
          <t>Flat 23 - 3 West Gate</t>
        </is>
      </c>
      <c r="C28" t="inlineStr">
        <is>
          <t>Achal (Delegated for Udayan)</t>
        </is>
      </c>
      <c r="D28" t="inlineStr">
        <is>
          <t>Mark Tennick</t>
        </is>
      </c>
      <c r="E28" s="2" t="n">
        <v>45830.0</v>
      </c>
      <c r="F28" t="n">
        <v>10.0</v>
      </c>
      <c r="G28" s="3" t="n">
        <f>IFERROR(SUMPRODUCT((RENT_DUE!$B$2:$B$1000="LEASE-BH-F23-2025")*(RENT_DUE!$D$2:$D$1000&gt;=DATE(2025,8,22))*(RENT_DUE!$D$2:$D$1000&lt;=DATE(2025,9,21))*RENT_DUE!$L$2:$L$1000), 0)</f>
        <v>0.0</v>
      </c>
      <c r="H28" s="3" t="n">
        <f>IFERROR(SUMPRODUCT((RENT_RECEIVED!$B$2:$B$1000="LEASE-BH-F23-2025")*(RENT_RECEIVED!$E$2:$E$1000&gt;=DATE(2025,8,22))*(RENT_RECEIVED!$E$2:$E$1000&lt;=DATE(2025,9,21))*RENT_RECEIVED!$O$2:$O$1000), 0)</f>
        <v>0.0</v>
      </c>
      <c r="I28" t="inlineStr">
        <is>
          <t>2Xlz4lYnZe</t>
        </is>
      </c>
      <c r="J28" s="3" t="n">
        <f>IFERROR(SUMIFS(RENT_DUE!$L$2:$L$10000, RENT_DUE!$B$2:$B$10000, "LEASE-BH-F23-2025", RENT_DUE!$D$2:$D$10000, "&lt;"&amp;DATE(2025,8,22)), 0) - IFERROR(SUMIFS(RENT_RECEIVED!$O$2:$O$10000, RENT_RECEIVED!$B$2:$B$10000, "LEASE-BH-F23-2025", RENT_RECEIVED!$E$2:$E$10000, "&lt;"&amp;DATE(2025,8,22)), 0)</f>
        <v>0.0</v>
      </c>
      <c r="K28" s="3" t="n">
        <f>G28 - H28</f>
        <v>0.0</v>
      </c>
      <c r="L28" s="3" t="n">
        <f>J28 + K28</f>
        <v>0.0</v>
      </c>
      <c r="M28" s="3" t="n">
        <f>H28 * 0.1500</f>
        <v>0.0</v>
      </c>
      <c r="N28" s="3" t="n">
        <f>H28 * 0.0000</f>
        <v>0.0</v>
      </c>
      <c r="O28" s="3" t="n">
        <f>ABS(M28 + N28)</f>
        <v>0.0</v>
      </c>
      <c r="P28" t="inlineStr">
        <is>
          <t/>
        </is>
      </c>
      <c r="Q28" s="3" t="n">
        <f>SUMIFS(EXPENSES!E:E, EXPENSES!B:B, "LEASE-BH-F23-2025", EXPENSES!D:D, "&gt;="&amp;DATE(2025,8,22), EXPENSES!D:D, "&lt;="&amp;DATE(2025,9,21))</f>
        <v>0.0</v>
      </c>
      <c r="R28" t="inlineStr">
        <is>
          <t/>
        </is>
      </c>
      <c r="S28" s="3" t="n">
        <f>H28 - O28 - Q28</f>
        <v>0.0</v>
      </c>
      <c r="T28" t="inlineStr">
        <is>
          <t/>
        </is>
      </c>
      <c r="U28" t="inlineStr">
        <is>
          <t/>
        </is>
      </c>
      <c r="V28" t="inlineStr">
        <is>
          <t/>
        </is>
      </c>
      <c r="W28" t="inlineStr">
        <is>
          <t/>
        </is>
      </c>
      <c r="X28" t="inlineStr">
        <is>
          <t/>
        </is>
      </c>
      <c r="Y28" s="3" t="n">
        <v>3798.3</v>
      </c>
      <c r="Z28" s="3" t="n">
        <f>S28-Y28</f>
        <v>0.0</v>
      </c>
      <c r="AA28" t="inlineStr">
        <is>
          <t>PAID</t>
        </is>
      </c>
      <c r="AB28" t="inlineStr">
        <is>
          <t>MULTIPLE</t>
        </is>
      </c>
      <c r="AC28" s="2" t="n">
        <v>45982.0</v>
      </c>
    </row>
    <row r="29">
      <c r="A29" t="inlineStr">
        <is>
          <t>LEASE-BH-F24-2025</t>
        </is>
      </c>
      <c r="B29" t="inlineStr">
        <is>
          <t>Flat 24 - 3 West Gate</t>
        </is>
      </c>
      <c r="C29" t="inlineStr">
        <is>
          <t>Achal (Delegated for Udayan)</t>
        </is>
      </c>
      <c r="D29" t="inlineStr">
        <is>
          <t>Mr Ethan Maloney, Miss Soraya Fearon</t>
        </is>
      </c>
      <c r="E29" s="2" t="n">
        <v>45700.0</v>
      </c>
      <c r="F29" t="n">
        <v>12.0</v>
      </c>
      <c r="G29" s="3" t="n">
        <f>IFERROR(SUMPRODUCT((RENT_DUE!$B$2:$B$1000="LEASE-BH-F24-2025")*(RENT_DUE!$D$2:$D$1000&gt;=DATE(2025,8,22))*(RENT_DUE!$D$2:$D$1000&lt;=DATE(2025,9,21))*RENT_DUE!$L$2:$L$1000), 0)</f>
        <v>0.0</v>
      </c>
      <c r="H29" s="3" t="n">
        <f>IFERROR(SUMPRODUCT((RENT_RECEIVED!$B$2:$B$1000="LEASE-BH-F24-2025")*(RENT_RECEIVED!$E$2:$E$1000&gt;=DATE(2025,8,22))*(RENT_RECEIVED!$E$2:$E$1000&lt;=DATE(2025,9,21))*RENT_RECEIVED!$O$2:$O$1000), 0)</f>
        <v>0.0</v>
      </c>
      <c r="I29" t="inlineStr">
        <is>
          <t>2Xlz4lYnZe, LJMK7Oyo1q</t>
        </is>
      </c>
      <c r="J29" s="3" t="n">
        <f>IFERROR(SUMIFS(RENT_DUE!$L$2:$L$10000, RENT_DUE!$B$2:$B$10000, "LEASE-BH-F24-2025", RENT_DUE!$D$2:$D$10000, "&lt;"&amp;DATE(2025,8,22)), 0) - IFERROR(SUMIFS(RENT_RECEIVED!$O$2:$O$10000, RENT_RECEIVED!$B$2:$B$10000, "LEASE-BH-F24-2025", RENT_RECEIVED!$E$2:$E$10000, "&lt;"&amp;DATE(2025,8,22)), 0)</f>
        <v>0.0</v>
      </c>
      <c r="K29" s="3" t="n">
        <f>G29 - H29</f>
        <v>0.0</v>
      </c>
      <c r="L29" s="3" t="n">
        <f>J29 + K29</f>
        <v>0.0</v>
      </c>
      <c r="M29" s="3" t="n">
        <f>H29 * 0.1500</f>
        <v>0.0</v>
      </c>
      <c r="N29" s="3" t="n">
        <f>H29 * 0.0000</f>
        <v>0.0</v>
      </c>
      <c r="O29" s="3" t="n">
        <f>ABS(M29 + N29)</f>
        <v>0.0</v>
      </c>
      <c r="P29" t="inlineStr">
        <is>
          <t/>
        </is>
      </c>
      <c r="Q29" s="3" t="n">
        <f>SUMIFS(EXPENSES!E:E, EXPENSES!B:B, "LEASE-BH-F24-2025", EXPENSES!D:D, "&gt;="&amp;DATE(2025,8,22), EXPENSES!D:D, "&lt;="&amp;DATE(2025,9,21))</f>
        <v>0.0</v>
      </c>
      <c r="R29" t="inlineStr">
        <is>
          <t/>
        </is>
      </c>
      <c r="S29" s="3" t="n">
        <f>H29 - O29 - Q29</f>
        <v>0.0</v>
      </c>
      <c r="T29" t="inlineStr">
        <is>
          <t/>
        </is>
      </c>
      <c r="U29" t="inlineStr">
        <is>
          <t/>
        </is>
      </c>
      <c r="V29" t="inlineStr">
        <is>
          <t/>
        </is>
      </c>
      <c r="W29" t="inlineStr">
        <is>
          <t/>
        </is>
      </c>
      <c r="X29" t="inlineStr">
        <is>
          <t/>
        </is>
      </c>
      <c r="Y29" s="3" t="n">
        <v>6765.0</v>
      </c>
      <c r="Z29" s="3" t="n">
        <f>S29-Y29</f>
        <v>0.0</v>
      </c>
      <c r="AA29" t="inlineStr">
        <is>
          <t>PAID</t>
        </is>
      </c>
      <c r="AB29" t="inlineStr">
        <is>
          <t>MULTIPLE</t>
        </is>
      </c>
      <c r="AC29" s="2" t="n">
        <v>45982.0</v>
      </c>
    </row>
    <row r="30">
      <c r="A30" t="inlineStr">
        <is>
          <t>LEASE-BH-F26-2025</t>
        </is>
      </c>
      <c r="B30" t="inlineStr">
        <is>
          <t>Flat 26 - 3 West Gate</t>
        </is>
      </c>
      <c r="C30" t="inlineStr">
        <is>
          <t>Achal (Delegated for Udayan)</t>
        </is>
      </c>
      <c r="D30" t="inlineStr">
        <is>
          <t>Mr Louis Scotting</t>
        </is>
      </c>
      <c r="E30" s="2" t="n">
        <v>45730.0</v>
      </c>
      <c r="F30" t="n">
        <v>14.0</v>
      </c>
      <c r="G30" s="3" t="n">
        <f>IFERROR(SUMPRODUCT((RENT_DUE!$B$2:$B$1000="LEASE-BH-F26-2025")*(RENT_DUE!$D$2:$D$1000&gt;=DATE(2025,8,22))*(RENT_DUE!$D$2:$D$1000&lt;=DATE(2025,9,21))*RENT_DUE!$L$2:$L$1000), 0)</f>
        <v>0.0</v>
      </c>
      <c r="H30" s="3" t="n">
        <f>IFERROR(SUMPRODUCT((RENT_RECEIVED!$B$2:$B$1000="LEASE-BH-F26-2025")*(RENT_RECEIVED!$E$2:$E$1000&gt;=DATE(2025,8,22))*(RENT_RECEIVED!$E$2:$E$1000&lt;=DATE(2025,9,21))*RENT_RECEIVED!$O$2:$O$1000), 0)</f>
        <v>0.0</v>
      </c>
      <c r="I30" t="inlineStr">
        <is>
          <t>HIST-2025-10-1650</t>
        </is>
      </c>
      <c r="J30" s="3" t="n">
        <f>IFERROR(SUMIFS(RENT_DUE!$L$2:$L$10000, RENT_DUE!$B$2:$B$10000, "LEASE-BH-F26-2025", RENT_DUE!$D$2:$D$10000, "&lt;"&amp;DATE(2025,8,22)), 0) - IFERROR(SUMIFS(RENT_RECEIVED!$O$2:$O$10000, RENT_RECEIVED!$B$2:$B$10000, "LEASE-BH-F26-2025", RENT_RECEIVED!$E$2:$E$10000, "&lt;"&amp;DATE(2025,8,22)), 0)</f>
        <v>0.0</v>
      </c>
      <c r="K30" s="3" t="n">
        <f>G30 - H30</f>
        <v>0.0</v>
      </c>
      <c r="L30" s="3" t="n">
        <f>J30 + K30</f>
        <v>0.0</v>
      </c>
      <c r="M30" s="3" t="n">
        <f>H30 * 0.1500</f>
        <v>0.0</v>
      </c>
      <c r="N30" s="3" t="n">
        <f>H30 * 0.0000</f>
        <v>0.0</v>
      </c>
      <c r="O30" s="3" t="n">
        <f>ABS(M30 + N30)</f>
        <v>0.0</v>
      </c>
      <c r="P30" t="inlineStr">
        <is>
          <t/>
        </is>
      </c>
      <c r="Q30" s="3" t="n">
        <f>SUMIFS(EXPENSES!E:E, EXPENSES!B:B, "LEASE-BH-F26-2025", EXPENSES!D:D, "&gt;="&amp;DATE(2025,8,22), EXPENSES!D:D, "&lt;="&amp;DATE(2025,9,21))</f>
        <v>0.0</v>
      </c>
      <c r="R30" t="inlineStr">
        <is>
          <t/>
        </is>
      </c>
      <c r="S30" s="3" t="n">
        <f>H30 - O30 - Q30</f>
        <v>0.0</v>
      </c>
      <c r="T30" t="inlineStr">
        <is>
          <t/>
        </is>
      </c>
      <c r="U30" t="inlineStr">
        <is>
          <t/>
        </is>
      </c>
      <c r="V30" t="inlineStr">
        <is>
          <t/>
        </is>
      </c>
      <c r="W30" t="inlineStr">
        <is>
          <t/>
        </is>
      </c>
      <c r="X30" t="inlineStr">
        <is>
          <t/>
        </is>
      </c>
      <c r="Y30" s="3" t="n">
        <v>5163.75</v>
      </c>
      <c r="Z30" s="3" t="n">
        <f>S30-Y30</f>
        <v>0.0</v>
      </c>
      <c r="AA30" t="inlineStr">
        <is>
          <t>PAID</t>
        </is>
      </c>
      <c r="AB30" t="inlineStr">
        <is>
          <t>MULTIPLE</t>
        </is>
      </c>
      <c r="AC30" s="2" t="n">
        <v>45992.0</v>
      </c>
    </row>
    <row r="31">
      <c r="A31" t="inlineStr">
        <is>
          <t>LEASE-BH-F27-2025</t>
        </is>
      </c>
      <c r="B31" t="inlineStr">
        <is>
          <t>Flat 27 - 3 West Gate</t>
        </is>
      </c>
      <c r="C31" t="inlineStr">
        <is>
          <t>Achal (Delegated for Udayan)</t>
        </is>
      </c>
      <c r="D31" t="inlineStr">
        <is>
          <t>Miss Sophie Murray</t>
        </is>
      </c>
      <c r="E31" s="2" t="n">
        <v>45716.0</v>
      </c>
      <c r="F31" t="n">
        <v>30.0</v>
      </c>
      <c r="G31" s="3" t="n">
        <f>IFERROR(SUMPRODUCT((RENT_DUE!$B$2:$B$1000="LEASE-BH-F27-2025")*(RENT_DUE!$D$2:$D$1000&gt;=DATE(2025,8,22))*(RENT_DUE!$D$2:$D$1000&lt;=DATE(2025,9,21))*RENT_DUE!$L$2:$L$1000), 0)</f>
        <v>0.0</v>
      </c>
      <c r="H31" s="3" t="n">
        <f>IFERROR(SUMPRODUCT((RENT_RECEIVED!$B$2:$B$1000="LEASE-BH-F27-2025")*(RENT_RECEIVED!$E$2:$E$1000&gt;=DATE(2025,8,22))*(RENT_RECEIVED!$E$2:$E$1000&lt;=DATE(2025,9,21))*RENT_RECEIVED!$O$2:$O$1000), 0)</f>
        <v>0.0</v>
      </c>
      <c r="I31" t="inlineStr">
        <is>
          <t>2Xlz4lYnZe</t>
        </is>
      </c>
      <c r="J31" s="3" t="n">
        <f>IFERROR(SUMIFS(RENT_DUE!$L$2:$L$10000, RENT_DUE!$B$2:$B$10000, "LEASE-BH-F27-2025", RENT_DUE!$D$2:$D$10000, "&lt;"&amp;DATE(2025,8,22)), 0) - IFERROR(SUMIFS(RENT_RECEIVED!$O$2:$O$10000, RENT_RECEIVED!$B$2:$B$10000, "LEASE-BH-F27-2025", RENT_RECEIVED!$E$2:$E$10000, "&lt;"&amp;DATE(2025,8,22)), 0)</f>
        <v>0.0</v>
      </c>
      <c r="K31" s="3" t="n">
        <f>G31 - H31</f>
        <v>0.0</v>
      </c>
      <c r="L31" s="3" t="n">
        <f>J31 + K31</f>
        <v>0.0</v>
      </c>
      <c r="M31" s="3" t="n">
        <f>H31 * 0.1500</f>
        <v>0.0</v>
      </c>
      <c r="N31" s="3" t="n">
        <f>H31 * 0.0000</f>
        <v>0.0</v>
      </c>
      <c r="O31" s="3" t="n">
        <f>ABS(M31 + N31)</f>
        <v>0.0</v>
      </c>
      <c r="P31" t="inlineStr">
        <is>
          <t/>
        </is>
      </c>
      <c r="Q31" s="3" t="n">
        <f>SUMIFS(EXPENSES!E:E, EXPENSES!B:B, "LEASE-BH-F27-2025", EXPENSES!D:D, "&gt;="&amp;DATE(2025,8,22), EXPENSES!D:D, "&lt;="&amp;DATE(2025,9,21))</f>
        <v>0.0</v>
      </c>
      <c r="R31" t="inlineStr">
        <is>
          <t/>
        </is>
      </c>
      <c r="S31" s="3" t="n">
        <f>H31 - O31 - Q31</f>
        <v>0.0</v>
      </c>
      <c r="T31" t="inlineStr">
        <is>
          <t/>
        </is>
      </c>
      <c r="U31" t="inlineStr">
        <is>
          <t/>
        </is>
      </c>
      <c r="V31" t="inlineStr">
        <is>
          <t/>
        </is>
      </c>
      <c r="W31" t="inlineStr">
        <is>
          <t/>
        </is>
      </c>
      <c r="X31" t="inlineStr">
        <is>
          <t/>
        </is>
      </c>
      <c r="Y31" s="3" t="n">
        <v>5355.0</v>
      </c>
      <c r="Z31" s="3" t="n">
        <f>S31-Y31</f>
        <v>0.0</v>
      </c>
      <c r="AA31" t="inlineStr">
        <is>
          <t>PAID</t>
        </is>
      </c>
      <c r="AB31" t="inlineStr">
        <is>
          <t>MULTIPLE</t>
        </is>
      </c>
      <c r="AC31" s="2" t="n">
        <v>45982.0</v>
      </c>
    </row>
    <row r="32">
      <c r="A32" t="inlineStr">
        <is>
          <t>LEASE-BH-F28-2025</t>
        </is>
      </c>
      <c r="B32" t="inlineStr">
        <is>
          <t>Flat 28 - 3 West Gate</t>
        </is>
      </c>
      <c r="C32" t="inlineStr">
        <is>
          <t>Achal (Delegated for Udayan)</t>
        </is>
      </c>
      <c r="D32" t="inlineStr">
        <is>
          <t>Ms Shiu Lun Cheung, Mr Chi Man Poon</t>
        </is>
      </c>
      <c r="E32" s="2" t="n">
        <v>45744.0</v>
      </c>
      <c r="F32" t="n">
        <v>18.0</v>
      </c>
      <c r="G32" s="3" t="n">
        <f>IFERROR(SUMPRODUCT((RENT_DUE!$B$2:$B$1000="LEASE-BH-F28-2025")*(RENT_DUE!$D$2:$D$1000&gt;=DATE(2025,8,22))*(RENT_DUE!$D$2:$D$1000&lt;=DATE(2025,9,21))*RENT_DUE!$L$2:$L$1000), 0)</f>
        <v>0.0</v>
      </c>
      <c r="H32" s="3" t="n">
        <f>IFERROR(SUMPRODUCT((RENT_RECEIVED!$B$2:$B$1000="LEASE-BH-F28-2025")*(RENT_RECEIVED!$E$2:$E$1000&gt;=DATE(2025,8,22))*(RENT_RECEIVED!$E$2:$E$1000&lt;=DATE(2025,9,21))*RENT_RECEIVED!$O$2:$O$1000), 0)</f>
        <v>0.0</v>
      </c>
      <c r="I32" t="inlineStr">
        <is>
          <t>HIST-2025-10-1650</t>
        </is>
      </c>
      <c r="J32" s="3" t="n">
        <f>IFERROR(SUMIFS(RENT_DUE!$L$2:$L$10000, RENT_DUE!$B$2:$B$10000, "LEASE-BH-F28-2025", RENT_DUE!$D$2:$D$10000, "&lt;"&amp;DATE(2025,8,22)), 0) - IFERROR(SUMIFS(RENT_RECEIVED!$O$2:$O$10000, RENT_RECEIVED!$B$2:$B$10000, "LEASE-BH-F28-2025", RENT_RECEIVED!$E$2:$E$10000, "&lt;"&amp;DATE(2025,8,22)), 0)</f>
        <v>0.0</v>
      </c>
      <c r="K32" s="3" t="n">
        <f>G32 - H32</f>
        <v>0.0</v>
      </c>
      <c r="L32" s="3" t="n">
        <f>J32 + K32</f>
        <v>0.0</v>
      </c>
      <c r="M32" s="3" t="n">
        <f>H32 * 0.1500</f>
        <v>0.0</v>
      </c>
      <c r="N32" s="3" t="n">
        <f>H32 * 0.0000</f>
        <v>0.0</v>
      </c>
      <c r="O32" s="3" t="n">
        <f>ABS(M32 + N32)</f>
        <v>0.0</v>
      </c>
      <c r="P32" t="inlineStr">
        <is>
          <t/>
        </is>
      </c>
      <c r="Q32" s="3" t="n">
        <f>SUMIFS(EXPENSES!E:E, EXPENSES!B:B, "LEASE-BH-F28-2025", EXPENSES!D:D, "&gt;="&amp;DATE(2025,8,22), EXPENSES!D:D, "&lt;="&amp;DATE(2025,9,21))</f>
        <v>0.0</v>
      </c>
      <c r="R32" t="inlineStr">
        <is>
          <t/>
        </is>
      </c>
      <c r="S32" s="3" t="n">
        <f>H32 - O32 - Q32</f>
        <v>0.0</v>
      </c>
      <c r="T32" t="inlineStr">
        <is>
          <t/>
        </is>
      </c>
      <c r="U32" t="inlineStr">
        <is>
          <t/>
        </is>
      </c>
      <c r="V32" t="inlineStr">
        <is>
          <t/>
        </is>
      </c>
      <c r="W32" t="inlineStr">
        <is>
          <t/>
        </is>
      </c>
      <c r="X32" t="inlineStr">
        <is>
          <t/>
        </is>
      </c>
      <c r="Y32" s="3" t="n">
        <v>0.0</v>
      </c>
      <c r="Z32" s="3" t="n">
        <f>S32-Y32</f>
        <v>0.0</v>
      </c>
      <c r="AA32" t="inlineStr">
        <is>
          <t>PAID</t>
        </is>
      </c>
      <c r="AB32" t="inlineStr">
        <is>
          <t>HIST-2025-10-1650</t>
        </is>
      </c>
      <c r="AC32" s="2" t="n">
        <v>45951.0</v>
      </c>
    </row>
    <row r="33">
      <c r="A33" t="inlineStr">
        <is>
          <t>LEASE-BH-F29-2025</t>
        </is>
      </c>
      <c r="B33" t="inlineStr">
        <is>
          <t>Flat 29 - 3 West Gate</t>
        </is>
      </c>
      <c r="C33" t="inlineStr">
        <is>
          <t>Achal (Delegated for Udayan)</t>
        </is>
      </c>
      <c r="D33" t="inlineStr">
        <is>
          <t>Mrs Margaret Fritchley</t>
        </is>
      </c>
      <c r="E33" s="2" t="n">
        <v>45715.0</v>
      </c>
      <c r="F33" t="n">
        <v>27.0</v>
      </c>
      <c r="G33" s="3" t="n">
        <f>IFERROR(SUMPRODUCT((RENT_DUE!$B$2:$B$1000="LEASE-BH-F29-2025")*(RENT_DUE!$D$2:$D$1000&gt;=DATE(2025,8,22))*(RENT_DUE!$D$2:$D$1000&lt;=DATE(2025,9,21))*RENT_DUE!$L$2:$L$1000), 0)</f>
        <v>0.0</v>
      </c>
      <c r="H33" s="3" t="n">
        <f>IFERROR(SUMPRODUCT((RENT_RECEIVED!$B$2:$B$1000="LEASE-BH-F29-2025")*(RENT_RECEIVED!$E$2:$E$1000&gt;=DATE(2025,8,22))*(RENT_RECEIVED!$E$2:$E$1000&lt;=DATE(2025,9,21))*RENT_RECEIVED!$O$2:$O$1000), 0)</f>
        <v>0.0</v>
      </c>
      <c r="I33" t="inlineStr">
        <is>
          <t>2Xlz4lYnZe</t>
        </is>
      </c>
      <c r="J33" s="3" t="n">
        <f>IFERROR(SUMIFS(RENT_DUE!$L$2:$L$10000, RENT_DUE!$B$2:$B$10000, "LEASE-BH-F29-2025", RENT_DUE!$D$2:$D$10000, "&lt;"&amp;DATE(2025,8,22)), 0) - IFERROR(SUMIFS(RENT_RECEIVED!$O$2:$O$10000, RENT_RECEIVED!$B$2:$B$10000, "LEASE-BH-F29-2025", RENT_RECEIVED!$E$2:$E$10000, "&lt;"&amp;DATE(2025,8,22)), 0)</f>
        <v>0.0</v>
      </c>
      <c r="K33" s="3" t="n">
        <f>G33 - H33</f>
        <v>0.0</v>
      </c>
      <c r="L33" s="3" t="n">
        <f>J33 + K33</f>
        <v>0.0</v>
      </c>
      <c r="M33" s="3" t="n">
        <f>H33 * 0.1500</f>
        <v>0.0</v>
      </c>
      <c r="N33" s="3" t="n">
        <f>H33 * 0.0000</f>
        <v>0.0</v>
      </c>
      <c r="O33" s="3" t="n">
        <f>ABS(M33 + N33)</f>
        <v>0.0</v>
      </c>
      <c r="P33" t="inlineStr">
        <is>
          <t/>
        </is>
      </c>
      <c r="Q33" s="3" t="n">
        <f>SUMIFS(EXPENSES!E:E, EXPENSES!B:B, "LEASE-BH-F29-2025", EXPENSES!D:D, "&gt;="&amp;DATE(2025,8,22), EXPENSES!D:D, "&lt;="&amp;DATE(2025,9,21))</f>
        <v>0.0</v>
      </c>
      <c r="R33" t="inlineStr">
        <is>
          <t/>
        </is>
      </c>
      <c r="S33" s="3" t="n">
        <f>H33 - O33 - Q33</f>
        <v>0.0</v>
      </c>
      <c r="T33" t="inlineStr">
        <is>
          <t/>
        </is>
      </c>
      <c r="U33" t="inlineStr">
        <is>
          <t/>
        </is>
      </c>
      <c r="V33" t="inlineStr">
        <is>
          <t/>
        </is>
      </c>
      <c r="W33" t="inlineStr">
        <is>
          <t/>
        </is>
      </c>
      <c r="X33" t="inlineStr">
        <is>
          <t/>
        </is>
      </c>
      <c r="Y33" s="3" t="n">
        <v>5541.0</v>
      </c>
      <c r="Z33" s="3" t="n">
        <f>S33-Y33</f>
        <v>0.0</v>
      </c>
      <c r="AA33" t="inlineStr">
        <is>
          <t>PAID</t>
        </is>
      </c>
      <c r="AB33" t="inlineStr">
        <is>
          <t>MULTIPLE</t>
        </is>
      </c>
      <c r="AC33" s="2" t="n">
        <v>45982.0</v>
      </c>
    </row>
    <row r="34">
      <c r="A34" t="inlineStr">
        <is>
          <t>LEASE-BH-F30-2025</t>
        </is>
      </c>
      <c r="B34" t="inlineStr">
        <is>
          <t>Flat 30 - 3 West Gate</t>
        </is>
      </c>
      <c r="C34" t="inlineStr">
        <is>
          <t>Achal (Delegated for Udayan)</t>
        </is>
      </c>
      <c r="D34" t="inlineStr">
        <is>
          <t>Mr Joel Bryan</t>
        </is>
      </c>
      <c r="E34" s="2" t="n">
        <v>45722.0</v>
      </c>
      <c r="F34" t="n">
        <v>6.0</v>
      </c>
      <c r="G34" s="3" t="n">
        <f>IFERROR(SUMPRODUCT((RENT_DUE!$B$2:$B$1000="LEASE-BH-F30-2025")*(RENT_DUE!$D$2:$D$1000&gt;=DATE(2025,8,22))*(RENT_DUE!$D$2:$D$1000&lt;=DATE(2025,9,21))*RENT_DUE!$L$2:$L$1000), 0)</f>
        <v>0.0</v>
      </c>
      <c r="H34" s="3" t="n">
        <f>IFERROR(SUMPRODUCT((RENT_RECEIVED!$B$2:$B$1000="LEASE-BH-F30-2025")*(RENT_RECEIVED!$E$2:$E$1000&gt;=DATE(2025,8,22))*(RENT_RECEIVED!$E$2:$E$1000&lt;=DATE(2025,9,21))*RENT_RECEIVED!$O$2:$O$1000), 0)</f>
        <v>0.0</v>
      </c>
      <c r="I34" t="inlineStr">
        <is>
          <t>HIST-2025-12-1654</t>
        </is>
      </c>
      <c r="J34" s="3" t="n">
        <f>IFERROR(SUMIFS(RENT_DUE!$L$2:$L$10000, RENT_DUE!$B$2:$B$10000, "LEASE-BH-F30-2025", RENT_DUE!$D$2:$D$10000, "&lt;"&amp;DATE(2025,8,22)), 0) - IFERROR(SUMIFS(RENT_RECEIVED!$O$2:$O$10000, RENT_RECEIVED!$B$2:$B$10000, "LEASE-BH-F30-2025", RENT_RECEIVED!$E$2:$E$10000, "&lt;"&amp;DATE(2025,8,22)), 0)</f>
        <v>0.0</v>
      </c>
      <c r="K34" s="3" t="n">
        <f>G34 - H34</f>
        <v>0.0</v>
      </c>
      <c r="L34" s="3" t="n">
        <f>J34 + K34</f>
        <v>0.0</v>
      </c>
      <c r="M34" s="3" t="n">
        <f>H34 * 0.1500</f>
        <v>0.0</v>
      </c>
      <c r="N34" s="3" t="n">
        <f>H34 * 0.0000</f>
        <v>0.0</v>
      </c>
      <c r="O34" s="3" t="n">
        <f>ABS(M34 + N34)</f>
        <v>0.0</v>
      </c>
      <c r="P34" t="inlineStr">
        <is>
          <t/>
        </is>
      </c>
      <c r="Q34" s="3" t="n">
        <f>SUMIFS(EXPENSES!E:E, EXPENSES!B:B, "LEASE-BH-F30-2025", EXPENSES!D:D, "&gt;="&amp;DATE(2025,8,22), EXPENSES!D:D, "&lt;="&amp;DATE(2025,9,21))</f>
        <v>0.0</v>
      </c>
      <c r="R34" t="inlineStr">
        <is>
          <t/>
        </is>
      </c>
      <c r="S34" s="3" t="n">
        <f>H34 - O34 - Q34</f>
        <v>0.0</v>
      </c>
      <c r="T34" t="inlineStr">
        <is>
          <t/>
        </is>
      </c>
      <c r="U34" t="inlineStr">
        <is>
          <t/>
        </is>
      </c>
      <c r="V34" t="inlineStr">
        <is>
          <t/>
        </is>
      </c>
      <c r="W34" t="inlineStr">
        <is>
          <t/>
        </is>
      </c>
      <c r="X34" t="inlineStr">
        <is>
          <t/>
        </is>
      </c>
      <c r="Y34" s="3" t="n">
        <v>5032.0</v>
      </c>
      <c r="Z34" s="3" t="n">
        <f>S34-Y34</f>
        <v>0.0</v>
      </c>
      <c r="AA34" t="inlineStr">
        <is>
          <t>PAID</t>
        </is>
      </c>
      <c r="AB34" t="inlineStr">
        <is>
          <t>MULTIPLE</t>
        </is>
      </c>
      <c r="AC34" s="2" t="n">
        <v>45992.0</v>
      </c>
    </row>
    <row r="35">
      <c r="A35" t="inlineStr">
        <is>
          <t>LEASE-BH-PS1-2025</t>
        </is>
      </c>
      <c r="B35" t="inlineStr">
        <is>
          <t>Parking Space 1 - 3 West Gate</t>
        </is>
      </c>
      <c r="C35" t="inlineStr">
        <is>
          <t>Achal (Delegated for Udayan)</t>
        </is>
      </c>
      <c r="D35" t="inlineStr">
        <is>
          <t>Mr Shermal Wijesinghage, Mrs Udeshika Dona</t>
        </is>
      </c>
      <c r="E35" s="2" t="n">
        <v>45842.0</v>
      </c>
      <c r="F35" t="n">
        <v>4.0</v>
      </c>
      <c r="G35" s="3" t="n">
        <f>IFERROR(SUMPRODUCT((RENT_DUE!$B$2:$B$1000="LEASE-BH-PS1-2025")*(RENT_DUE!$D$2:$D$1000&gt;=DATE(2025,8,22))*(RENT_DUE!$D$2:$D$1000&lt;=DATE(2025,9,21))*RENT_DUE!$L$2:$L$1000), 0)</f>
        <v>0.0</v>
      </c>
      <c r="H35" s="3" t="n">
        <f>IFERROR(SUMPRODUCT((RENT_RECEIVED!$B$2:$B$1000="LEASE-BH-PS1-2025")*(RENT_RECEIVED!$E$2:$E$1000&gt;=DATE(2025,8,22))*(RENT_RECEIVED!$E$2:$E$1000&lt;=DATE(2025,9,21))*RENT_RECEIVED!$O$2:$O$1000), 0)</f>
        <v>0.0</v>
      </c>
      <c r="I35" t="inlineStr">
        <is>
          <t/>
        </is>
      </c>
      <c r="J35" s="3" t="n">
        <f>IFERROR(SUMIFS(RENT_DUE!$L$2:$L$10000, RENT_DUE!$B$2:$B$10000, "LEASE-BH-PS1-2025", RENT_DUE!$D$2:$D$10000, "&lt;"&amp;DATE(2025,8,22)), 0) - IFERROR(SUMIFS(RENT_RECEIVED!$O$2:$O$10000, RENT_RECEIVED!$B$2:$B$10000, "LEASE-BH-PS1-2025", RENT_RECEIVED!$E$2:$E$10000, "&lt;"&amp;DATE(2025,8,22)), 0)</f>
        <v>0.0</v>
      </c>
      <c r="K35" s="3" t="n">
        <f>G35 - H35</f>
        <v>0.0</v>
      </c>
      <c r="L35" s="3" t="n">
        <f>J35 + K35</f>
        <v>0.0</v>
      </c>
      <c r="M35" s="3" t="n">
        <f>H35 * 0.1500</f>
        <v>0.0</v>
      </c>
      <c r="N35" s="3" t="n">
        <f>H35 * 0.0000</f>
        <v>0.0</v>
      </c>
      <c r="O35" s="3" t="n">
        <f>ABS(M35 + N35)</f>
        <v>0.0</v>
      </c>
      <c r="P35" t="inlineStr">
        <is>
          <t/>
        </is>
      </c>
      <c r="Q35" s="3" t="n">
        <f>SUMIFS(EXPENSES!E:E, EXPENSES!B:B, "LEASE-BH-PS1-2025", EXPENSES!D:D, "&gt;="&amp;DATE(2025,8,22), EXPENSES!D:D, "&lt;="&amp;DATE(2025,9,21))</f>
        <v>0.0</v>
      </c>
      <c r="R35" t="inlineStr">
        <is>
          <t/>
        </is>
      </c>
      <c r="S35" s="3" t="n">
        <f>H35 - O35 - Q35</f>
        <v>0.0</v>
      </c>
      <c r="T35" t="inlineStr">
        <is>
          <t/>
        </is>
      </c>
      <c r="U35" t="inlineStr">
        <is>
          <t/>
        </is>
      </c>
      <c r="V35" t="inlineStr">
        <is>
          <t/>
        </is>
      </c>
      <c r="W35" t="inlineStr">
        <is>
          <t/>
        </is>
      </c>
      <c r="X35" t="inlineStr">
        <is>
          <t/>
        </is>
      </c>
      <c r="Y35" s="3" t="n">
        <v>0.0</v>
      </c>
      <c r="Z35" s="3" t="n">
        <f>S35-Y35</f>
        <v>0.0</v>
      </c>
      <c r="AA35" t="inlineStr">
        <is>
          <t>NONE</t>
        </is>
      </c>
      <c r="AB35" t="inlineStr">
        <is>
          <t>-</t>
        </is>
      </c>
      <c r="AC35" t="inlineStr">
        <is>
          <t/>
        </is>
      </c>
    </row>
    <row r="36">
      <c r="A36" t="inlineStr">
        <is>
          <t>LEASE-BH-PS2-2025</t>
        </is>
      </c>
      <c r="B36" t="inlineStr">
        <is>
          <t>Parking Space 2 - 3 West Gate</t>
        </is>
      </c>
      <c r="C36" t="inlineStr">
        <is>
          <t>Achal (Delegated for Udayan)</t>
        </is>
      </c>
      <c r="D36" t="inlineStr">
        <is>
          <t>Nirmali Gedara and Janith Hetti Arachchilage</t>
        </is>
      </c>
      <c r="E36" s="2" t="n">
        <v>45852.0</v>
      </c>
      <c r="F36" t="n">
        <v>14.0</v>
      </c>
      <c r="G36" s="3" t="n">
        <f>IFERROR(SUMPRODUCT((RENT_DUE!$B$2:$B$1000="LEASE-BH-PS2-2025")*(RENT_DUE!$D$2:$D$1000&gt;=DATE(2025,8,22))*(RENT_DUE!$D$2:$D$1000&lt;=DATE(2025,9,21))*RENT_DUE!$L$2:$L$1000), 0)</f>
        <v>0.0</v>
      </c>
      <c r="H36" s="3" t="n">
        <f>IFERROR(SUMPRODUCT((RENT_RECEIVED!$B$2:$B$1000="LEASE-BH-PS2-2025")*(RENT_RECEIVED!$E$2:$E$1000&gt;=DATE(2025,8,22))*(RENT_RECEIVED!$E$2:$E$1000&lt;=DATE(2025,9,21))*RENT_RECEIVED!$O$2:$O$1000), 0)</f>
        <v>0.0</v>
      </c>
      <c r="I36" t="inlineStr">
        <is>
          <t/>
        </is>
      </c>
      <c r="J36" s="3" t="n">
        <f>IFERROR(SUMIFS(RENT_DUE!$L$2:$L$10000, RENT_DUE!$B$2:$B$10000, "LEASE-BH-PS2-2025", RENT_DUE!$D$2:$D$10000, "&lt;"&amp;DATE(2025,8,22)), 0) - IFERROR(SUMIFS(RENT_RECEIVED!$O$2:$O$10000, RENT_RECEIVED!$B$2:$B$10000, "LEASE-BH-PS2-2025", RENT_RECEIVED!$E$2:$E$10000, "&lt;"&amp;DATE(2025,8,22)), 0)</f>
        <v>0.0</v>
      </c>
      <c r="K36" s="3" t="n">
        <f>G36 - H36</f>
        <v>0.0</v>
      </c>
      <c r="L36" s="3" t="n">
        <f>J36 + K36</f>
        <v>0.0</v>
      </c>
      <c r="M36" s="3" t="n">
        <f>H36 * 0.1500</f>
        <v>0.0</v>
      </c>
      <c r="N36" s="3" t="n">
        <f>H36 * 0.0000</f>
        <v>0.0</v>
      </c>
      <c r="O36" s="3" t="n">
        <f>ABS(M36 + N36)</f>
        <v>0.0</v>
      </c>
      <c r="P36" t="inlineStr">
        <is>
          <t/>
        </is>
      </c>
      <c r="Q36" s="3" t="n">
        <f>SUMIFS(EXPENSES!E:E, EXPENSES!B:B, "LEASE-BH-PS2-2025", EXPENSES!D:D, "&gt;="&amp;DATE(2025,8,22), EXPENSES!D:D, "&lt;="&amp;DATE(2025,9,21))</f>
        <v>0.0</v>
      </c>
      <c r="R36" t="inlineStr">
        <is>
          <t/>
        </is>
      </c>
      <c r="S36" s="3" t="n">
        <f>H36 - O36 - Q36</f>
        <v>0.0</v>
      </c>
      <c r="T36" t="inlineStr">
        <is>
          <t/>
        </is>
      </c>
      <c r="U36" t="inlineStr">
        <is>
          <t/>
        </is>
      </c>
      <c r="V36" t="inlineStr">
        <is>
          <t/>
        </is>
      </c>
      <c r="W36" t="inlineStr">
        <is>
          <t/>
        </is>
      </c>
      <c r="X36" t="inlineStr">
        <is>
          <t/>
        </is>
      </c>
      <c r="Y36" s="3" t="n">
        <v>0.0</v>
      </c>
      <c r="Z36" s="3" t="n">
        <f>S36-Y36</f>
        <v>0.0</v>
      </c>
      <c r="AA36" t="inlineStr">
        <is>
          <t>NONE</t>
        </is>
      </c>
      <c r="AB36" t="inlineStr">
        <is>
          <t>-</t>
        </is>
      </c>
      <c r="AC36" t="inlineStr">
        <is>
          <t/>
        </is>
      </c>
    </row>
    <row r="37">
      <c r="A37" t="inlineStr">
        <is>
          <t>LEASE-KH-F-2024</t>
        </is>
      </c>
      <c r="B37" t="inlineStr">
        <is>
          <t>Apartment F - Knighton Hayes Manor</t>
        </is>
      </c>
      <c r="C37" t="inlineStr">
        <is>
          <t>Achal (Delegated for Udayan)</t>
        </is>
      </c>
      <c r="D37" t="inlineStr">
        <is>
          <t>Mr Riaz Hamid, Ismat Tarr-Hamid</t>
        </is>
      </c>
      <c r="E37" s="2" t="n">
        <v>45648.0</v>
      </c>
      <c r="F37" t="n">
        <v>22.0</v>
      </c>
      <c r="G37" s="3" t="n">
        <f>IFERROR(SUMPRODUCT((RENT_DUE!$B$2:$B$1000="LEASE-KH-F-2024")*(RENT_DUE!$D$2:$D$1000&gt;=DATE(2025,8,22))*(RENT_DUE!$D$2:$D$1000&lt;=DATE(2025,9,21))*RENT_DUE!$L$2:$L$1000), 0)</f>
        <v>0.0</v>
      </c>
      <c r="H37" s="3" t="n">
        <f>IFERROR(SUMPRODUCT((RENT_RECEIVED!$B$2:$B$1000="LEASE-KH-F-2024")*(RENT_RECEIVED!$E$2:$E$1000&gt;=DATE(2025,8,22))*(RENT_RECEIVED!$E$2:$E$1000&lt;=DATE(2025,9,21))*RENT_RECEIVED!$O$2:$O$1000), 0)</f>
        <v>0.0</v>
      </c>
      <c r="I37" t="inlineStr">
        <is>
          <t>LJMK7Oyo1q</t>
        </is>
      </c>
      <c r="J37" s="3" t="n">
        <f>IFERROR(SUMIFS(RENT_DUE!$L$2:$L$10000, RENT_DUE!$B$2:$B$10000, "LEASE-KH-F-2024", RENT_DUE!$D$2:$D$10000, "&lt;"&amp;DATE(2025,8,22)), 0) - IFERROR(SUMIFS(RENT_RECEIVED!$O$2:$O$10000, RENT_RECEIVED!$B$2:$B$10000, "LEASE-KH-F-2024", RENT_RECEIVED!$E$2:$E$10000, "&lt;"&amp;DATE(2025,8,22)), 0)</f>
        <v>0.0</v>
      </c>
      <c r="K37" s="3" t="n">
        <f>G37 - H37</f>
        <v>0.0</v>
      </c>
      <c r="L37" s="3" t="n">
        <f>J37 + K37</f>
        <v>0.0</v>
      </c>
      <c r="M37" s="3" t="n">
        <f>H37 * 0.1000</f>
        <v>0.0</v>
      </c>
      <c r="N37" s="3" t="n">
        <f>H37 * 0.0000</f>
        <v>0.0</v>
      </c>
      <c r="O37" s="3" t="n">
        <f>ABS(M37 + N37)</f>
        <v>0.0</v>
      </c>
      <c r="P37" t="inlineStr">
        <is>
          <t/>
        </is>
      </c>
      <c r="Q37" s="3" t="n">
        <f>SUMIFS(EXPENSES!E:E, EXPENSES!B:B, "LEASE-KH-F-2024", EXPENSES!D:D, "&gt;="&amp;DATE(2025,8,22), EXPENSES!D:D, "&lt;="&amp;DATE(2025,9,21))</f>
        <v>0.0</v>
      </c>
      <c r="R37" t="inlineStr">
        <is>
          <t/>
        </is>
      </c>
      <c r="S37" s="3" t="n">
        <f>H37 - O37 - Q37</f>
        <v>0.0</v>
      </c>
      <c r="T37" t="inlineStr">
        <is>
          <t/>
        </is>
      </c>
      <c r="U37" t="inlineStr">
        <is>
          <t/>
        </is>
      </c>
      <c r="V37" t="inlineStr">
        <is>
          <t/>
        </is>
      </c>
      <c r="W37" t="inlineStr">
        <is>
          <t/>
        </is>
      </c>
      <c r="X37" t="inlineStr">
        <is>
          <t/>
        </is>
      </c>
      <c r="Y37" s="3" t="n">
        <v>12150.0</v>
      </c>
      <c r="Z37" s="3" t="n">
        <f>S37-Y37</f>
        <v>0.0</v>
      </c>
      <c r="AA37" t="inlineStr">
        <is>
          <t>PAID</t>
        </is>
      </c>
      <c r="AB37" t="inlineStr">
        <is>
          <t>MULTIPLE</t>
        </is>
      </c>
      <c r="AC37" s="2" t="n">
        <v>45982.0</v>
      </c>
    </row>
    <row r="38">
      <c r="A38" t="inlineStr">
        <is>
          <t>BODEN-BLOCK-2025</t>
        </is>
      </c>
      <c r="B38" t="inlineStr">
        <is>
          <t>Boden House Block - Block Property</t>
        </is>
      </c>
      <c r="C38" t="inlineStr">
        <is>
          <t>Achal (Delegated for Udayan)</t>
        </is>
      </c>
      <c r="D38" t="inlineStr">
        <is>
          <t>Prestvale Properties Limited</t>
        </is>
      </c>
      <c r="E38" s="2" t="n">
        <v>45717.0</v>
      </c>
      <c r="F38" t="n">
        <v>1.0</v>
      </c>
      <c r="G38" s="3" t="n">
        <f>IFERROR(SUMPRODUCT((RENT_DUE!$B$2:$B$1000="BODEN-BLOCK-2025")*(RENT_DUE!$D$2:$D$1000&gt;=DATE(2025,8,22))*(RENT_DUE!$D$2:$D$1000&lt;=DATE(2025,9,21))*RENT_DUE!$L$2:$L$1000), 0)</f>
        <v>0.0</v>
      </c>
      <c r="H38" s="3" t="n">
        <f>IFERROR(SUMPRODUCT((RENT_RECEIVED!$B$2:$B$1000="BODEN-BLOCK-2025")*(RENT_RECEIVED!$E$2:$E$1000&gt;=DATE(2025,8,22))*(RENT_RECEIVED!$E$2:$E$1000&lt;=DATE(2025,9,21))*RENT_RECEIVED!$O$2:$O$1000), 0)</f>
        <v>0.0</v>
      </c>
      <c r="I38" t="inlineStr">
        <is>
          <t/>
        </is>
      </c>
      <c r="J38" s="3" t="n">
        <f>IFERROR(SUMIFS(RENT_DUE!$L$2:$L$10000, RENT_DUE!$B$2:$B$10000, "BODEN-BLOCK-2025", RENT_DUE!$D$2:$D$10000, "&lt;"&amp;DATE(2025,8,22)), 0) - IFERROR(SUMIFS(RENT_RECEIVED!$O$2:$O$10000, RENT_RECEIVED!$B$2:$B$10000, "BODEN-BLOCK-2025", RENT_RECEIVED!$E$2:$E$10000, "&lt;"&amp;DATE(2025,8,22)), 0)</f>
        <v>0.0</v>
      </c>
      <c r="K38" s="3" t="n">
        <f>G38 - H38</f>
        <v>0.0</v>
      </c>
      <c r="L38" s="3" t="n">
        <f>J38 + K38</f>
        <v>0.0</v>
      </c>
      <c r="M38" s="3" t="n">
        <f>H38 * 0.0000</f>
        <v>0.0</v>
      </c>
      <c r="N38" s="3" t="n">
        <f>H38 * 0.0500</f>
        <v>0.0</v>
      </c>
      <c r="O38" s="3" t="n">
        <f>ABS(M38 + N38)</f>
        <v>0.0</v>
      </c>
      <c r="P38" t="inlineStr">
        <is>
          <t>HIST-2025-10-1650</t>
        </is>
      </c>
      <c r="Q38" s="3" t="n">
        <f>SUMIFS(EXPENSES!E:E, EXPENSES!B:B, "BODEN-BLOCK-2025", EXPENSES!D:D, "&gt;="&amp;DATE(2025,8,22), EXPENSES!D:D, "&lt;="&amp;DATE(2025,9,21))</f>
        <v>0.0</v>
      </c>
      <c r="R38" t="inlineStr">
        <is>
          <t>HIST-2025-10-1650</t>
        </is>
      </c>
      <c r="S38" s="3" t="n">
        <f>H38 - O38 - Q38</f>
        <v>0.0</v>
      </c>
      <c r="T38" t="inlineStr">
        <is>
          <t>Boden House NG10</t>
        </is>
      </c>
      <c r="U38" s="3" t="n">
        <f>IFERROR(SUMIFS(PROPERTY_ACCOUNT!D:D, PROPERTY_ACCOUNT!A:A, T38, PROPERTY_ACCOUNT!B:B, "opening"), 0)</f>
        <v>0.0</v>
      </c>
      <c r="V38" s="3" t="n">
        <f>IFERROR(SUMIFS(PROPERTY_ACCOUNT!D:D, PROPERTY_ACCOUNT!A:A, T38, PROPERTY_ACCOUNT!B:B, "in"), 0)</f>
        <v>0.0</v>
      </c>
      <c r="W38" s="3" t="n">
        <f>IFERROR(SUMIFS(PROPERTY_ACCOUNT!D:D, PROPERTY_ACCOUNT!A:A, T38, PROPERTY_ACCOUNT!B:B, "out"), 0)</f>
        <v>0.0</v>
      </c>
      <c r="X38" s="3" t="n">
        <f>U38 + V38 - W38</f>
        <v>0.0</v>
      </c>
      <c r="Y38" s="3" t="n">
        <v>0.0</v>
      </c>
      <c r="Z38" s="3" t="n">
        <f>S38-Y38</f>
        <v>0.0</v>
      </c>
      <c r="AA38" t="inlineStr">
        <is>
          <t>PAID</t>
        </is>
      </c>
      <c r="AB38" t="inlineStr">
        <is>
          <t>MULTIPLE</t>
        </is>
      </c>
      <c r="AC38" s="2" t="n">
        <v>45993.0</v>
      </c>
    </row>
    <row r="39">
      <c r="A39" s="5" t="inlineStr">
        <is>
          <t>TOTALS</t>
        </is>
      </c>
      <c r="G39" s="6" t="n">
        <f>SUM(G2:G38)</f>
        <v>0.0</v>
      </c>
      <c r="H39" s="6" t="n">
        <f>SUM(H2:H38)</f>
        <v>0.0</v>
      </c>
      <c r="I39" t="inlineStr">
        <is>
          <t/>
        </is>
      </c>
      <c r="J39" s="6" t="n">
        <f>SUM(J2:J38)</f>
        <v>0.0</v>
      </c>
      <c r="K39" s="6" t="n">
        <f>SUM(K2:K38)</f>
        <v>0.0</v>
      </c>
      <c r="L39" s="6" t="n">
        <f>SUM(L2:L38)</f>
        <v>0.0</v>
      </c>
      <c r="M39" s="6" t="n">
        <f>SUM(M2:M38)</f>
        <v>0.0</v>
      </c>
      <c r="N39" s="6" t="n">
        <f>SUM(N2:N38)</f>
        <v>0.0</v>
      </c>
      <c r="O39" s="6" t="n">
        <f>SUM(O2:O38)</f>
        <v>0.0</v>
      </c>
      <c r="P39" t="inlineStr">
        <is>
          <t/>
        </is>
      </c>
      <c r="Q39" s="6" t="n">
        <f>SUM(Q2:Q38)</f>
        <v>0.0</v>
      </c>
      <c r="R39" t="inlineStr">
        <is>
          <t/>
        </is>
      </c>
      <c r="S39" s="6" t="n">
        <f>SUM(S2:S38)</f>
        <v>0.0</v>
      </c>
      <c r="T39" t="inlineStr">
        <is>
          <t/>
        </is>
      </c>
      <c r="U39" s="6" t="n">
        <f>SUM(U2:U38)</f>
        <v>0.0</v>
      </c>
      <c r="V39" s="6" t="n">
        <f>SUM(V2:V38)</f>
        <v>0.0</v>
      </c>
      <c r="W39" s="6" t="n">
        <f>SUM(W2:W38)</f>
        <v>0.0</v>
      </c>
      <c r="X39" s="6" t="n">
        <f>SUM(X2:X38)</f>
        <v>0.0</v>
      </c>
    </row>
    <row r="41">
      <c r="A41" s="5" t="inlineStr">
        <is>
          <t>PAYMENT RECONCILIATION</t>
        </is>
      </c>
    </row>
    <row r="42">
      <c r="A42" t="inlineStr">
        <is>
          <t>Period: 2025-08-22 to 2025-09-21</t>
        </is>
      </c>
    </row>
    <row r="44">
      <c r="A44" s="5" t="inlineStr">
        <is>
          <t>BROUGHT FORWARD (items from prior periods paid this period)</t>
        </is>
      </c>
    </row>
    <row r="45">
      <c r="A45" t="inlineStr">
        <is>
          <t xml:space="preserve">  Prior Period Income: None</t>
        </is>
      </c>
    </row>
    <row r="46">
      <c r="A46" t="inlineStr">
        <is>
          <t xml:space="preserve">  Prior Period Expenses: None</t>
        </is>
      </c>
    </row>
    <row r="47">
      <c r="A47" s="5" t="inlineStr">
        <is>
          <t xml:space="preserve">  NET B/F (Income - Expenses):</t>
        </is>
      </c>
      <c r="B47" s="6" t="n">
        <v>0.0</v>
      </c>
    </row>
    <row r="49">
      <c r="A49" s="5" t="inlineStr">
        <is>
          <t>THIS PERIOD ACTIVITY (see transactions above for details)</t>
        </is>
      </c>
    </row>
    <row r="50">
      <c r="A50" t="inlineStr">
        <is>
          <t xml:space="preserve">  Period Income (37 transactions)</t>
        </is>
      </c>
      <c r="B50" s="3" t="n">
        <v>28156.73</v>
      </c>
    </row>
    <row r="51">
      <c r="A51" t="inlineStr">
        <is>
          <t xml:space="preserve">  Period Expenses (0 transactions)</t>
        </is>
      </c>
      <c r="B51" s="3" t="n">
        <v>0.0</v>
      </c>
    </row>
    <row r="52">
      <c r="A52" s="5" t="inlineStr">
        <is>
          <t xml:space="preserve">  Net Activity (Income - Expenses):</t>
        </is>
      </c>
      <c r="B52" s="6" t="n">
        <v>28156.73</v>
      </c>
    </row>
    <row r="54">
      <c r="A54" s="5" t="inlineStr">
        <is>
          <t>PAYMENTS MADE THIS PERIOD</t>
        </is>
      </c>
    </row>
    <row r="55">
      <c r="A55" t="inlineStr">
        <is>
          <t xml:space="preserve">  LJMK7Oyo1q (2025-08-22)</t>
        </is>
      </c>
      <c r="B55" s="6" t="n">
        <v>16666.26</v>
      </c>
    </row>
    <row r="56">
      <c r="A56" t="inlineStr">
        <is>
          <t xml:space="preserve">    Covers: 19 income (£16666.26) = £16666.26</t>
        </is>
      </c>
    </row>
    <row r="57">
      <c r="A57" t="inlineStr">
        <is>
          <t xml:space="preserve">  2Xlz4lYnZe (2025-09-19)</t>
        </is>
      </c>
      <c r="B57" s="6" t="n">
        <v>11490.47</v>
      </c>
    </row>
    <row r="58">
      <c r="A58" t="inlineStr">
        <is>
          <t xml:space="preserve">    Covers: 18 income (£11490.47) = £11490.47</t>
        </is>
      </c>
    </row>
    <row r="59">
      <c r="A59" s="5" t="inlineStr">
        <is>
          <t xml:space="preserve">  Total Payments Made:</t>
        </is>
      </c>
      <c r="B59" s="6" t="n">
        <v>28156.73</v>
      </c>
    </row>
    <row r="60">
      <c r="A60" t="inlineStr">
        <is>
          <t xml:space="preserve">  (See PAYMENT_ALLOCATIONS sheet for full details)</t>
        </is>
      </c>
    </row>
    <row r="62">
      <c r="A62" s="5" t="inlineStr">
        <is>
          <t>SUMMARY</t>
        </is>
      </c>
    </row>
    <row r="63">
      <c r="A63" t="inlineStr">
        <is>
          <t xml:space="preserve">  Total Allocated (Income - Expenses):</t>
        </is>
      </c>
      <c r="B63" s="3" t="n">
        <v>28156.73</v>
      </c>
    </row>
    <row r="64">
      <c r="A64" t="inlineStr">
        <is>
          <t xml:space="preserve">  Total Payments Made:</t>
        </is>
      </c>
      <c r="B64" s="3" t="n">
        <v>28156.73</v>
      </c>
    </row>
    <row r="65">
      <c r="A65" t="inlineStr">
        <is>
          <t xml:space="preserve">  Unallocated Payment Amounts:</t>
        </is>
      </c>
      <c r="B65" s="3" t="n">
        <v>0.0</v>
      </c>
    </row>
    <row r="67">
      <c r="A67" t="inlineStr">
        <is>
          <t>Check: Allocated 28156.73 + Unallocated 0.00 = 28156.73 vs Payments 28156.73</t>
        </is>
      </c>
    </row>
  </sheetData>
  <pageMargins bottom="0.75" footer="0.3" header="0.3" left="0.7" right="0.7" top="0.75"/>
</worksheet>
</file>

<file path=xl/worksheets/sheet16.xml><?xml version="1.0" encoding="utf-8"?>
<worksheet xmlns="http://schemas.openxmlformats.org/spreadsheetml/2006/main">
  <dimension ref="A1:AC95"/>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IFERROR(SUMPRODUCT((RENT_DUE!$B$2:$B$1000="LEASE-BH-F1-2025")*(RENT_DUE!$D$2:$D$1000&gt;=DATE(2025,9,22))*(RENT_DUE!$D$2:$D$1000&lt;=DATE(2025,10,21))*RENT_DUE!$L$2:$L$1000), 0)</f>
        <v>0.0</v>
      </c>
      <c r="H2" s="3" t="n">
        <f>IFERROR(SUMPRODUCT((RENT_RECEIVED!$B$2:$B$1000="LEASE-BH-F1-2025")*(RENT_RECEIVED!$E$2:$E$1000&gt;=DATE(2025,9,22))*(RENT_RECEIVED!$E$2:$E$1000&lt;=DATE(2025,10,21))*RENT_RECEIVED!$O$2:$O$1000), 0)</f>
        <v>0.0</v>
      </c>
      <c r="I2" t="inlineStr">
        <is>
          <t>HIST-2025-12-1654</t>
        </is>
      </c>
      <c r="J2" s="3" t="n">
        <f>IFERROR(SUMIFS(RENT_DUE!$L$2:$L$10000, RENT_DUE!$B$2:$B$10000, "LEASE-BH-F1-2025", RENT_DUE!$D$2:$D$10000, "&lt;"&amp;DATE(2025,9,22)), 0) - IFERROR(SUMIFS(RENT_RECEIVED!$O$2:$O$10000, RENT_RECEIVED!$B$2:$B$10000, "LEASE-BH-F1-2025", RENT_RECEIVED!$E$2:$E$10000, "&lt;"&amp;DATE(2025,9,22)), 0)</f>
        <v>0.0</v>
      </c>
      <c r="K2" s="3" t="n">
        <f>G2 - H2</f>
        <v>0.0</v>
      </c>
      <c r="L2" s="3" t="n">
        <f>J2 + K2</f>
        <v>0.0</v>
      </c>
      <c r="M2" s="3" t="n">
        <f>H2 * 0.1500</f>
        <v>0.0</v>
      </c>
      <c r="N2" s="3" t="n">
        <f>H2 * 0.0000</f>
        <v>0.0</v>
      </c>
      <c r="O2" s="3" t="n">
        <f>ABS(M2 + N2)</f>
        <v>0.0</v>
      </c>
      <c r="P2" t="inlineStr">
        <is>
          <t/>
        </is>
      </c>
      <c r="Q2" s="3" t="n">
        <f>SUMIFS(EXPENSES!E:E, EXPENSES!B:B, "LEASE-BH-F1-2025", EXPENSES!D:D, "&gt;="&amp;DATE(2025,9,22), EXPENSES!D:D, "&lt;="&amp;DATE(2025,10,21))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IFERROR(SUMPRODUCT((RENT_DUE!$B$2:$B$1000="LEASE-BH-F2-2025")*(RENT_DUE!$D$2:$D$1000&gt;=DATE(2025,9,22))*(RENT_DUE!$D$2:$D$1000&lt;=DATE(2025,10,21))*RENT_DUE!$L$2:$L$1000), 0)</f>
        <v>0.0</v>
      </c>
      <c r="H3" s="3" t="n">
        <f>IFERROR(SUMPRODUCT((RENT_RECEIVED!$B$2:$B$1000="LEASE-BH-F2-2025")*(RENT_RECEIVED!$E$2:$E$1000&gt;=DATE(2025,9,22))*(RENT_RECEIVED!$E$2:$E$1000&lt;=DATE(2025,10,21))*RENT_RECEIVED!$O$2:$O$1000), 0)</f>
        <v>0.0</v>
      </c>
      <c r="I3" t="inlineStr">
        <is>
          <t>HIST-2025-12-1654</t>
        </is>
      </c>
      <c r="J3" s="3" t="n">
        <f>IFERROR(SUMIFS(RENT_DUE!$L$2:$L$10000, RENT_DUE!$B$2:$B$10000, "LEASE-BH-F2-2025", RENT_DUE!$D$2:$D$10000, "&lt;"&amp;DATE(2025,9,22)), 0) - IFERROR(SUMIFS(RENT_RECEIVED!$O$2:$O$10000, RENT_RECEIVED!$B$2:$B$10000, "LEASE-BH-F2-2025", RENT_RECEIVED!$E$2:$E$10000, "&lt;"&amp;DATE(2025,9,22)), 0)</f>
        <v>0.0</v>
      </c>
      <c r="K3" s="3" t="n">
        <f>G3 - H3</f>
        <v>0.0</v>
      </c>
      <c r="L3" s="3" t="n">
        <f>J3 + K3</f>
        <v>0.0</v>
      </c>
      <c r="M3" s="3" t="n">
        <f>H3 * 0.1500</f>
        <v>0.0</v>
      </c>
      <c r="N3" s="3" t="n">
        <f>H3 * 0.0000</f>
        <v>0.0</v>
      </c>
      <c r="O3" s="3" t="n">
        <f>ABS(M3 + N3)</f>
        <v>0.0</v>
      </c>
      <c r="P3" t="inlineStr">
        <is>
          <t/>
        </is>
      </c>
      <c r="Q3" s="3" t="n">
        <f>SUMIFS(EXPENSES!E:E, EXPENSES!B:B, "LEASE-BH-F2-2025", EXPENSES!D:D, "&gt;="&amp;DATE(2025,9,22), EXPENSES!D:D, "&lt;="&amp;DATE(2025,10,21))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IFERROR(SUMPRODUCT((RENT_DUE!$B$2:$B$1000="LEASE-BH-F3-2025")*(RENT_DUE!$D$2:$D$1000&gt;=DATE(2025,9,22))*(RENT_DUE!$D$2:$D$1000&lt;=DATE(2025,10,21))*RENT_DUE!$L$2:$L$1000), 0)</f>
        <v>0.0</v>
      </c>
      <c r="H4" s="3" t="n">
        <f>IFERROR(SUMPRODUCT((RENT_RECEIVED!$B$2:$B$1000="LEASE-BH-F3-2025")*(RENT_RECEIVED!$E$2:$E$1000&gt;=DATE(2025,9,22))*(RENT_RECEIVED!$E$2:$E$1000&lt;=DATE(2025,10,21))*RENT_RECEIVED!$O$2:$O$1000), 0)</f>
        <v>0.0</v>
      </c>
      <c r="I4" t="inlineStr">
        <is>
          <t>HIST-2025-12-1654</t>
        </is>
      </c>
      <c r="J4" s="3" t="n">
        <f>IFERROR(SUMIFS(RENT_DUE!$L$2:$L$10000, RENT_DUE!$B$2:$B$10000, "LEASE-BH-F3-2025", RENT_DUE!$D$2:$D$10000, "&lt;"&amp;DATE(2025,9,22)), 0) - IFERROR(SUMIFS(RENT_RECEIVED!$O$2:$O$10000, RENT_RECEIVED!$B$2:$B$10000, "LEASE-BH-F3-2025", RENT_RECEIVED!$E$2:$E$10000, "&lt;"&amp;DATE(2025,9,22)), 0)</f>
        <v>0.0</v>
      </c>
      <c r="K4" s="3" t="n">
        <f>G4 - H4</f>
        <v>0.0</v>
      </c>
      <c r="L4" s="3" t="n">
        <f>J4 + K4</f>
        <v>0.0</v>
      </c>
      <c r="M4" s="3" t="n">
        <f>H4 * 0.1500</f>
        <v>0.0</v>
      </c>
      <c r="N4" s="3" t="n">
        <f>H4 * 0.0000</f>
        <v>0.0</v>
      </c>
      <c r="O4" s="3" t="n">
        <f>ABS(M4 + N4)</f>
        <v>0.0</v>
      </c>
      <c r="P4" t="inlineStr">
        <is>
          <t/>
        </is>
      </c>
      <c r="Q4" s="3" t="n">
        <f>SUMIFS(EXPENSES!E:E, EXPENSES!B:B, "LEASE-BH-F3-2025", EXPENSES!D:D, "&gt;="&amp;DATE(2025,9,22), EXPENSES!D:D, "&lt;="&amp;DATE(2025,10,21))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IFERROR(SUMPRODUCT((RENT_DUE!$B$2:$B$1000="LEASE-BH-F4-2025")*(RENT_DUE!$D$2:$D$1000&gt;=DATE(2025,9,22))*(RENT_DUE!$D$2:$D$1000&lt;=DATE(2025,10,21))*RENT_DUE!$L$2:$L$1000), 0)</f>
        <v>0.0</v>
      </c>
      <c r="H5" s="3" t="n">
        <f>IFERROR(SUMPRODUCT((RENT_RECEIVED!$B$2:$B$1000="LEASE-BH-F4-2025")*(RENT_RECEIVED!$E$2:$E$1000&gt;=DATE(2025,9,22))*(RENT_RECEIVED!$E$2:$E$1000&lt;=DATE(2025,10,21))*RENT_RECEIVED!$O$2:$O$1000), 0)</f>
        <v>0.0</v>
      </c>
      <c r="I5" t="inlineStr">
        <is>
          <t>QZGNwwqb19</t>
        </is>
      </c>
      <c r="J5" s="3" t="n">
        <f>IFERROR(SUMIFS(RENT_DUE!$L$2:$L$10000, RENT_DUE!$B$2:$B$10000, "LEASE-BH-F4-2025", RENT_DUE!$D$2:$D$10000, "&lt;"&amp;DATE(2025,9,22)), 0) - IFERROR(SUMIFS(RENT_RECEIVED!$O$2:$O$10000, RENT_RECEIVED!$B$2:$B$10000, "LEASE-BH-F4-2025", RENT_RECEIVED!$E$2:$E$10000, "&lt;"&amp;DATE(2025,9,22)), 0)</f>
        <v>0.0</v>
      </c>
      <c r="K5" s="3" t="n">
        <f>G5 - H5</f>
        <v>0.0</v>
      </c>
      <c r="L5" s="3" t="n">
        <f>J5 + K5</f>
        <v>0.0</v>
      </c>
      <c r="M5" s="3" t="n">
        <f>H5 * 0.1500</f>
        <v>0.0</v>
      </c>
      <c r="N5" s="3" t="n">
        <f>H5 * 0.0000</f>
        <v>0.0</v>
      </c>
      <c r="O5" s="3" t="n">
        <f>ABS(M5 + N5)</f>
        <v>0.0</v>
      </c>
      <c r="P5" t="inlineStr">
        <is>
          <t/>
        </is>
      </c>
      <c r="Q5" s="3" t="n">
        <f>SUMIFS(EXPENSES!E:E, EXPENSES!B:B, "LEASE-BH-F4-2025", EXPENSES!D:D, "&gt;="&amp;DATE(2025,9,22), EXPENSES!D:D, "&lt;="&amp;DATE(2025,10,21))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IFERROR(SUMPRODUCT((RENT_DUE!$B$2:$B$1000="LEASE-BH-F5-2025")*(RENT_DUE!$D$2:$D$1000&gt;=DATE(2025,9,22))*(RENT_DUE!$D$2:$D$1000&lt;=DATE(2025,10,21))*RENT_DUE!$L$2:$L$1000), 0)</f>
        <v>0.0</v>
      </c>
      <c r="H6" s="3" t="n">
        <f>IFERROR(SUMPRODUCT((RENT_RECEIVED!$B$2:$B$1000="LEASE-BH-F5-2025")*(RENT_RECEIVED!$E$2:$E$1000&gt;=DATE(2025,9,22))*(RENT_RECEIVED!$E$2:$E$1000&lt;=DATE(2025,10,21))*RENT_RECEIVED!$O$2:$O$1000), 0)</f>
        <v>0.0</v>
      </c>
      <c r="I6" t="inlineStr">
        <is>
          <t/>
        </is>
      </c>
      <c r="J6" s="3" t="n">
        <f>IFERROR(SUMIFS(RENT_DUE!$L$2:$L$10000, RENT_DUE!$B$2:$B$10000, "LEASE-BH-F5-2025", RENT_DUE!$D$2:$D$10000, "&lt;"&amp;DATE(2025,9,22)), 0) - IFERROR(SUMIFS(RENT_RECEIVED!$O$2:$O$10000, RENT_RECEIVED!$B$2:$B$10000, "LEASE-BH-F5-2025", RENT_RECEIVED!$E$2:$E$10000, "&lt;"&amp;DATE(2025,9,22)), 0)</f>
        <v>0.0</v>
      </c>
      <c r="K6" s="3" t="n">
        <f>G6 - H6</f>
        <v>0.0</v>
      </c>
      <c r="L6" s="3" t="n">
        <f>J6 + K6</f>
        <v>0.0</v>
      </c>
      <c r="M6" s="3" t="n">
        <f>H6 * 0.1500</f>
        <v>0.0</v>
      </c>
      <c r="N6" s="3" t="n">
        <f>H6 * 0.0000</f>
        <v>0.0</v>
      </c>
      <c r="O6" s="3" t="n">
        <f>ABS(M6 + N6)</f>
        <v>0.0</v>
      </c>
      <c r="P6" t="inlineStr">
        <is>
          <t/>
        </is>
      </c>
      <c r="Q6" s="3" t="n">
        <f>SUMIFS(EXPENSES!E:E, EXPENSES!B:B, "LEASE-BH-F5-2025", EXPENSES!D:D, "&gt;="&amp;DATE(2025,9,22), EXPENSES!D:D, "&lt;="&amp;DATE(2025,10,21))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IFERROR(SUMPRODUCT((RENT_DUE!$B$2:$B$1000="LEASE-BH-F6-2025")*(RENT_DUE!$D$2:$D$1000&gt;=DATE(2025,9,22))*(RENT_DUE!$D$2:$D$1000&lt;=DATE(2025,10,21))*RENT_DUE!$L$2:$L$1000), 0)</f>
        <v>0.0</v>
      </c>
      <c r="H7" s="3" t="n">
        <f>IFERROR(SUMPRODUCT((RENT_RECEIVED!$B$2:$B$1000="LEASE-BH-F6-2025")*(RENT_RECEIVED!$E$2:$E$1000&gt;=DATE(2025,9,22))*(RENT_RECEIVED!$E$2:$E$1000&lt;=DATE(2025,10,21))*RENT_RECEIVED!$O$2:$O$1000), 0)</f>
        <v>0.0</v>
      </c>
      <c r="I7" t="inlineStr">
        <is>
          <t>QZGNwwqb19</t>
        </is>
      </c>
      <c r="J7" s="3" t="n">
        <f>IFERROR(SUMIFS(RENT_DUE!$L$2:$L$10000, RENT_DUE!$B$2:$B$10000, "LEASE-BH-F6-2025", RENT_DUE!$D$2:$D$10000, "&lt;"&amp;DATE(2025,9,22)), 0) - IFERROR(SUMIFS(RENT_RECEIVED!$O$2:$O$10000, RENT_RECEIVED!$B$2:$B$10000, "LEASE-BH-F6-2025", RENT_RECEIVED!$E$2:$E$10000, "&lt;"&amp;DATE(2025,9,22)), 0)</f>
        <v>0.0</v>
      </c>
      <c r="K7" s="3" t="n">
        <f>G7 - H7</f>
        <v>0.0</v>
      </c>
      <c r="L7" s="3" t="n">
        <f>J7 + K7</f>
        <v>0.0</v>
      </c>
      <c r="M7" s="3" t="n">
        <f>H7 * 0.1500</f>
        <v>0.0</v>
      </c>
      <c r="N7" s="3" t="n">
        <f>H7 * 0.0000</f>
        <v>0.0</v>
      </c>
      <c r="O7" s="3" t="n">
        <f>ABS(M7 + N7)</f>
        <v>0.0</v>
      </c>
      <c r="P7" t="inlineStr">
        <is>
          <t/>
        </is>
      </c>
      <c r="Q7" s="3" t="n">
        <f>SUMIFS(EXPENSES!E:E, EXPENSES!B:B, "LEASE-BH-F6-2025", EXPENSES!D:D, "&gt;="&amp;DATE(2025,9,22), EXPENSES!D:D, "&lt;="&amp;DATE(2025,10,21))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v>0.0</v>
      </c>
      <c r="H8" s="3" t="n">
        <f>IFERROR(SUMPRODUCT((RENT_RECEIVED!$B$2:$B$1000="LEASE-BH-F7-2025")*(RENT_RECEIVED!$E$2:$E$1000&gt;=DATE(2025,9,22))*(RENT_RECEIVED!$E$2:$E$1000&lt;=DATE(2025,10,21))*RENT_RECEIVED!$O$2:$O$1000), 0)</f>
        <v>0.0</v>
      </c>
      <c r="I8" t="inlineStr">
        <is>
          <t/>
        </is>
      </c>
      <c r="J8" s="3" t="n">
        <f>IFERROR(SUMIFS(RENT_DUE!$L$2:$L$10000, RENT_DUE!$B$2:$B$10000, "LEASE-BH-F7-2025", RENT_DUE!$D$2:$D$10000, "&lt;"&amp;DATE(2025,9,22)), 0) - IFERROR(SUMIFS(RENT_RECEIVED!$O$2:$O$10000, RENT_RECEIVED!$B$2:$B$10000, "LEASE-BH-F7-2025", RENT_RECEIVED!$E$2:$E$10000, "&lt;"&amp;DATE(2025,9,22)), 0)</f>
        <v>0.0</v>
      </c>
      <c r="K8" s="3" t="n">
        <f>G8 - H8</f>
        <v>0.0</v>
      </c>
      <c r="L8" s="3" t="n">
        <f>J8 + K8</f>
        <v>0.0</v>
      </c>
      <c r="M8" s="3" t="n">
        <f>H8 * 0.1500</f>
        <v>0.0</v>
      </c>
      <c r="N8" s="3" t="n">
        <f>H8 * 0.0000</f>
        <v>0.0</v>
      </c>
      <c r="O8" s="3" t="n">
        <f>ABS(M8 + N8)</f>
        <v>0.0</v>
      </c>
      <c r="P8" t="inlineStr">
        <is>
          <t/>
        </is>
      </c>
      <c r="Q8" s="3" t="n">
        <f>SUMIFS(EXPENSES!E:E, EXPENSES!B:B, "LEASE-BH-F7-2025", EXPENSES!D:D, "&gt;="&amp;DATE(2025,9,22), EXPENSES!D:D, "&lt;="&amp;DATE(2025,10,21))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IFERROR(SUMPRODUCT((RENT_DUE!$B$2:$B$1000="LEASE-BH-F8-2025")*(RENT_DUE!$D$2:$D$1000&gt;=DATE(2025,9,22))*(RENT_DUE!$D$2:$D$1000&lt;=DATE(2025,10,21))*RENT_DUE!$L$2:$L$1000), 0)</f>
        <v>0.0</v>
      </c>
      <c r="H9" s="3" t="n">
        <f>IFERROR(SUMPRODUCT((RENT_RECEIVED!$B$2:$B$1000="LEASE-BH-F8-2025")*(RENT_RECEIVED!$E$2:$E$1000&gt;=DATE(2025,9,22))*(RENT_RECEIVED!$E$2:$E$1000&lt;=DATE(2025,10,21))*RENT_RECEIVED!$O$2:$O$1000), 0)</f>
        <v>0.0</v>
      </c>
      <c r="I9" t="inlineStr">
        <is>
          <t>QZGNwwqb19</t>
        </is>
      </c>
      <c r="J9" s="3" t="n">
        <f>IFERROR(SUMIFS(RENT_DUE!$L$2:$L$10000, RENT_DUE!$B$2:$B$10000, "LEASE-BH-F8-2025", RENT_DUE!$D$2:$D$10000, "&lt;"&amp;DATE(2025,9,22)), 0) - IFERROR(SUMIFS(RENT_RECEIVED!$O$2:$O$10000, RENT_RECEIVED!$B$2:$B$10000, "LEASE-BH-F8-2025", RENT_RECEIVED!$E$2:$E$10000, "&lt;"&amp;DATE(2025,9,22)), 0)</f>
        <v>0.0</v>
      </c>
      <c r="K9" s="3" t="n">
        <f>G9 - H9</f>
        <v>0.0</v>
      </c>
      <c r="L9" s="3" t="n">
        <f>J9 + K9</f>
        <v>0.0</v>
      </c>
      <c r="M9" s="3" t="n">
        <f>H9 * 0.1500</f>
        <v>0.0</v>
      </c>
      <c r="N9" s="3" t="n">
        <f>H9 * 0.0000</f>
        <v>0.0</v>
      </c>
      <c r="O9" s="3" t="n">
        <f>ABS(M9 + N9)</f>
        <v>0.0</v>
      </c>
      <c r="P9" t="inlineStr">
        <is>
          <t/>
        </is>
      </c>
      <c r="Q9" s="3" t="n">
        <f>SUMIFS(EXPENSES!E:E, EXPENSES!B:B, "LEASE-BH-F8-2025", EXPENSES!D:D, "&gt;="&amp;DATE(2025,9,22), EXPENSES!D:D, "&lt;="&amp;DATE(2025,10,21))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IFERROR(SUMPRODUCT((RENT_DUE!$B$2:$B$1000="LEASE-BH-F9-2025")*(RENT_DUE!$D$2:$D$1000&gt;=DATE(2025,9,22))*(RENT_DUE!$D$2:$D$1000&lt;=DATE(2025,10,21))*RENT_DUE!$L$2:$L$1000), 0)</f>
        <v>0.0</v>
      </c>
      <c r="H10" s="3" t="n">
        <f>IFERROR(SUMPRODUCT((RENT_RECEIVED!$B$2:$B$1000="LEASE-BH-F9-2025")*(RENT_RECEIVED!$E$2:$E$1000&gt;=DATE(2025,9,22))*(RENT_RECEIVED!$E$2:$E$1000&lt;=DATE(2025,10,21))*RENT_RECEIVED!$O$2:$O$1000), 0)</f>
        <v>0.0</v>
      </c>
      <c r="I10" t="inlineStr">
        <is>
          <t>QZGNwwqb19</t>
        </is>
      </c>
      <c r="J10" s="3" t="n">
        <f>IFERROR(SUMIFS(RENT_DUE!$L$2:$L$10000, RENT_DUE!$B$2:$B$10000, "LEASE-BH-F9-2025", RENT_DUE!$D$2:$D$10000, "&lt;"&amp;DATE(2025,9,22)), 0) - IFERROR(SUMIFS(RENT_RECEIVED!$O$2:$O$10000, RENT_RECEIVED!$B$2:$B$10000, "LEASE-BH-F9-2025", RENT_RECEIVED!$E$2:$E$10000, "&lt;"&amp;DATE(2025,9,22)),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"&gt;="&amp;DATE(2025,9,22), EXPENSES!D:D, "&lt;="&amp;DATE(2025,10,21))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v>0.0</v>
      </c>
      <c r="H11" s="3" t="n">
        <f>IFERROR(SUMPRODUCT((RENT_RECEIVED!$B$2:$B$1000="LEASE-BH-F10-2025")*(RENT_RECEIVED!$E$2:$E$1000&gt;=DATE(2025,9,22))*(RENT_RECEIVED!$E$2:$E$1000&lt;=DATE(2025,10,21))*RENT_RECEIVED!$O$2:$O$1000), 0)</f>
        <v>0.0</v>
      </c>
      <c r="I11" t="inlineStr">
        <is>
          <t/>
        </is>
      </c>
      <c r="J11" s="3" t="n">
        <f>IFERROR(SUMIFS(RENT_DUE!$L$2:$L$10000, RENT_DUE!$B$2:$B$10000, "LEASE-BH-F10-2025", RENT_DUE!$D$2:$D$10000, "&lt;"&amp;DATE(2025,9,22)), 0) - IFERROR(SUMIFS(RENT_RECEIVED!$O$2:$O$10000, RENT_RECEIVED!$B$2:$B$10000, "LEASE-BH-F10-2025", RENT_RECEIVED!$E$2:$E$10000, "&lt;"&amp;DATE(2025,9,22)),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"&gt;="&amp;DATE(2025,9,22), EXPENSES!D:D, "&lt;="&amp;DATE(2025,10,21))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LEASE-BH-F10-2025B</t>
        </is>
      </c>
      <c r="B12" t="inlineStr">
        <is>
          <t>Flat 10 - 3 West Gate</t>
        </is>
      </c>
      <c r="C12" t="inlineStr">
        <is>
          <t>Achal (Delegated for Udayan)</t>
        </is>
      </c>
      <c r="D12" t="inlineStr">
        <is>
          <t>Anna Stoliarchuk</t>
        </is>
      </c>
      <c r="E12" s="2" t="n">
        <v>45903.0</v>
      </c>
      <c r="F12" t="n">
        <v>9.0</v>
      </c>
      <c r="G12" s="3" t="n">
        <f>IFERROR(SUMPRODUCT((RENT_DUE!$B$2:$B$1000="LEASE-BH-F10-2025B")*(RENT_DUE!$D$2:$D$1000&gt;=DATE(2025,9,22))*(RENT_DUE!$D$2:$D$1000&lt;=DATE(2025,10,21))*RENT_DUE!$L$2:$L$1000), 0)</f>
        <v>0.0</v>
      </c>
      <c r="H12" s="3" t="n">
        <f>IFERROR(SUMPRODUCT((RENT_RECEIVED!$B$2:$B$1000="LEASE-BH-F10-2025B")*(RENT_RECEIVED!$E$2:$E$1000&gt;=DATE(2025,9,22))*(RENT_RECEIVED!$E$2:$E$1000&lt;=DATE(2025,10,21))*RENT_RECEIVED!$O$2:$O$1000), 0)</f>
        <v>0.0</v>
      </c>
      <c r="I12" t="inlineStr">
        <is>
          <t/>
        </is>
      </c>
      <c r="J12" s="3" t="n">
        <f>IFERROR(SUMIFS(RENT_DUE!$L$2:$L$10000, RENT_DUE!$B$2:$B$10000, "LEASE-BH-F10-2025B", RENT_DUE!$D$2:$D$10000, "&lt;"&amp;DATE(2025,9,22)), 0) - IFERROR(SUMIFS(RENT_RECEIVED!$O$2:$O$10000, RENT_RECEIVED!$B$2:$B$10000, "LEASE-BH-F10-2025B", RENT_RECEIVED!$E$2:$E$10000, "&lt;"&amp;DATE(2025,9,22)), 0)</f>
        <v>0.0</v>
      </c>
      <c r="K12" s="3" t="n">
        <f>G12 - H12</f>
        <v>0.0</v>
      </c>
      <c r="L12" s="3" t="n">
        <f>J12 + K12</f>
        <v>0.0</v>
      </c>
      <c r="M12" s="3" t="n">
        <f>H12 * 0.1500</f>
        <v>0.0</v>
      </c>
      <c r="N12" s="3" t="n">
        <f>H12 * 0.0000</f>
        <v>0.0</v>
      </c>
      <c r="O12" s="3" t="n">
        <f>ABS(M12 + N12)</f>
        <v>0.0</v>
      </c>
      <c r="P12" t="inlineStr">
        <is>
          <t/>
        </is>
      </c>
      <c r="Q12" s="3" t="n">
        <f>SUMIFS(EXPENSES!E:E, EXPENSES!B:B, "LEASE-BH-F10-2025B", EXPENSES!D:D, "&gt;="&amp;DATE(2025,9,22), EXPENSES!D:D, "&lt;="&amp;DATE(2025,10,21))</f>
        <v>0.0</v>
      </c>
      <c r="R12" t="inlineStr">
        <is>
          <t/>
        </is>
      </c>
      <c r="S12" s="3" t="n">
        <f>H12 - O12 - Q12</f>
        <v>0.0</v>
      </c>
      <c r="T12" t="inlineStr">
        <is>
          <t/>
        </is>
      </c>
      <c r="U12" t="inlineStr">
        <is>
          <t/>
        </is>
      </c>
      <c r="V12" t="inlineStr">
        <is>
          <t/>
        </is>
      </c>
      <c r="W12" t="inlineStr">
        <is>
          <t/>
        </is>
      </c>
      <c r="X12" t="inlineStr">
        <is>
          <t/>
        </is>
      </c>
      <c r="Y12" s="3" t="n">
        <v>1910.25</v>
      </c>
      <c r="Z12" s="3" t="n">
        <f>S12-Y12</f>
        <v>0.0</v>
      </c>
      <c r="AA12" t="inlineStr">
        <is>
          <t>PAID</t>
        </is>
      </c>
      <c r="AB12" t="inlineStr">
        <is>
          <t>MULTIPLE</t>
        </is>
      </c>
      <c r="AC12" s="2" t="n">
        <v>45982.0</v>
      </c>
    </row>
    <row r="13">
      <c r="A13" t="inlineStr">
        <is>
          <t>LEASE-BH-F11-2025</t>
        </is>
      </c>
      <c r="B13" t="inlineStr">
        <is>
          <t>Flat 11 - 3 West Gate</t>
        </is>
      </c>
      <c r="C13" t="inlineStr">
        <is>
          <t>Achal (Delegated for Udayan)</t>
        </is>
      </c>
      <c r="D13" t="inlineStr">
        <is>
          <t>Mr Richard Perrotta</t>
        </is>
      </c>
      <c r="E13" s="2" t="n">
        <v>45722.0</v>
      </c>
      <c r="F13" t="n">
        <v>26.0</v>
      </c>
      <c r="G13" s="3" t="n">
        <f>IFERROR(SUMPRODUCT((RENT_DUE!$B$2:$B$1000="LEASE-BH-F11-2025")*(RENT_DUE!$D$2:$D$1000&gt;=DATE(2025,9,22))*(RENT_DUE!$D$2:$D$1000&lt;=DATE(2025,10,21))*RENT_DUE!$L$2:$L$1000), 0)</f>
        <v>0.0</v>
      </c>
      <c r="H13" s="3" t="n">
        <f>IFERROR(SUMPRODUCT((RENT_RECEIVED!$B$2:$B$1000="LEASE-BH-F11-2025")*(RENT_RECEIVED!$E$2:$E$1000&gt;=DATE(2025,9,22))*(RENT_RECEIVED!$E$2:$E$1000&lt;=DATE(2025,10,21))*RENT_RECEIVED!$O$2:$O$1000), 0)</f>
        <v>0.0</v>
      </c>
      <c r="I13" t="inlineStr">
        <is>
          <t>QZGNwwqb19</t>
        </is>
      </c>
      <c r="J13" s="3" t="n">
        <f>IFERROR(SUMIFS(RENT_DUE!$L$2:$L$10000, RENT_DUE!$B$2:$B$10000, "LEASE-BH-F11-2025", RENT_DUE!$D$2:$D$10000, "&lt;"&amp;DATE(2025,9,22)), 0) - IFERROR(SUMIFS(RENT_RECEIVED!$O$2:$O$10000, RENT_RECEIVED!$B$2:$B$10000, "LEASE-BH-F11-2025", RENT_RECEIVED!$E$2:$E$10000, "&lt;"&amp;DATE(2025,9,22)), 0)</f>
        <v>0.0</v>
      </c>
      <c r="K13" s="3" t="n">
        <f>G13 - H13</f>
        <v>0.0</v>
      </c>
      <c r="L13" s="3" t="n">
        <f>J13 + K13</f>
        <v>0.0</v>
      </c>
      <c r="M13" s="3" t="n">
        <f>H13 * 0.1500</f>
        <v>0.0</v>
      </c>
      <c r="N13" s="3" t="n">
        <f>H13 * 0.0000</f>
        <v>0.0</v>
      </c>
      <c r="O13" s="3" t="n">
        <f>ABS(M13 + N13)</f>
        <v>0.0</v>
      </c>
      <c r="P13" t="inlineStr">
        <is>
          <t/>
        </is>
      </c>
      <c r="Q13" s="3" t="n">
        <f>SUMIFS(EXPENSES!E:E, EXPENSES!B:B, "LEASE-BH-F11-2025", EXPENSES!D:D, "&gt;="&amp;DATE(2025,9,22), EXPENSES!D:D, "&lt;="&amp;DATE(2025,10,21))</f>
        <v>0.0</v>
      </c>
      <c r="R13" t="inlineStr">
        <is>
          <t/>
        </is>
      </c>
      <c r="S13" s="3" t="n">
        <f>H13 - O13 - Q13</f>
        <v>0.0</v>
      </c>
      <c r="T13" t="inlineStr">
        <is>
          <t/>
        </is>
      </c>
      <c r="U13" t="inlineStr">
        <is>
          <t/>
        </is>
      </c>
      <c r="V13" t="inlineStr">
        <is>
          <t/>
        </is>
      </c>
      <c r="W13" t="inlineStr">
        <is>
          <t/>
        </is>
      </c>
      <c r="X13" t="inlineStr">
        <is>
          <t/>
        </is>
      </c>
      <c r="Y13" s="3" t="n">
        <v>5979.75</v>
      </c>
      <c r="Z13" s="3" t="n">
        <f>S13-Y13</f>
        <v>0.0</v>
      </c>
      <c r="AA13" t="inlineStr">
        <is>
          <t>PAID</t>
        </is>
      </c>
      <c r="AB13" t="inlineStr">
        <is>
          <t>MULTIPLE</t>
        </is>
      </c>
      <c r="AC13" s="2" t="n">
        <v>45981.0</v>
      </c>
    </row>
    <row r="14">
      <c r="A14" t="inlineStr">
        <is>
          <t>LEASE-BH-F12-2025</t>
        </is>
      </c>
      <c r="B14" t="inlineStr">
        <is>
          <t>Flat 12 - 3 West Gate</t>
        </is>
      </c>
      <c r="C14" t="inlineStr">
        <is>
          <t>Achal (Delegated for Udayan)</t>
        </is>
      </c>
      <c r="D14" t="inlineStr">
        <is>
          <t>MR J SOOPIYADAKATH THEKKE PURAYIL &amp; MS S</t>
        </is>
      </c>
      <c r="E14" s="2" t="n">
        <v>45754.0</v>
      </c>
      <c r="F14" t="n">
        <v>7.0</v>
      </c>
      <c r="G14" s="3" t="n">
        <v>0.0</v>
      </c>
      <c r="H14" s="3" t="n">
        <f>IFERROR(SUMPRODUCT((RENT_RECEIVED!$B$2:$B$1000="LEASE-BH-F12-2025")*(RENT_RECEIVED!$E$2:$E$1000&gt;=DATE(2025,9,22))*(RENT_RECEIVED!$E$2:$E$1000&lt;=DATE(2025,10,21))*RENT_RECEIVED!$O$2:$O$1000), 0)</f>
        <v>0.0</v>
      </c>
      <c r="I14" t="inlineStr">
        <is>
          <t/>
        </is>
      </c>
      <c r="J14" s="3" t="n">
        <f>IFERROR(SUMIFS(RENT_DUE!$L$2:$L$10000, RENT_DUE!$B$2:$B$10000, "LEASE-BH-F12-2025", RENT_DUE!$D$2:$D$10000, "&lt;"&amp;DATE(2025,9,22)), 0) - IFERROR(SUMIFS(RENT_RECEIVED!$O$2:$O$10000, RENT_RECEIVED!$B$2:$B$10000, "LEASE-BH-F12-2025", RENT_RECEIVED!$E$2:$E$10000, "&lt;"&amp;DATE(2025,9,22)), 0)</f>
        <v>0.0</v>
      </c>
      <c r="K14" s="3" t="n">
        <f>G14 - H14</f>
        <v>0.0</v>
      </c>
      <c r="L14" s="3" t="n">
        <f>J14 + K14</f>
        <v>0.0</v>
      </c>
      <c r="M14" s="3" t="n">
        <f>H14 * 0.1500</f>
        <v>0.0</v>
      </c>
      <c r="N14" s="3" t="n">
        <f>H14 * 0.0000</f>
        <v>0.0</v>
      </c>
      <c r="O14" s="3" t="n">
        <f>ABS(M14 + N14)</f>
        <v>0.0</v>
      </c>
      <c r="P14" t="inlineStr">
        <is>
          <t/>
        </is>
      </c>
      <c r="Q14" s="3" t="n">
        <f>SUMIFS(EXPENSES!E:E, EXPENSES!B:B, "LEASE-BH-F12-2025", EXPENSES!D:D, "&gt;="&amp;DATE(2025,9,22), EXPENSES!D:D, "&lt;="&amp;DATE(2025,10,21))</f>
        <v>0.0</v>
      </c>
      <c r="R14" t="inlineStr">
        <is>
          <t>HIST-2025-12-1654</t>
        </is>
      </c>
      <c r="S14" s="3" t="n">
        <f>H14 - O14 - Q14</f>
        <v>0.0</v>
      </c>
      <c r="T14" t="inlineStr">
        <is>
          <t/>
        </is>
      </c>
      <c r="U14" t="inlineStr">
        <is>
          <t/>
        </is>
      </c>
      <c r="V14" t="inlineStr">
        <is>
          <t/>
        </is>
      </c>
      <c r="W14" t="inlineStr">
        <is>
          <t/>
        </is>
      </c>
      <c r="X14" t="inlineStr">
        <is>
          <t/>
        </is>
      </c>
      <c r="Y14" s="3" t="n">
        <v>1147.5</v>
      </c>
      <c r="Z14" s="3" t="n">
        <f>S14-Y14</f>
        <v>0.0</v>
      </c>
      <c r="AA14" t="inlineStr">
        <is>
          <t>PAID</t>
        </is>
      </c>
      <c r="AB14" t="inlineStr">
        <is>
          <t>MULTIPLE</t>
        </is>
      </c>
      <c r="AC14" s="2" t="n">
        <v>45804.0</v>
      </c>
    </row>
    <row r="15">
      <c r="A15" t="inlineStr">
        <is>
          <t>LEASE-BH-F12-2025B</t>
        </is>
      </c>
      <c r="B15" t="inlineStr">
        <is>
          <t>Flat 12 - 3 West Gate</t>
        </is>
      </c>
      <c r="C15" t="inlineStr">
        <is>
          <t>Achal (Delegated for Udayan)</t>
        </is>
      </c>
      <c r="D15" t="inlineStr">
        <is>
          <t>Adam Kirby</t>
        </is>
      </c>
      <c r="E15" s="2" t="n">
        <v>45860.0</v>
      </c>
      <c r="F15" t="n">
        <v>22.0</v>
      </c>
      <c r="G15" s="3" t="n">
        <f>IFERROR(SUMPRODUCT((RENT_DUE!$B$2:$B$1000="LEASE-BH-F12-2025B")*(RENT_DUE!$D$2:$D$1000&gt;=DATE(2025,9,22))*(RENT_DUE!$D$2:$D$1000&lt;=DATE(2025,10,21))*RENT_DUE!$L$2:$L$1000), 0)</f>
        <v>0.0</v>
      </c>
      <c r="H15" s="3" t="n">
        <f>IFERROR(SUMPRODUCT((RENT_RECEIVED!$B$2:$B$1000="LEASE-BH-F12-2025B")*(RENT_RECEIVED!$E$2:$E$1000&gt;=DATE(2025,9,22))*(RENT_RECEIVED!$E$2:$E$1000&lt;=DATE(2025,10,21))*RENT_RECEIVED!$O$2:$O$1000), 0)</f>
        <v>0.0</v>
      </c>
      <c r="I15" t="inlineStr">
        <is>
          <t/>
        </is>
      </c>
      <c r="J15" s="3" t="n">
        <f>IFERROR(SUMIFS(RENT_DUE!$L$2:$L$10000, RENT_DUE!$B$2:$B$10000, "LEASE-BH-F12-2025B", RENT_DUE!$D$2:$D$10000, "&lt;"&amp;DATE(2025,9,22)), 0) - IFERROR(SUMIFS(RENT_RECEIVED!$O$2:$O$10000, RENT_RECEIVED!$B$2:$B$10000, "LEASE-BH-F12-2025B", RENT_RECEIVED!$E$2:$E$10000, "&lt;"&amp;DATE(2025,9,22)), 0)</f>
        <v>0.0</v>
      </c>
      <c r="K15" s="3" t="n">
        <f>G15 - H15</f>
        <v>0.0</v>
      </c>
      <c r="L15" s="3" t="n">
        <f>J15 + K15</f>
        <v>0.0</v>
      </c>
      <c r="M15" s="3" t="n">
        <f>H15 * 0.1500</f>
        <v>0.0</v>
      </c>
      <c r="N15" s="3" t="n">
        <f>H15 * 0.0000</f>
        <v>0.0</v>
      </c>
      <c r="O15" s="3" t="n">
        <f>ABS(M15 + N15)</f>
        <v>0.0</v>
      </c>
      <c r="P15" t="inlineStr">
        <is>
          <t/>
        </is>
      </c>
      <c r="Q15" s="3" t="n">
        <f>SUMIFS(EXPENSES!E:E, EXPENSES!B:B, "LEASE-BH-F12-2025B", EXPENSES!D:D, "&gt;="&amp;DATE(2025,9,22), EXPENSES!D:D, "&lt;="&amp;DATE(2025,10,21))</f>
        <v>0.0</v>
      </c>
      <c r="R15" t="inlineStr">
        <is>
          <t>HIST-2025-12-1654</t>
        </is>
      </c>
      <c r="S15" s="3" t="n">
        <f>H15 - O15 - Q15</f>
        <v>0.0</v>
      </c>
      <c r="T15" t="inlineStr">
        <is>
          <t/>
        </is>
      </c>
      <c r="U15" t="inlineStr">
        <is>
          <t/>
        </is>
      </c>
      <c r="V15" t="inlineStr">
        <is>
          <t/>
        </is>
      </c>
      <c r="W15" t="inlineStr">
        <is>
          <t/>
        </is>
      </c>
      <c r="X15" t="inlineStr">
        <is>
          <t/>
        </is>
      </c>
      <c r="Y15" s="3" t="n">
        <v>4834.2</v>
      </c>
      <c r="Z15" s="3" t="n">
        <f>S15-Y15</f>
        <v>0.0</v>
      </c>
      <c r="AA15" t="inlineStr">
        <is>
          <t>PAID</t>
        </is>
      </c>
      <c r="AB15" t="inlineStr">
        <is>
          <t>MULTIPLE</t>
        </is>
      </c>
      <c r="AC15" s="2" t="n">
        <v>45992.0</v>
      </c>
    </row>
    <row r="16">
      <c r="A16" t="inlineStr">
        <is>
          <t>LEASE-BH-F13-2025</t>
        </is>
      </c>
      <c r="B16" t="inlineStr">
        <is>
          <t>Flat 13 - 3 West Gate</t>
        </is>
      </c>
      <c r="C16" t="inlineStr">
        <is>
          <t>Achal (Delegated for Udayan)</t>
        </is>
      </c>
      <c r="D16" t="inlineStr">
        <is>
          <t>Mr Nathan Holland</t>
        </is>
      </c>
      <c r="E16" s="2" t="n">
        <v>45719.0</v>
      </c>
      <c r="F16" t="n">
        <v>3.0</v>
      </c>
      <c r="G16" s="3" t="n">
        <f>IFERROR(SUMPRODUCT((RENT_DUE!$B$2:$B$1000="LEASE-BH-F13-2025")*(RENT_DUE!$D$2:$D$1000&gt;=DATE(2025,9,22))*(RENT_DUE!$D$2:$D$1000&lt;=DATE(2025,10,21))*RENT_DUE!$L$2:$L$1000), 0)</f>
        <v>0.0</v>
      </c>
      <c r="H16" s="3" t="n">
        <f>IFERROR(SUMPRODUCT((RENT_RECEIVED!$B$2:$B$1000="LEASE-BH-F13-2025")*(RENT_RECEIVED!$E$2:$E$1000&gt;=DATE(2025,9,22))*(RENT_RECEIVED!$E$2:$E$1000&lt;=DATE(2025,10,21))*RENT_RECEIVED!$O$2:$O$1000), 0)</f>
        <v>0.0</v>
      </c>
      <c r="I16" t="inlineStr">
        <is>
          <t>QZGNwwqb19</t>
        </is>
      </c>
      <c r="J16" s="3" t="n">
        <f>IFERROR(SUMIFS(RENT_DUE!$L$2:$L$10000, RENT_DUE!$B$2:$B$10000, "LEASE-BH-F13-2025", RENT_DUE!$D$2:$D$10000, "&lt;"&amp;DATE(2025,9,22)), 0) - IFERROR(SUMIFS(RENT_RECEIVED!$O$2:$O$10000, RENT_RECEIVED!$B$2:$B$10000, "LEASE-BH-F13-2025", RENT_RECEIVED!$E$2:$E$10000, "&lt;"&amp;DATE(2025,9,22)), 0)</f>
        <v>0.0</v>
      </c>
      <c r="K16" s="3" t="n">
        <f>G16 - H16</f>
        <v>0.0</v>
      </c>
      <c r="L16" s="3" t="n">
        <f>J16 + K16</f>
        <v>0.0</v>
      </c>
      <c r="M16" s="3" t="n">
        <f>H16 * 0.1500</f>
        <v>0.0</v>
      </c>
      <c r="N16" s="3" t="n">
        <f>H16 * 0.0000</f>
        <v>0.0</v>
      </c>
      <c r="O16" s="3" t="n">
        <f>ABS(M16 + N16)</f>
        <v>0.0</v>
      </c>
      <c r="P16" t="inlineStr">
        <is>
          <t/>
        </is>
      </c>
      <c r="Q16" s="3" t="n">
        <f>SUMIFS(EXPENSES!E:E, EXPENSES!B:B, "LEASE-BH-F13-2025", EXPENSES!D:D, "&gt;="&amp;DATE(2025,9,22), EXPENSES!D:D, "&lt;="&amp;DATE(2025,10,21))</f>
        <v>0.0</v>
      </c>
      <c r="R16" t="inlineStr">
        <is>
          <t/>
        </is>
      </c>
      <c r="S16" s="3" t="n">
        <f>H16 - O16 - Q16</f>
        <v>0.0</v>
      </c>
      <c r="T16" t="inlineStr">
        <is>
          <t/>
        </is>
      </c>
      <c r="U16" t="inlineStr">
        <is>
          <t/>
        </is>
      </c>
      <c r="V16" t="inlineStr">
        <is>
          <t/>
        </is>
      </c>
      <c r="W16" t="inlineStr">
        <is>
          <t/>
        </is>
      </c>
      <c r="X16" t="inlineStr">
        <is>
          <t/>
        </is>
      </c>
      <c r="Y16" s="3" t="n">
        <v>5440.0</v>
      </c>
      <c r="Z16" s="3" t="n">
        <f>S16-Y16</f>
        <v>0.0</v>
      </c>
      <c r="AA16" t="inlineStr">
        <is>
          <t>PAID</t>
        </is>
      </c>
      <c r="AB16" t="inlineStr">
        <is>
          <t>MULTIPLE</t>
        </is>
      </c>
      <c r="AC16" s="2" t="n">
        <v>45936.0</v>
      </c>
    </row>
    <row r="17">
      <c r="A17" t="inlineStr">
        <is>
          <t>LEASE-BH-F14-2025</t>
        </is>
      </c>
      <c r="B17" t="inlineStr">
        <is>
          <t>Flat 14 - 3 West Gate</t>
        </is>
      </c>
      <c r="C17" t="inlineStr">
        <is>
          <t>Achal (Delegated for Udayan)</t>
        </is>
      </c>
      <c r="D17" t="inlineStr">
        <is>
          <t>Ms Sarah Buckle, Mr Matthew Lewsley</t>
        </is>
      </c>
      <c r="E17" s="2" t="n">
        <v>45744.0</v>
      </c>
      <c r="F17" t="n">
        <v>28.0</v>
      </c>
      <c r="G17" s="3" t="n">
        <f>IFERROR(SUMPRODUCT((RENT_DUE!$B$2:$B$1000="LEASE-BH-F14-2025")*(RENT_DUE!$D$2:$D$1000&gt;=DATE(2025,9,22))*(RENT_DUE!$D$2:$D$1000&lt;=DATE(2025,10,21))*RENT_DUE!$L$2:$L$1000), 0)</f>
        <v>0.0</v>
      </c>
      <c r="H17" s="3" t="n">
        <f>IFERROR(SUMPRODUCT((RENT_RECEIVED!$B$2:$B$1000="LEASE-BH-F14-2025")*(RENT_RECEIVED!$E$2:$E$1000&gt;=DATE(2025,9,22))*(RENT_RECEIVED!$E$2:$E$1000&lt;=DATE(2025,10,21))*RENT_RECEIVED!$O$2:$O$1000), 0)</f>
        <v>0.0</v>
      </c>
      <c r="I17" t="inlineStr">
        <is>
          <t>HIST-2025-12-1654</t>
        </is>
      </c>
      <c r="J17" s="3" t="n">
        <f>IFERROR(SUMIFS(RENT_DUE!$L$2:$L$10000, RENT_DUE!$B$2:$B$10000, "LEASE-BH-F14-2025", RENT_DUE!$D$2:$D$10000, "&lt;"&amp;DATE(2025,9,22)), 0) - IFERROR(SUMIFS(RENT_RECEIVED!$O$2:$O$10000, RENT_RECEIVED!$B$2:$B$10000, "LEASE-BH-F14-2025", RENT_RECEIVED!$E$2:$E$10000, "&lt;"&amp;DATE(2025,9,22)), 0)</f>
        <v>0.0</v>
      </c>
      <c r="K17" s="3" t="n">
        <f>G17 - H17</f>
        <v>0.0</v>
      </c>
      <c r="L17" s="3" t="n">
        <f>J17 + K17</f>
        <v>0.0</v>
      </c>
      <c r="M17" s="3" t="n">
        <f>H17 * 0.1500</f>
        <v>0.0</v>
      </c>
      <c r="N17" s="3" t="n">
        <f>H17 * 0.0000</f>
        <v>0.0</v>
      </c>
      <c r="O17" s="3" t="n">
        <f>ABS(M17 + N17)</f>
        <v>0.0</v>
      </c>
      <c r="P17" t="inlineStr">
        <is>
          <t/>
        </is>
      </c>
      <c r="Q17" s="3" t="n">
        <f>SUMIFS(EXPENSES!E:E, EXPENSES!B:B, "LEASE-BH-F14-2025", EXPENSES!D:D, "&gt;="&amp;DATE(2025,9,22), EXPENSES!D:D, "&lt;="&amp;DATE(2025,10,21))</f>
        <v>0.0</v>
      </c>
      <c r="R17" t="inlineStr">
        <is>
          <t/>
        </is>
      </c>
      <c r="S17" s="3" t="n">
        <f>H17 - O17 - Q17</f>
        <v>0.0</v>
      </c>
      <c r="T17" t="inlineStr">
        <is>
          <t/>
        </is>
      </c>
      <c r="U17" t="inlineStr">
        <is>
          <t/>
        </is>
      </c>
      <c r="V17" t="inlineStr">
        <is>
          <t/>
        </is>
      </c>
      <c r="W17" t="inlineStr">
        <is>
          <t/>
        </is>
      </c>
      <c r="X17" t="inlineStr">
        <is>
          <t/>
        </is>
      </c>
      <c r="Y17" s="3" t="n">
        <v>5410.25</v>
      </c>
      <c r="Z17" s="3" t="n">
        <f>S17-Y17</f>
        <v>0.0</v>
      </c>
      <c r="AA17" t="inlineStr">
        <is>
          <t>PAID</t>
        </is>
      </c>
      <c r="AB17" t="inlineStr">
        <is>
          <t>MULTIPLE</t>
        </is>
      </c>
      <c r="AC17" s="2" t="n">
        <v>45992.0</v>
      </c>
    </row>
    <row r="18">
      <c r="A18" t="inlineStr">
        <is>
          <t>LEASE-BH-F15-2025</t>
        </is>
      </c>
      <c r="B18" t="inlineStr">
        <is>
          <t>Flat 15 - 3 West Gate</t>
        </is>
      </c>
      <c r="C18" t="inlineStr">
        <is>
          <t>Achal (Delegated for Udayan)</t>
        </is>
      </c>
      <c r="D18" t="inlineStr">
        <is>
          <t>Ms Lucy Cassell</t>
        </is>
      </c>
      <c r="E18" s="2" t="n">
        <v>45703.0</v>
      </c>
      <c r="F18" t="n">
        <v>15.0</v>
      </c>
      <c r="G18" s="3" t="n">
        <f>IFERROR(SUMPRODUCT((RENT_DUE!$B$2:$B$1000="LEASE-BH-F15-2025")*(RENT_DUE!$D$2:$D$1000&gt;=DATE(2025,9,22))*(RENT_DUE!$D$2:$D$1000&lt;=DATE(2025,10,21))*RENT_DUE!$L$2:$L$1000), 0)</f>
        <v>0.0</v>
      </c>
      <c r="H18" s="3" t="n">
        <f>IFERROR(SUMPRODUCT((RENT_RECEIVED!$B$2:$B$1000="LEASE-BH-F15-2025")*(RENT_RECEIVED!$E$2:$E$1000&gt;=DATE(2025,9,22))*(RENT_RECEIVED!$E$2:$E$1000&lt;=DATE(2025,10,21))*RENT_RECEIVED!$O$2:$O$1000), 0)</f>
        <v>0.0</v>
      </c>
      <c r="I18" t="inlineStr">
        <is>
          <t/>
        </is>
      </c>
      <c r="J18" s="3" t="n">
        <f>IFERROR(SUMIFS(RENT_DUE!$L$2:$L$10000, RENT_DUE!$B$2:$B$10000, "LEASE-BH-F15-2025", RENT_DUE!$D$2:$D$10000, "&lt;"&amp;DATE(2025,9,22)), 0) - IFERROR(SUMIFS(RENT_RECEIVED!$O$2:$O$10000, RENT_RECEIVED!$B$2:$B$10000, "LEASE-BH-F15-2025", RENT_RECEIVED!$E$2:$E$10000, "&lt;"&amp;DATE(2025,9,22)), 0)</f>
        <v>0.0</v>
      </c>
      <c r="K18" s="3" t="n">
        <f>G18 - H18</f>
        <v>0.0</v>
      </c>
      <c r="L18" s="3" t="n">
        <f>J18 + K18</f>
        <v>0.0</v>
      </c>
      <c r="M18" s="3" t="n">
        <f>H18 * 0.1500</f>
        <v>0.0</v>
      </c>
      <c r="N18" s="3" t="n">
        <f>H18 * 0.0000</f>
        <v>0.0</v>
      </c>
      <c r="O18" s="3" t="n">
        <f>ABS(M18 + N18)</f>
        <v>0.0</v>
      </c>
      <c r="P18" t="inlineStr">
        <is>
          <t/>
        </is>
      </c>
      <c r="Q18" s="3" t="n">
        <f>SUMIFS(EXPENSES!E:E, EXPENSES!B:B, "LEASE-BH-F15-2025", EXPENSES!D:D, "&gt;="&amp;DATE(2025,9,22), EXPENSES!D:D, "&lt;="&amp;DATE(2025,10,21))</f>
        <v>0.0</v>
      </c>
      <c r="R18" t="inlineStr">
        <is>
          <t/>
        </is>
      </c>
      <c r="S18" s="3" t="n">
        <f>H18 - O18 - Q18</f>
        <v>0.0</v>
      </c>
      <c r="T18" t="inlineStr">
        <is>
          <t/>
        </is>
      </c>
      <c r="U18" t="inlineStr">
        <is>
          <t/>
        </is>
      </c>
      <c r="V18" t="inlineStr">
        <is>
          <t/>
        </is>
      </c>
      <c r="W18" t="inlineStr">
        <is>
          <t/>
        </is>
      </c>
      <c r="X18" t="inlineStr">
        <is>
          <t/>
        </is>
      </c>
      <c r="Y18" s="3" t="n">
        <v>6170.0</v>
      </c>
      <c r="Z18" s="3" t="n">
        <f>S18-Y18</f>
        <v>0.0</v>
      </c>
      <c r="AA18" t="inlineStr">
        <is>
          <t>PAID</t>
        </is>
      </c>
      <c r="AB18" t="inlineStr">
        <is>
          <t>MULTIPLE</t>
        </is>
      </c>
      <c r="AC18" s="2" t="n">
        <v>45982.0</v>
      </c>
    </row>
    <row r="19">
      <c r="A19" t="inlineStr">
        <is>
          <t>LEASE-BH-F16-2025</t>
        </is>
      </c>
      <c r="B19" t="inlineStr">
        <is>
          <t>Flat 16 - 3 West Gate</t>
        </is>
      </c>
      <c r="C19" t="inlineStr">
        <is>
          <t>Achal (Delegated for Udayan)</t>
        </is>
      </c>
      <c r="D19" t="inlineStr">
        <is>
          <t>Mr Riley Paul Beresford, Ms Gina Louise Judge</t>
        </is>
      </c>
      <c r="E19" s="2" t="n">
        <v>45726.0</v>
      </c>
      <c r="F19" t="n">
        <v>10.0</v>
      </c>
      <c r="G19" s="3" t="n">
        <v>0.0</v>
      </c>
      <c r="H19" s="3" t="n">
        <f>IFERROR(SUMPRODUCT((RENT_RECEIVED!$B$2:$B$1000="LEASE-BH-F16-2025")*(RENT_RECEIVED!$E$2:$E$1000&gt;=DATE(2025,9,22))*(RENT_RECEIVED!$E$2:$E$1000&lt;=DATE(2025,10,21))*RENT_RECEIVED!$O$2:$O$1000), 0)</f>
        <v>0.0</v>
      </c>
      <c r="I19" t="inlineStr">
        <is>
          <t/>
        </is>
      </c>
      <c r="J19" s="3" t="n">
        <f>IFERROR(SUMIFS(RENT_DUE!$L$2:$L$10000, RENT_DUE!$B$2:$B$10000, "LEASE-BH-F16-2025", RENT_DUE!$D$2:$D$10000, "&lt;"&amp;DATE(2025,9,22)), 0) - IFERROR(SUMIFS(RENT_RECEIVED!$O$2:$O$10000, RENT_RECEIVED!$B$2:$B$10000, "LEASE-BH-F16-2025", RENT_RECEIVED!$E$2:$E$10000, "&lt;"&amp;DATE(2025,9,22)), 0)</f>
        <v>0.0</v>
      </c>
      <c r="K19" s="3" t="n">
        <f>G19 - H19</f>
        <v>0.0</v>
      </c>
      <c r="L19" s="3" t="n">
        <f>J19 + K19</f>
        <v>0.0</v>
      </c>
      <c r="M19" s="3" t="n">
        <f>H19 * 0.1500</f>
        <v>0.0</v>
      </c>
      <c r="N19" s="3" t="n">
        <f>H19 * 0.0000</f>
        <v>0.0</v>
      </c>
      <c r="O19" s="3" t="n">
        <f>ABS(M19 + N19)</f>
        <v>0.0</v>
      </c>
      <c r="P19" t="inlineStr">
        <is>
          <t/>
        </is>
      </c>
      <c r="Q19" s="3" t="n">
        <f>SUMIFS(EXPENSES!E:E, EXPENSES!B:B, "LEASE-BH-F16-2025", EXPENSES!D:D, "&gt;="&amp;DATE(2025,9,22), EXPENSES!D:D, "&lt;="&amp;DATE(2025,10,21))</f>
        <v>0.0</v>
      </c>
      <c r="R19" t="inlineStr">
        <is>
          <t/>
        </is>
      </c>
      <c r="S19" s="3" t="n">
        <f>H19 - O19 - Q19</f>
        <v>0.0</v>
      </c>
      <c r="T19" t="inlineStr">
        <is>
          <t/>
        </is>
      </c>
      <c r="U19" t="inlineStr">
        <is>
          <t/>
        </is>
      </c>
      <c r="V19" t="inlineStr">
        <is>
          <t/>
        </is>
      </c>
      <c r="W19" t="inlineStr">
        <is>
          <t/>
        </is>
      </c>
      <c r="X19" t="inlineStr">
        <is>
          <t/>
        </is>
      </c>
      <c r="Y19" s="3" t="n">
        <v>3641.31</v>
      </c>
      <c r="Z19" s="3" t="n">
        <f>S19-Y19</f>
        <v>0.0</v>
      </c>
      <c r="AA19" t="inlineStr">
        <is>
          <t>PAID</t>
        </is>
      </c>
      <c r="AB19" t="inlineStr">
        <is>
          <t>MULTIPLE</t>
        </is>
      </c>
      <c r="AC19" s="2" t="n">
        <v>45891.0</v>
      </c>
    </row>
    <row r="20">
      <c r="A20" t="inlineStr">
        <is>
          <t>LEASE-BH-F17-2025</t>
        </is>
      </c>
      <c r="B20" t="inlineStr">
        <is>
          <t>Flat 17 - 3 West Gate</t>
        </is>
      </c>
      <c r="C20" t="inlineStr">
        <is>
          <t>Achal (Delegated for Udayan)</t>
        </is>
      </c>
      <c r="D20" t="inlineStr">
        <is>
          <t>Mr Harsh Patel</t>
        </is>
      </c>
      <c r="E20" s="2" t="n">
        <v>45705.0</v>
      </c>
      <c r="F20" t="n">
        <v>17.0</v>
      </c>
      <c r="G20" s="3" t="n">
        <f>IFERROR(SUMPRODUCT((RENT_DUE!$B$2:$B$1000="LEASE-BH-F17-2025")*(RENT_DUE!$D$2:$D$1000&gt;=DATE(2025,9,22))*(RENT_DUE!$D$2:$D$1000&lt;=DATE(2025,10,21))*RENT_DUE!$L$2:$L$1000), 0)</f>
        <v>0.0</v>
      </c>
      <c r="H20" s="3" t="n">
        <f>IFERROR(SUMPRODUCT((RENT_RECEIVED!$B$2:$B$1000="LEASE-BH-F17-2025")*(RENT_RECEIVED!$E$2:$E$1000&gt;=DATE(2025,9,22))*(RENT_RECEIVED!$E$2:$E$1000&lt;=DATE(2025,10,21))*RENT_RECEIVED!$O$2:$O$1000), 0)</f>
        <v>0.0</v>
      </c>
      <c r="I20" t="inlineStr">
        <is>
          <t>QZGNwwqb19</t>
        </is>
      </c>
      <c r="J20" s="3" t="n">
        <f>IFERROR(SUMIFS(RENT_DUE!$L$2:$L$10000, RENT_DUE!$B$2:$B$10000, "LEASE-BH-F17-2025", RENT_DUE!$D$2:$D$10000, "&lt;"&amp;DATE(2025,9,22)), 0) - IFERROR(SUMIFS(RENT_RECEIVED!$O$2:$O$10000, RENT_RECEIVED!$B$2:$B$10000, "LEASE-BH-F17-2025", RENT_RECEIVED!$E$2:$E$10000, "&lt;"&amp;DATE(2025,9,22)), 0)</f>
        <v>0.0</v>
      </c>
      <c r="K20" s="3" t="n">
        <f>G20 - H20</f>
        <v>0.0</v>
      </c>
      <c r="L20" s="3" t="n">
        <f>J20 + K20</f>
        <v>0.0</v>
      </c>
      <c r="M20" s="3" t="n">
        <f>H20 * 0.1500</f>
        <v>0.0</v>
      </c>
      <c r="N20" s="3" t="n">
        <f>H20 * 0.0000</f>
        <v>0.0</v>
      </c>
      <c r="O20" s="3" t="n">
        <f>ABS(M20 + N20)</f>
        <v>0.0</v>
      </c>
      <c r="P20" t="inlineStr">
        <is>
          <t/>
        </is>
      </c>
      <c r="Q20" s="3" t="n">
        <f>SUMIFS(EXPENSES!E:E, EXPENSES!B:B, "LEASE-BH-F17-2025", EXPENSES!D:D, "&gt;="&amp;DATE(2025,9,22), EXPENSES!D:D, "&lt;="&amp;DATE(2025,10,21))</f>
        <v>0.0</v>
      </c>
      <c r="R20" t="inlineStr">
        <is>
          <t/>
        </is>
      </c>
      <c r="S20" s="3" t="n">
        <f>H20 - O20 - Q20</f>
        <v>0.0</v>
      </c>
      <c r="T20" t="inlineStr">
        <is>
          <t/>
        </is>
      </c>
      <c r="U20" t="inlineStr">
        <is>
          <t/>
        </is>
      </c>
      <c r="V20" t="inlineStr">
        <is>
          <t/>
        </is>
      </c>
      <c r="W20" t="inlineStr">
        <is>
          <t/>
        </is>
      </c>
      <c r="X20" t="inlineStr">
        <is>
          <t/>
        </is>
      </c>
      <c r="Y20" s="3" t="n">
        <v>5800.0</v>
      </c>
      <c r="Z20" s="3" t="n">
        <f>S20-Y20</f>
        <v>0.0</v>
      </c>
      <c r="AA20" t="inlineStr">
        <is>
          <t>PAID</t>
        </is>
      </c>
      <c r="AB20" t="inlineStr">
        <is>
          <t>MULTIPLE</t>
        </is>
      </c>
      <c r="AC20" s="2" t="n">
        <v>45982.0</v>
      </c>
    </row>
    <row r="21">
      <c r="A21" t="inlineStr">
        <is>
          <t>LEASE-BH-F18-2025</t>
        </is>
      </c>
      <c r="B21" t="inlineStr">
        <is>
          <t>Flat 18 - 3 West Gate</t>
        </is>
      </c>
      <c r="C21" t="inlineStr">
        <is>
          <t>Achal (Delegated for Udayan)</t>
        </is>
      </c>
      <c r="D21" t="inlineStr">
        <is>
          <t>Marie Dinko</t>
        </is>
      </c>
      <c r="E21" s="2" t="n">
        <v>45687.0</v>
      </c>
      <c r="F21" t="n">
        <v>30.0</v>
      </c>
      <c r="G21" s="3" t="n">
        <v>0.0</v>
      </c>
      <c r="H21" s="3" t="n">
        <f>IFERROR(SUMPRODUCT((RENT_RECEIVED!$B$2:$B$1000="LEASE-BH-F18-2025")*(RENT_RECEIVED!$E$2:$E$1000&gt;=DATE(2025,9,22))*(RENT_RECEIVED!$E$2:$E$1000&lt;=DATE(2025,10,21))*RENT_RECEIVED!$O$2:$O$1000), 0)</f>
        <v>0.0</v>
      </c>
      <c r="I21" t="inlineStr">
        <is>
          <t/>
        </is>
      </c>
      <c r="J21" s="3" t="n">
        <f>IFERROR(SUMIFS(RENT_DUE!$L$2:$L$10000, RENT_DUE!$B$2:$B$10000, "LEASE-BH-F18-2025", RENT_DUE!$D$2:$D$10000, "&lt;"&amp;DATE(2025,9,22)), 0) - IFERROR(SUMIFS(RENT_RECEIVED!$O$2:$O$10000, RENT_RECEIVED!$B$2:$B$10000, "LEASE-BH-F18-2025", RENT_RECEIVED!$E$2:$E$10000, "&lt;"&amp;DATE(2025,9,22)), 0)</f>
        <v>0.0</v>
      </c>
      <c r="K21" s="3" t="n">
        <f>G21 - H21</f>
        <v>0.0</v>
      </c>
      <c r="L21" s="3" t="n">
        <f>J21 + K21</f>
        <v>0.0</v>
      </c>
      <c r="M21" s="3" t="n">
        <f>H21 * 0.1500</f>
        <v>0.0</v>
      </c>
      <c r="N21" s="3" t="n">
        <f>H21 * 0.0000</f>
        <v>0.0</v>
      </c>
      <c r="O21" s="3" t="n">
        <f>ABS(M21 + N21)</f>
        <v>0.0</v>
      </c>
      <c r="P21" t="inlineStr">
        <is>
          <t/>
        </is>
      </c>
      <c r="Q21" s="3" t="n">
        <f>SUMIFS(EXPENSES!E:E, EXPENSES!B:B, "LEASE-BH-F18-2025", EXPENSES!D:D, "&gt;="&amp;DATE(2025,9,22), EXPENSES!D:D, "&lt;="&amp;DATE(2025,10,21))</f>
        <v>0.0</v>
      </c>
      <c r="R21" t="inlineStr">
        <is>
          <t/>
        </is>
      </c>
      <c r="S21" s="3" t="n">
        <f>H21 - O21 - Q21</f>
        <v>0.0</v>
      </c>
      <c r="T21" t="inlineStr">
        <is>
          <t/>
        </is>
      </c>
      <c r="U21" t="inlineStr">
        <is>
          <t/>
        </is>
      </c>
      <c r="V21" t="inlineStr">
        <is>
          <t/>
        </is>
      </c>
      <c r="W21" t="inlineStr">
        <is>
          <t/>
        </is>
      </c>
      <c r="X21" t="inlineStr">
        <is>
          <t/>
        </is>
      </c>
      <c r="Y21" s="3" t="n">
        <v>2044.25</v>
      </c>
      <c r="Z21" s="3" t="n">
        <f>S21-Y21</f>
        <v>0.0</v>
      </c>
      <c r="AA21" t="inlineStr">
        <is>
          <t>PAID</t>
        </is>
      </c>
      <c r="AB21" t="inlineStr">
        <is>
          <t>MULTIPLE</t>
        </is>
      </c>
      <c r="AC21" s="2" t="n">
        <v>45804.0</v>
      </c>
    </row>
    <row r="22">
      <c r="A22" t="inlineStr">
        <is>
          <t>LEASE-BH-F18-2025B</t>
        </is>
      </c>
      <c r="B22" t="inlineStr">
        <is>
          <t>Flat 18 - 3 West Gate</t>
        </is>
      </c>
      <c r="C22" t="inlineStr">
        <is>
          <t>Achal (Delegated for Udayan)</t>
        </is>
      </c>
      <c r="D22" t="inlineStr">
        <is>
          <t>Nirmali Gedara and Janith Hetti Arachchilage</t>
        </is>
      </c>
      <c r="E22" s="2" t="n">
        <v>45818.0</v>
      </c>
      <c r="F22" t="n">
        <v>10.0</v>
      </c>
      <c r="G22" s="3" t="n">
        <f>IFERROR(SUMPRODUCT((RENT_DUE!$B$2:$B$1000="LEASE-BH-F18-2025B")*(RENT_DUE!$D$2:$D$1000&gt;=DATE(2025,9,22))*(RENT_DUE!$D$2:$D$1000&lt;=DATE(2025,10,21))*RENT_DUE!$L$2:$L$1000), 0)</f>
        <v>0.0</v>
      </c>
      <c r="H22" s="3" t="n">
        <f>IFERROR(SUMPRODUCT((RENT_RECEIVED!$B$2:$B$1000="LEASE-BH-F18-2025B")*(RENT_RECEIVED!$E$2:$E$1000&gt;=DATE(2025,9,22))*(RENT_RECEIVED!$E$2:$E$1000&lt;=DATE(2025,10,21))*RENT_RECEIVED!$O$2:$O$1000), 0)</f>
        <v>0.0</v>
      </c>
      <c r="I22" t="inlineStr">
        <is>
          <t/>
        </is>
      </c>
      <c r="J22" s="3" t="n">
        <f>IFERROR(SUMIFS(RENT_DUE!$L$2:$L$10000, RENT_DUE!$B$2:$B$10000, "LEASE-BH-F18-2025B", RENT_DUE!$D$2:$D$10000, "&lt;"&amp;DATE(2025,9,22)), 0) - IFERROR(SUMIFS(RENT_RECEIVED!$O$2:$O$10000, RENT_RECEIVED!$B$2:$B$10000, "LEASE-BH-F18-2025B", RENT_RECEIVED!$E$2:$E$10000, "&lt;"&amp;DATE(2025,9,22)), 0)</f>
        <v>0.0</v>
      </c>
      <c r="K22" s="3" t="n">
        <f>G22 - H22</f>
        <v>0.0</v>
      </c>
      <c r="L22" s="3" t="n">
        <f>J22 + K22</f>
        <v>0.0</v>
      </c>
      <c r="M22" s="3" t="n">
        <f>H22 * 0.1500</f>
        <v>0.0</v>
      </c>
      <c r="N22" s="3" t="n">
        <f>H22 * 0.0000</f>
        <v>0.0</v>
      </c>
      <c r="O22" s="3" t="n">
        <f>ABS(M22 + N22)</f>
        <v>0.0</v>
      </c>
      <c r="P22" t="inlineStr">
        <is>
          <t/>
        </is>
      </c>
      <c r="Q22" s="3" t="n">
        <f>SUMIFS(EXPENSES!E:E, EXPENSES!B:B, "LEASE-BH-F18-2025B", EXPENSES!D:D, "&gt;="&amp;DATE(2025,9,22), EXPENSES!D:D, "&lt;="&amp;DATE(2025,10,21))</f>
        <v>0.0</v>
      </c>
      <c r="R22" t="inlineStr">
        <is>
          <t/>
        </is>
      </c>
      <c r="S22" s="3" t="n">
        <f>H22 - O22 - Q22</f>
        <v>0.0</v>
      </c>
      <c r="T22" t="inlineStr">
        <is>
          <t/>
        </is>
      </c>
      <c r="U22" t="inlineStr">
        <is>
          <t/>
        </is>
      </c>
      <c r="V22" t="inlineStr">
        <is>
          <t/>
        </is>
      </c>
      <c r="W22" t="inlineStr">
        <is>
          <t/>
        </is>
      </c>
      <c r="X22" t="inlineStr">
        <is>
          <t/>
        </is>
      </c>
      <c r="Y22" s="3" t="n">
        <v>4189.5</v>
      </c>
      <c r="Z22" s="3" t="n">
        <f>S22-Y22</f>
        <v>0.0</v>
      </c>
      <c r="AA22" t="inlineStr">
        <is>
          <t>PAID</t>
        </is>
      </c>
      <c r="AB22" t="inlineStr">
        <is>
          <t>MULTIPLE</t>
        </is>
      </c>
      <c r="AC22" s="2" t="n">
        <v>45982.0</v>
      </c>
    </row>
    <row r="23">
      <c r="A23" t="inlineStr">
        <is>
          <t>LEASE-BH-F19-2025</t>
        </is>
      </c>
      <c r="B23" t="inlineStr">
        <is>
          <t>Flat 19 - 3 West Gate</t>
        </is>
      </c>
      <c r="C23" t="inlineStr">
        <is>
          <t>Achal (Delegated for Udayan)</t>
        </is>
      </c>
      <c r="D23" t="inlineStr">
        <is>
          <t>Mr Joshua Banks, Miss Layla Middlemass</t>
        </is>
      </c>
      <c r="E23" s="2" t="n">
        <v>45730.0</v>
      </c>
      <c r="F23" t="n">
        <v>14.0</v>
      </c>
      <c r="G23" s="3" t="n">
        <v>0.0</v>
      </c>
      <c r="H23" s="3" t="n">
        <f>IFERROR(SUMPRODUCT((RENT_RECEIVED!$B$2:$B$1000="LEASE-BH-F19-2025")*(RENT_RECEIVED!$E$2:$E$1000&gt;=DATE(2025,9,22))*(RENT_RECEIVED!$E$2:$E$1000&lt;=DATE(2025,10,21))*RENT_RECEIVED!$O$2:$O$1000), 0)</f>
        <v>0.0</v>
      </c>
      <c r="I23" t="inlineStr">
        <is>
          <t>G1O4GnbjZM, QZGNwwqb19</t>
        </is>
      </c>
      <c r="J23" s="3" t="n">
        <f>IFERROR(SUMIFS(RENT_DUE!$L$2:$L$10000, RENT_DUE!$B$2:$B$10000, "LEASE-BH-F19-2025", RENT_DUE!$D$2:$D$10000, "&lt;"&amp;DATE(2025,9,22)), 0) - IFERROR(SUMIFS(RENT_RECEIVED!$O$2:$O$10000, RENT_RECEIVED!$B$2:$B$10000, "LEASE-BH-F19-2025", RENT_RECEIVED!$E$2:$E$10000, "&lt;"&amp;DATE(2025,9,22)), 0)</f>
        <v>0.0</v>
      </c>
      <c r="K23" s="3" t="n">
        <f>G23 - H23</f>
        <v>0.0</v>
      </c>
      <c r="L23" s="3" t="n">
        <f>J23 + K23</f>
        <v>0.0</v>
      </c>
      <c r="M23" s="3" t="n">
        <f>H23 * 0.1500</f>
        <v>0.0</v>
      </c>
      <c r="N23" s="3" t="n">
        <f>H23 * 0.0000</f>
        <v>0.0</v>
      </c>
      <c r="O23" s="3" t="n">
        <f>ABS(M23 + N23)</f>
        <v>0.0</v>
      </c>
      <c r="P23" t="inlineStr">
        <is>
          <t/>
        </is>
      </c>
      <c r="Q23" s="3" t="n">
        <f>SUMIFS(EXPENSES!E:E, EXPENSES!B:B, "LEASE-BH-F19-2025", EXPENSES!D:D, "&gt;="&amp;DATE(2025,9,22), EXPENSES!D:D, "&lt;="&amp;DATE(2025,10,21))</f>
        <v>0.0</v>
      </c>
      <c r="R23" t="inlineStr">
        <is>
          <t/>
        </is>
      </c>
      <c r="S23" s="3" t="n">
        <f>H23 - O23 - Q23</f>
        <v>0.0</v>
      </c>
      <c r="T23" t="inlineStr">
        <is>
          <t/>
        </is>
      </c>
      <c r="U23" t="inlineStr">
        <is>
          <t/>
        </is>
      </c>
      <c r="V23" t="inlineStr">
        <is>
          <t/>
        </is>
      </c>
      <c r="W23" t="inlineStr">
        <is>
          <t/>
        </is>
      </c>
      <c r="X23" t="inlineStr">
        <is>
          <t/>
        </is>
      </c>
      <c r="Y23" s="3" t="n">
        <v>2888.3</v>
      </c>
      <c r="Z23" s="3" t="n">
        <f>S23-Y23</f>
        <v>0.0</v>
      </c>
      <c r="AA23" t="inlineStr">
        <is>
          <t>PAID</t>
        </is>
      </c>
      <c r="AB23" t="inlineStr">
        <is>
          <t>MULTIPLE</t>
        </is>
      </c>
      <c r="AC23" s="2" t="n">
        <v>45846.0</v>
      </c>
    </row>
    <row r="24">
      <c r="A24" t="inlineStr">
        <is>
          <t>LEASE-BH-F19-2025B</t>
        </is>
      </c>
      <c r="B24" t="inlineStr">
        <is>
          <t>Flat 19 - 3 West Gate</t>
        </is>
      </c>
      <c r="C24" t="inlineStr">
        <is>
          <t>Achal (Delegated for Udayan)</t>
        </is>
      </c>
      <c r="D24" t="inlineStr">
        <is>
          <t>Charanya Kaliamoorthy</t>
        </is>
      </c>
      <c r="E24" s="2" t="n">
        <v>45901.0</v>
      </c>
      <c r="F24" t="n">
        <v>1.0</v>
      </c>
      <c r="G24" s="3" t="n">
        <f>IFERROR(SUMPRODUCT((RENT_DUE!$B$2:$B$1000="LEASE-BH-F19-2025B")*(RENT_DUE!$D$2:$D$1000&gt;=DATE(2025,9,22))*(RENT_DUE!$D$2:$D$1000&lt;=DATE(2025,10,21))*RENT_DUE!$L$2:$L$1000), 0)</f>
        <v>0.0</v>
      </c>
      <c r="H24" s="3" t="n">
        <f>IFERROR(SUMPRODUCT((RENT_RECEIVED!$B$2:$B$1000="LEASE-BH-F19-2025B")*(RENT_RECEIVED!$E$2:$E$1000&gt;=DATE(2025,9,22))*(RENT_RECEIVED!$E$2:$E$1000&lt;=DATE(2025,10,21))*RENT_RECEIVED!$O$2:$O$1000), 0)</f>
        <v>0.0</v>
      </c>
      <c r="I24" t="inlineStr">
        <is>
          <t>G1O4GnbjZM, QZGNwwqb19</t>
        </is>
      </c>
      <c r="J24" s="3" t="n">
        <f>IFERROR(SUMIFS(RENT_DUE!$L$2:$L$10000, RENT_DUE!$B$2:$B$10000, "LEASE-BH-F19-2025B", RENT_DUE!$D$2:$D$10000, "&lt;"&amp;DATE(2025,9,22)), 0) - IFERROR(SUMIFS(RENT_RECEIVED!$O$2:$O$10000, RENT_RECEIVED!$B$2:$B$10000, "LEASE-BH-F19-2025B", RENT_RECEIVED!$E$2:$E$10000, "&lt;"&amp;DATE(2025,9,22)), 0)</f>
        <v>0.0</v>
      </c>
      <c r="K24" s="3" t="n">
        <f>G24 - H24</f>
        <v>0.0</v>
      </c>
      <c r="L24" s="3" t="n">
        <f>J24 + K24</f>
        <v>0.0</v>
      </c>
      <c r="M24" s="3" t="n">
        <f>H24 * 0.1500</f>
        <v>0.0</v>
      </c>
      <c r="N24" s="3" t="n">
        <f>H24 * 0.0000</f>
        <v>0.0</v>
      </c>
      <c r="O24" s="3" t="n">
        <f>ABS(M24 + N24)</f>
        <v>0.0</v>
      </c>
      <c r="P24" t="inlineStr">
        <is>
          <t/>
        </is>
      </c>
      <c r="Q24" s="3" t="n">
        <f>SUMIFS(EXPENSES!E:E, EXPENSES!B:B, "LEASE-BH-F19-2025B", EXPENSES!D:D, "&gt;="&amp;DATE(2025,9,22), EXPENSES!D:D, "&lt;="&amp;DATE(2025,10,21))</f>
        <v>0.0</v>
      </c>
      <c r="R24" t="inlineStr">
        <is>
          <t/>
        </is>
      </c>
      <c r="S24" s="3" t="n">
        <f>H24 - O24 - Q24</f>
        <v>0.0</v>
      </c>
      <c r="T24" t="inlineStr">
        <is>
          <t/>
        </is>
      </c>
      <c r="U24" t="inlineStr">
        <is>
          <t/>
        </is>
      </c>
      <c r="V24" t="inlineStr">
        <is>
          <t/>
        </is>
      </c>
      <c r="W24" t="inlineStr">
        <is>
          <t/>
        </is>
      </c>
      <c r="X24" t="inlineStr">
        <is>
          <t/>
        </is>
      </c>
      <c r="Y24" s="3" t="n">
        <v>12685.86</v>
      </c>
      <c r="Z24" s="3" t="n">
        <f>S24-Y24</f>
        <v>0.0</v>
      </c>
      <c r="AA24" t="inlineStr">
        <is>
          <t>PAID</t>
        </is>
      </c>
      <c r="AB24" t="inlineStr">
        <is>
          <t>MULTIPLE</t>
        </is>
      </c>
      <c r="AC24" s="2" t="n">
        <v>45982.0</v>
      </c>
    </row>
    <row r="25">
      <c r="A25" t="inlineStr">
        <is>
          <t>LEASE-BH-F20-2025</t>
        </is>
      </c>
      <c r="B25" t="inlineStr">
        <is>
          <t>Flat 20 - 3 West Gate</t>
        </is>
      </c>
      <c r="C25" t="inlineStr">
        <is>
          <t>Achal (Delegated for Udayan)</t>
        </is>
      </c>
      <c r="D25" t="inlineStr">
        <is>
          <t>Mr James Kay</t>
        </is>
      </c>
      <c r="E25" s="2" t="n">
        <v>45732.0</v>
      </c>
      <c r="F25" t="n">
        <v>16.0</v>
      </c>
      <c r="G25" s="3" t="n">
        <f>IFERROR(SUMPRODUCT((RENT_DUE!$B$2:$B$1000="LEASE-BH-F20-2025")*(RENT_DUE!$D$2:$D$1000&gt;=DATE(2025,9,22))*(RENT_DUE!$D$2:$D$1000&lt;=DATE(2025,10,21))*RENT_DUE!$L$2:$L$1000), 0)</f>
        <v>0.0</v>
      </c>
      <c r="H25" s="3" t="n">
        <f>IFERROR(SUMPRODUCT((RENT_RECEIVED!$B$2:$B$1000="LEASE-BH-F20-2025")*(RENT_RECEIVED!$E$2:$E$1000&gt;=DATE(2025,9,22))*(RENT_RECEIVED!$E$2:$E$1000&lt;=DATE(2025,10,21))*RENT_RECEIVED!$O$2:$O$1000), 0)</f>
        <v>0.0</v>
      </c>
      <c r="I25" t="inlineStr">
        <is>
          <t>QZGNwwqb19</t>
        </is>
      </c>
      <c r="J25" s="3" t="n">
        <f>IFERROR(SUMIFS(RENT_DUE!$L$2:$L$10000, RENT_DUE!$B$2:$B$10000, "LEASE-BH-F20-2025", RENT_DUE!$D$2:$D$10000, "&lt;"&amp;DATE(2025,9,22)), 0) - IFERROR(SUMIFS(RENT_RECEIVED!$O$2:$O$10000, RENT_RECEIVED!$B$2:$B$10000, "LEASE-BH-F20-2025", RENT_RECEIVED!$E$2:$E$10000, "&lt;"&amp;DATE(2025,9,22)), 0)</f>
        <v>0.0</v>
      </c>
      <c r="K25" s="3" t="n">
        <f>G25 - H25</f>
        <v>0.0</v>
      </c>
      <c r="L25" s="3" t="n">
        <f>J25 + K25</f>
        <v>0.0</v>
      </c>
      <c r="M25" s="3" t="n">
        <f>H25 * 0.1500</f>
        <v>0.0</v>
      </c>
      <c r="N25" s="3" t="n">
        <f>H25 * 0.0000</f>
        <v>0.0</v>
      </c>
      <c r="O25" s="3" t="n">
        <f>ABS(M25 + N25)</f>
        <v>0.0</v>
      </c>
      <c r="P25" t="inlineStr">
        <is>
          <t/>
        </is>
      </c>
      <c r="Q25" s="3" t="n">
        <f>SUMIFS(EXPENSES!E:E, EXPENSES!B:B, "LEASE-BH-F20-2025", EXPENSES!D:D, "&gt;="&amp;DATE(2025,9,22), EXPENSES!D:D, "&lt;="&amp;DATE(2025,10,21))</f>
        <v>0.0</v>
      </c>
      <c r="R25" t="inlineStr">
        <is>
          <t/>
        </is>
      </c>
      <c r="S25" s="3" t="n">
        <f>H25 - O25 - Q25</f>
        <v>0.0</v>
      </c>
      <c r="T25" t="inlineStr">
        <is>
          <t/>
        </is>
      </c>
      <c r="U25" t="inlineStr">
        <is>
          <t/>
        </is>
      </c>
      <c r="V25" t="inlineStr">
        <is>
          <t/>
        </is>
      </c>
      <c r="W25" t="inlineStr">
        <is>
          <t/>
        </is>
      </c>
      <c r="X25" t="inlineStr">
        <is>
          <t/>
        </is>
      </c>
      <c r="Y25" s="3" t="n">
        <v>5255.0</v>
      </c>
      <c r="Z25" s="3" t="n">
        <f>S25-Y25</f>
        <v>0.0</v>
      </c>
      <c r="AA25" t="inlineStr">
        <is>
          <t>PAID</t>
        </is>
      </c>
      <c r="AB25" t="inlineStr">
        <is>
          <t>MULTIPLE</t>
        </is>
      </c>
      <c r="AC25" s="2" t="n">
        <v>45982.0</v>
      </c>
    </row>
    <row r="26">
      <c r="A26" t="inlineStr">
        <is>
          <t>LEASE-BH-F21-2025</t>
        </is>
      </c>
      <c r="B26" t="inlineStr">
        <is>
          <t>Flat 21 - 3 West Gate</t>
        </is>
      </c>
      <c r="C26" t="inlineStr">
        <is>
          <t>Achal (Delegated for Udayan)</t>
        </is>
      </c>
      <c r="D26" t="inlineStr">
        <is>
          <t>Mr Felwin Francis</t>
        </is>
      </c>
      <c r="E26" s="2" t="n">
        <v>45687.0</v>
      </c>
      <c r="F26" t="n">
        <v>30.0</v>
      </c>
      <c r="G26" s="3" t="n">
        <f>IFERROR(SUMPRODUCT((RENT_DUE!$B$2:$B$1000="LEASE-BH-F21-2025")*(RENT_DUE!$D$2:$D$1000&gt;=DATE(2025,9,22))*(RENT_DUE!$D$2:$D$1000&lt;=DATE(2025,10,21))*RENT_DUE!$L$2:$L$1000), 0)</f>
        <v>0.0</v>
      </c>
      <c r="H26" s="3" t="n">
        <f>IFERROR(SUMPRODUCT((RENT_RECEIVED!$B$2:$B$1000="LEASE-BH-F21-2025")*(RENT_RECEIVED!$E$2:$E$1000&gt;=DATE(2025,9,22))*(RENT_RECEIVED!$E$2:$E$1000&lt;=DATE(2025,10,21))*RENT_RECEIVED!$O$2:$O$1000), 0)</f>
        <v>0.0</v>
      </c>
      <c r="I26" t="inlineStr">
        <is>
          <t/>
        </is>
      </c>
      <c r="J26" s="3" t="n">
        <f>IFERROR(SUMIFS(RENT_DUE!$L$2:$L$10000, RENT_DUE!$B$2:$B$10000, "LEASE-BH-F21-2025", RENT_DUE!$D$2:$D$10000, "&lt;"&amp;DATE(2025,9,22)), 0) - IFERROR(SUMIFS(RENT_RECEIVED!$O$2:$O$10000, RENT_RECEIVED!$B$2:$B$10000, "LEASE-BH-F21-2025", RENT_RECEIVED!$E$2:$E$10000, "&lt;"&amp;DATE(2025,9,22)), 0)</f>
        <v>0.0</v>
      </c>
      <c r="K26" s="3" t="n">
        <f>G26 - H26</f>
        <v>0.0</v>
      </c>
      <c r="L26" s="3" t="n">
        <f>J26 + K26</f>
        <v>0.0</v>
      </c>
      <c r="M26" s="3" t="n">
        <f>H26 * 0.1500</f>
        <v>0.0</v>
      </c>
      <c r="N26" s="3" t="n">
        <f>H26 * 0.0000</f>
        <v>0.0</v>
      </c>
      <c r="O26" s="3" t="n">
        <f>ABS(M26 + N26)</f>
        <v>0.0</v>
      </c>
      <c r="P26" t="inlineStr">
        <is>
          <t/>
        </is>
      </c>
      <c r="Q26" s="3" t="n">
        <f>SUMIFS(EXPENSES!E:E, EXPENSES!B:B, "LEASE-BH-F21-2025", EXPENSES!D:D, "&gt;="&amp;DATE(2025,9,22), EXPENSES!D:D, "&lt;="&amp;DATE(2025,10,21))</f>
        <v>0.0</v>
      </c>
      <c r="R26" t="inlineStr">
        <is>
          <t/>
        </is>
      </c>
      <c r="S26" s="3" t="n">
        <f>H26 - O26 - Q26</f>
        <v>0.0</v>
      </c>
      <c r="T26" t="inlineStr">
        <is>
          <t/>
        </is>
      </c>
      <c r="U26" t="inlineStr">
        <is>
          <t/>
        </is>
      </c>
      <c r="V26" t="inlineStr">
        <is>
          <t/>
        </is>
      </c>
      <c r="W26" t="inlineStr">
        <is>
          <t/>
        </is>
      </c>
      <c r="X26" t="inlineStr">
        <is>
          <t/>
        </is>
      </c>
      <c r="Y26" s="3" t="n">
        <v>6637.5</v>
      </c>
      <c r="Z26" s="3" t="n">
        <f>S26-Y26</f>
        <v>0.0</v>
      </c>
      <c r="AA26" t="inlineStr">
        <is>
          <t>PAID</t>
        </is>
      </c>
      <c r="AB26" t="inlineStr">
        <is>
          <t>MULTIPLE</t>
        </is>
      </c>
      <c r="AC26" s="2" t="n">
        <v>45982.0</v>
      </c>
    </row>
    <row r="27">
      <c r="A27" t="inlineStr">
        <is>
          <t>LEASE-BH-F22-2025</t>
        </is>
      </c>
      <c r="B27" t="inlineStr">
        <is>
          <t>Flat 22 - 3 West Gate</t>
        </is>
      </c>
      <c r="C27" t="inlineStr">
        <is>
          <t>Achal (Delegated for Udayan)</t>
        </is>
      </c>
      <c r="D27" t="inlineStr">
        <is>
          <t>Mr Brian Lowe</t>
        </is>
      </c>
      <c r="E27" s="2" t="n">
        <v>45717.0</v>
      </c>
      <c r="F27" t="n">
        <v>1.0</v>
      </c>
      <c r="G27" s="3" t="n">
        <f>IFERROR(SUMPRODUCT((RENT_DUE!$B$2:$B$1000="LEASE-BH-F22-2025")*(RENT_DUE!$D$2:$D$1000&gt;=DATE(2025,9,22))*(RENT_DUE!$D$2:$D$1000&lt;=DATE(2025,10,21))*RENT_DUE!$L$2:$L$1000), 0)</f>
        <v>0.0</v>
      </c>
      <c r="H27" s="3" t="n">
        <f>IFERROR(SUMPRODUCT((RENT_RECEIVED!$B$2:$B$1000="LEASE-BH-F22-2025")*(RENT_RECEIVED!$E$2:$E$1000&gt;=DATE(2025,9,22))*(RENT_RECEIVED!$E$2:$E$1000&lt;=DATE(2025,10,21))*RENT_RECEIVED!$O$2:$O$1000), 0)</f>
        <v>0.0</v>
      </c>
      <c r="I27" t="inlineStr">
        <is>
          <t>QZGNwwqb19</t>
        </is>
      </c>
      <c r="J27" s="3" t="n">
        <f>IFERROR(SUMIFS(RENT_DUE!$L$2:$L$10000, RENT_DUE!$B$2:$B$10000, "LEASE-BH-F22-2025", RENT_DUE!$D$2:$D$10000, "&lt;"&amp;DATE(2025,9,22)), 0) - IFERROR(SUMIFS(RENT_RECEIVED!$O$2:$O$10000, RENT_RECEIVED!$B$2:$B$10000, "LEASE-BH-F22-2025", RENT_RECEIVED!$E$2:$E$10000, "&lt;"&amp;DATE(2025,9,22)), 0)</f>
        <v>0.0</v>
      </c>
      <c r="K27" s="3" t="n">
        <f>G27 - H27</f>
        <v>0.0</v>
      </c>
      <c r="L27" s="3" t="n">
        <f>J27 + K27</f>
        <v>0.0</v>
      </c>
      <c r="M27" s="3" t="n">
        <f>H27 * 0.1500</f>
        <v>0.0</v>
      </c>
      <c r="N27" s="3" t="n">
        <f>H27 * 0.0000</f>
        <v>0.0</v>
      </c>
      <c r="O27" s="3" t="n">
        <f>ABS(M27 + N27)</f>
        <v>0.0</v>
      </c>
      <c r="P27" t="inlineStr">
        <is>
          <t/>
        </is>
      </c>
      <c r="Q27" s="3" t="n">
        <f>SUMIFS(EXPENSES!E:E, EXPENSES!B:B, "LEASE-BH-F22-2025", EXPENSES!D:D, "&gt;="&amp;DATE(2025,9,22), EXPENSES!D:D, "&lt;="&amp;DATE(2025,10,21))</f>
        <v>0.0</v>
      </c>
      <c r="R27" t="inlineStr">
        <is>
          <t/>
        </is>
      </c>
      <c r="S27" s="3" t="n">
        <f>H27 - O27 - Q27</f>
        <v>0.0</v>
      </c>
      <c r="T27" t="inlineStr">
        <is>
          <t/>
        </is>
      </c>
      <c r="U27" t="inlineStr">
        <is>
          <t/>
        </is>
      </c>
      <c r="V27" t="inlineStr">
        <is>
          <t/>
        </is>
      </c>
      <c r="W27" t="inlineStr">
        <is>
          <t/>
        </is>
      </c>
      <c r="X27" t="inlineStr">
        <is>
          <t/>
        </is>
      </c>
      <c r="Y27" s="3" t="n">
        <v>5661.0</v>
      </c>
      <c r="Z27" s="3" t="n">
        <f>S27-Y27</f>
        <v>0.0</v>
      </c>
      <c r="AA27" t="inlineStr">
        <is>
          <t>PAID</t>
        </is>
      </c>
      <c r="AB27" t="inlineStr">
        <is>
          <t>MULTIPLE</t>
        </is>
      </c>
      <c r="AC27" s="2" t="n">
        <v>45982.0</v>
      </c>
    </row>
    <row r="28">
      <c r="A28" t="inlineStr">
        <is>
          <t>LEASE-BH-F23-2025</t>
        </is>
      </c>
      <c r="B28" t="inlineStr">
        <is>
          <t>Flat 23 - 3 West Gate</t>
        </is>
      </c>
      <c r="C28" t="inlineStr">
        <is>
          <t>Achal (Delegated for Udayan)</t>
        </is>
      </c>
      <c r="D28" t="inlineStr">
        <is>
          <t>Mark Tennick</t>
        </is>
      </c>
      <c r="E28" s="2" t="n">
        <v>45830.0</v>
      </c>
      <c r="F28" t="n">
        <v>10.0</v>
      </c>
      <c r="G28" s="3" t="n">
        <f>IFERROR(SUMPRODUCT((RENT_DUE!$B$2:$B$1000="LEASE-BH-F23-2025")*(RENT_DUE!$D$2:$D$1000&gt;=DATE(2025,9,22))*(RENT_DUE!$D$2:$D$1000&lt;=DATE(2025,10,21))*RENT_DUE!$L$2:$L$1000), 0)</f>
        <v>0.0</v>
      </c>
      <c r="H28" s="3" t="n">
        <f>IFERROR(SUMPRODUCT((RENT_RECEIVED!$B$2:$B$1000="LEASE-BH-F23-2025")*(RENT_RECEIVED!$E$2:$E$1000&gt;=DATE(2025,9,22))*(RENT_RECEIVED!$E$2:$E$1000&lt;=DATE(2025,10,21))*RENT_RECEIVED!$O$2:$O$1000), 0)</f>
        <v>0.0</v>
      </c>
      <c r="I28" t="inlineStr">
        <is>
          <t>QZGNwwqb19</t>
        </is>
      </c>
      <c r="J28" s="3" t="n">
        <f>IFERROR(SUMIFS(RENT_DUE!$L$2:$L$10000, RENT_DUE!$B$2:$B$10000, "LEASE-BH-F23-2025", RENT_DUE!$D$2:$D$10000, "&lt;"&amp;DATE(2025,9,22)), 0) - IFERROR(SUMIFS(RENT_RECEIVED!$O$2:$O$10000, RENT_RECEIVED!$B$2:$B$10000, "LEASE-BH-F23-2025", RENT_RECEIVED!$E$2:$E$10000, "&lt;"&amp;DATE(2025,9,22)), 0)</f>
        <v>0.0</v>
      </c>
      <c r="K28" s="3" t="n">
        <f>G28 - H28</f>
        <v>0.0</v>
      </c>
      <c r="L28" s="3" t="n">
        <f>J28 + K28</f>
        <v>0.0</v>
      </c>
      <c r="M28" s="3" t="n">
        <f>H28 * 0.1500</f>
        <v>0.0</v>
      </c>
      <c r="N28" s="3" t="n">
        <f>H28 * 0.0000</f>
        <v>0.0</v>
      </c>
      <c r="O28" s="3" t="n">
        <f>ABS(M28 + N28)</f>
        <v>0.0</v>
      </c>
      <c r="P28" t="inlineStr">
        <is>
          <t/>
        </is>
      </c>
      <c r="Q28" s="3" t="n">
        <f>SUMIFS(EXPENSES!E:E, EXPENSES!B:B, "LEASE-BH-F23-2025", EXPENSES!D:D, "&gt;="&amp;DATE(2025,9,22), EXPENSES!D:D, "&lt;="&amp;DATE(2025,10,21))</f>
        <v>0.0</v>
      </c>
      <c r="R28" t="inlineStr">
        <is>
          <t/>
        </is>
      </c>
      <c r="S28" s="3" t="n">
        <f>H28 - O28 - Q28</f>
        <v>0.0</v>
      </c>
      <c r="T28" t="inlineStr">
        <is>
          <t/>
        </is>
      </c>
      <c r="U28" t="inlineStr">
        <is>
          <t/>
        </is>
      </c>
      <c r="V28" t="inlineStr">
        <is>
          <t/>
        </is>
      </c>
      <c r="W28" t="inlineStr">
        <is>
          <t/>
        </is>
      </c>
      <c r="X28" t="inlineStr">
        <is>
          <t/>
        </is>
      </c>
      <c r="Y28" s="3" t="n">
        <v>3798.3</v>
      </c>
      <c r="Z28" s="3" t="n">
        <f>S28-Y28</f>
        <v>0.0</v>
      </c>
      <c r="AA28" t="inlineStr">
        <is>
          <t>PAID</t>
        </is>
      </c>
      <c r="AB28" t="inlineStr">
        <is>
          <t>MULTIPLE</t>
        </is>
      </c>
      <c r="AC28" s="2" t="n">
        <v>45982.0</v>
      </c>
    </row>
    <row r="29">
      <c r="A29" t="inlineStr">
        <is>
          <t>LEASE-BH-F24-2025</t>
        </is>
      </c>
      <c r="B29" t="inlineStr">
        <is>
          <t>Flat 24 - 3 West Gate</t>
        </is>
      </c>
      <c r="C29" t="inlineStr">
        <is>
          <t>Achal (Delegated for Udayan)</t>
        </is>
      </c>
      <c r="D29" t="inlineStr">
        <is>
          <t>Mr Ethan Maloney, Miss Soraya Fearon</t>
        </is>
      </c>
      <c r="E29" s="2" t="n">
        <v>45700.0</v>
      </c>
      <c r="F29" t="n">
        <v>12.0</v>
      </c>
      <c r="G29" s="3" t="n">
        <f>IFERROR(SUMPRODUCT((RENT_DUE!$B$2:$B$1000="LEASE-BH-F24-2025")*(RENT_DUE!$D$2:$D$1000&gt;=DATE(2025,9,22))*(RENT_DUE!$D$2:$D$1000&lt;=DATE(2025,10,21))*RENT_DUE!$L$2:$L$1000), 0)</f>
        <v>0.0</v>
      </c>
      <c r="H29" s="3" t="n">
        <f>IFERROR(SUMPRODUCT((RENT_RECEIVED!$B$2:$B$1000="LEASE-BH-F24-2025")*(RENT_RECEIVED!$E$2:$E$1000&gt;=DATE(2025,9,22))*(RENT_RECEIVED!$E$2:$E$1000&lt;=DATE(2025,10,21))*RENT_RECEIVED!$O$2:$O$1000), 0)</f>
        <v>0.0</v>
      </c>
      <c r="I29" t="inlineStr">
        <is>
          <t/>
        </is>
      </c>
      <c r="J29" s="3" t="n">
        <f>IFERROR(SUMIFS(RENT_DUE!$L$2:$L$10000, RENT_DUE!$B$2:$B$10000, "LEASE-BH-F24-2025", RENT_DUE!$D$2:$D$10000, "&lt;"&amp;DATE(2025,9,22)), 0) - IFERROR(SUMIFS(RENT_RECEIVED!$O$2:$O$10000, RENT_RECEIVED!$B$2:$B$10000, "LEASE-BH-F24-2025", RENT_RECEIVED!$E$2:$E$10000, "&lt;"&amp;DATE(2025,9,22)), 0)</f>
        <v>0.0</v>
      </c>
      <c r="K29" s="3" t="n">
        <f>G29 - H29</f>
        <v>0.0</v>
      </c>
      <c r="L29" s="3" t="n">
        <f>J29 + K29</f>
        <v>0.0</v>
      </c>
      <c r="M29" s="3" t="n">
        <f>H29 * 0.1500</f>
        <v>0.0</v>
      </c>
      <c r="N29" s="3" t="n">
        <f>H29 * 0.0000</f>
        <v>0.0</v>
      </c>
      <c r="O29" s="3" t="n">
        <f>ABS(M29 + N29)</f>
        <v>0.0</v>
      </c>
      <c r="P29" t="inlineStr">
        <is>
          <t/>
        </is>
      </c>
      <c r="Q29" s="3" t="n">
        <f>SUMIFS(EXPENSES!E:E, EXPENSES!B:B, "LEASE-BH-F24-2025", EXPENSES!D:D, "&gt;="&amp;DATE(2025,9,22), EXPENSES!D:D, "&lt;="&amp;DATE(2025,10,21))</f>
        <v>0.0</v>
      </c>
      <c r="R29" t="inlineStr">
        <is>
          <t/>
        </is>
      </c>
      <c r="S29" s="3" t="n">
        <f>H29 - O29 - Q29</f>
        <v>0.0</v>
      </c>
      <c r="T29" t="inlineStr">
        <is>
          <t/>
        </is>
      </c>
      <c r="U29" t="inlineStr">
        <is>
          <t/>
        </is>
      </c>
      <c r="V29" t="inlineStr">
        <is>
          <t/>
        </is>
      </c>
      <c r="W29" t="inlineStr">
        <is>
          <t/>
        </is>
      </c>
      <c r="X29" t="inlineStr">
        <is>
          <t/>
        </is>
      </c>
      <c r="Y29" s="3" t="n">
        <v>6765.0</v>
      </c>
      <c r="Z29" s="3" t="n">
        <f>S29-Y29</f>
        <v>0.0</v>
      </c>
      <c r="AA29" t="inlineStr">
        <is>
          <t>PAID</t>
        </is>
      </c>
      <c r="AB29" t="inlineStr">
        <is>
          <t>MULTIPLE</t>
        </is>
      </c>
      <c r="AC29" s="2" t="n">
        <v>45982.0</v>
      </c>
    </row>
    <row r="30">
      <c r="A30" t="inlineStr">
        <is>
          <t>LEASE-BH-F26-2025</t>
        </is>
      </c>
      <c r="B30" t="inlineStr">
        <is>
          <t>Flat 26 - 3 West Gate</t>
        </is>
      </c>
      <c r="C30" t="inlineStr">
        <is>
          <t>Achal (Delegated for Udayan)</t>
        </is>
      </c>
      <c r="D30" t="inlineStr">
        <is>
          <t>Mr Louis Scotting</t>
        </is>
      </c>
      <c r="E30" s="2" t="n">
        <v>45730.0</v>
      </c>
      <c r="F30" t="n">
        <v>14.0</v>
      </c>
      <c r="G30" s="3" t="n">
        <f>IFERROR(SUMPRODUCT((RENT_DUE!$B$2:$B$1000="LEASE-BH-F26-2025")*(RENT_DUE!$D$2:$D$1000&gt;=DATE(2025,9,22))*(RENT_DUE!$D$2:$D$1000&lt;=DATE(2025,10,21))*RENT_DUE!$L$2:$L$1000), 0)</f>
        <v>0.0</v>
      </c>
      <c r="H30" s="3" t="n">
        <f>IFERROR(SUMPRODUCT((RENT_RECEIVED!$B$2:$B$1000="LEASE-BH-F26-2025")*(RENT_RECEIVED!$E$2:$E$1000&gt;=DATE(2025,9,22))*(RENT_RECEIVED!$E$2:$E$1000&lt;=DATE(2025,10,21))*RENT_RECEIVED!$O$2:$O$1000), 0)</f>
        <v>0.0</v>
      </c>
      <c r="I30" t="inlineStr">
        <is>
          <t>HIST-2025-12-1654</t>
        </is>
      </c>
      <c r="J30" s="3" t="n">
        <f>IFERROR(SUMIFS(RENT_DUE!$L$2:$L$10000, RENT_DUE!$B$2:$B$10000, "LEASE-BH-F26-2025", RENT_DUE!$D$2:$D$10000, "&lt;"&amp;DATE(2025,9,22)), 0) - IFERROR(SUMIFS(RENT_RECEIVED!$O$2:$O$10000, RENT_RECEIVED!$B$2:$B$10000, "LEASE-BH-F26-2025", RENT_RECEIVED!$E$2:$E$10000, "&lt;"&amp;DATE(2025,9,22)), 0)</f>
        <v>0.0</v>
      </c>
      <c r="K30" s="3" t="n">
        <f>G30 - H30</f>
        <v>0.0</v>
      </c>
      <c r="L30" s="3" t="n">
        <f>J30 + K30</f>
        <v>0.0</v>
      </c>
      <c r="M30" s="3" t="n">
        <f>H30 * 0.1500</f>
        <v>0.0</v>
      </c>
      <c r="N30" s="3" t="n">
        <f>H30 * 0.0000</f>
        <v>0.0</v>
      </c>
      <c r="O30" s="3" t="n">
        <f>ABS(M30 + N30)</f>
        <v>0.0</v>
      </c>
      <c r="P30" t="inlineStr">
        <is>
          <t/>
        </is>
      </c>
      <c r="Q30" s="3" t="n">
        <f>SUMIFS(EXPENSES!E:E, EXPENSES!B:B, "LEASE-BH-F26-2025", EXPENSES!D:D, "&gt;="&amp;DATE(2025,9,22), EXPENSES!D:D, "&lt;="&amp;DATE(2025,10,21))</f>
        <v>0.0</v>
      </c>
      <c r="R30" t="inlineStr">
        <is>
          <t/>
        </is>
      </c>
      <c r="S30" s="3" t="n">
        <f>H30 - O30 - Q30</f>
        <v>0.0</v>
      </c>
      <c r="T30" t="inlineStr">
        <is>
          <t/>
        </is>
      </c>
      <c r="U30" t="inlineStr">
        <is>
          <t/>
        </is>
      </c>
      <c r="V30" t="inlineStr">
        <is>
          <t/>
        </is>
      </c>
      <c r="W30" t="inlineStr">
        <is>
          <t/>
        </is>
      </c>
      <c r="X30" t="inlineStr">
        <is>
          <t/>
        </is>
      </c>
      <c r="Y30" s="3" t="n">
        <v>5163.75</v>
      </c>
      <c r="Z30" s="3" t="n">
        <f>S30-Y30</f>
        <v>0.0</v>
      </c>
      <c r="AA30" t="inlineStr">
        <is>
          <t>PAID</t>
        </is>
      </c>
      <c r="AB30" t="inlineStr">
        <is>
          <t>MULTIPLE</t>
        </is>
      </c>
      <c r="AC30" s="2" t="n">
        <v>45992.0</v>
      </c>
    </row>
    <row r="31">
      <c r="A31" t="inlineStr">
        <is>
          <t>LEASE-BH-F27-2025</t>
        </is>
      </c>
      <c r="B31" t="inlineStr">
        <is>
          <t>Flat 27 - 3 West Gate</t>
        </is>
      </c>
      <c r="C31" t="inlineStr">
        <is>
          <t>Achal (Delegated for Udayan)</t>
        </is>
      </c>
      <c r="D31" t="inlineStr">
        <is>
          <t>Miss Sophie Murray</t>
        </is>
      </c>
      <c r="E31" s="2" t="n">
        <v>45716.0</v>
      </c>
      <c r="F31" t="n">
        <v>30.0</v>
      </c>
      <c r="G31" s="3" t="n">
        <f>IFERROR(SUMPRODUCT((RENT_DUE!$B$2:$B$1000="LEASE-BH-F27-2025")*(RENT_DUE!$D$2:$D$1000&gt;=DATE(2025,9,22))*(RENT_DUE!$D$2:$D$1000&lt;=DATE(2025,10,21))*RENT_DUE!$L$2:$L$1000), 0)</f>
        <v>0.0</v>
      </c>
      <c r="H31" s="3" t="n">
        <f>IFERROR(SUMPRODUCT((RENT_RECEIVED!$B$2:$B$1000="LEASE-BH-F27-2025")*(RENT_RECEIVED!$E$2:$E$1000&gt;=DATE(2025,9,22))*(RENT_RECEIVED!$E$2:$E$1000&lt;=DATE(2025,10,21))*RENT_RECEIVED!$O$2:$O$1000), 0)</f>
        <v>0.0</v>
      </c>
      <c r="I31" t="inlineStr">
        <is>
          <t>QZGNwwqb19</t>
        </is>
      </c>
      <c r="J31" s="3" t="n">
        <f>IFERROR(SUMIFS(RENT_DUE!$L$2:$L$10000, RENT_DUE!$B$2:$B$10000, "LEASE-BH-F27-2025", RENT_DUE!$D$2:$D$10000, "&lt;"&amp;DATE(2025,9,22)), 0) - IFERROR(SUMIFS(RENT_RECEIVED!$O$2:$O$10000, RENT_RECEIVED!$B$2:$B$10000, "LEASE-BH-F27-2025", RENT_RECEIVED!$E$2:$E$10000, "&lt;"&amp;DATE(2025,9,22)), 0)</f>
        <v>0.0</v>
      </c>
      <c r="K31" s="3" t="n">
        <f>G31 - H31</f>
        <v>0.0</v>
      </c>
      <c r="L31" s="3" t="n">
        <f>J31 + K31</f>
        <v>0.0</v>
      </c>
      <c r="M31" s="3" t="n">
        <f>H31 * 0.1500</f>
        <v>0.0</v>
      </c>
      <c r="N31" s="3" t="n">
        <f>H31 * 0.0000</f>
        <v>0.0</v>
      </c>
      <c r="O31" s="3" t="n">
        <f>ABS(M31 + N31)</f>
        <v>0.0</v>
      </c>
      <c r="P31" t="inlineStr">
        <is>
          <t/>
        </is>
      </c>
      <c r="Q31" s="3" t="n">
        <f>SUMIFS(EXPENSES!E:E, EXPENSES!B:B, "LEASE-BH-F27-2025", EXPENSES!D:D, "&gt;="&amp;DATE(2025,9,22), EXPENSES!D:D, "&lt;="&amp;DATE(2025,10,21))</f>
        <v>0.0</v>
      </c>
      <c r="R31" t="inlineStr">
        <is>
          <t/>
        </is>
      </c>
      <c r="S31" s="3" t="n">
        <f>H31 - O31 - Q31</f>
        <v>0.0</v>
      </c>
      <c r="T31" t="inlineStr">
        <is>
          <t/>
        </is>
      </c>
      <c r="U31" t="inlineStr">
        <is>
          <t/>
        </is>
      </c>
      <c r="V31" t="inlineStr">
        <is>
          <t/>
        </is>
      </c>
      <c r="W31" t="inlineStr">
        <is>
          <t/>
        </is>
      </c>
      <c r="X31" t="inlineStr">
        <is>
          <t/>
        </is>
      </c>
      <c r="Y31" s="3" t="n">
        <v>5355.0</v>
      </c>
      <c r="Z31" s="3" t="n">
        <f>S31-Y31</f>
        <v>0.0</v>
      </c>
      <c r="AA31" t="inlineStr">
        <is>
          <t>PAID</t>
        </is>
      </c>
      <c r="AB31" t="inlineStr">
        <is>
          <t>MULTIPLE</t>
        </is>
      </c>
      <c r="AC31" s="2" t="n">
        <v>45982.0</v>
      </c>
    </row>
    <row r="32">
      <c r="A32" t="inlineStr">
        <is>
          <t>LEASE-BH-F28-2025</t>
        </is>
      </c>
      <c r="B32" t="inlineStr">
        <is>
          <t>Flat 28 - 3 West Gate</t>
        </is>
      </c>
      <c r="C32" t="inlineStr">
        <is>
          <t>Achal (Delegated for Udayan)</t>
        </is>
      </c>
      <c r="D32" t="inlineStr">
        <is>
          <t>Ms Shiu Lun Cheung, Mr Chi Man Poon</t>
        </is>
      </c>
      <c r="E32" s="2" t="n">
        <v>45744.0</v>
      </c>
      <c r="F32" t="n">
        <v>18.0</v>
      </c>
      <c r="G32" s="3" t="n">
        <f>IFERROR(SUMPRODUCT((RENT_DUE!$B$2:$B$1000="LEASE-BH-F28-2025")*(RENT_DUE!$D$2:$D$1000&gt;=DATE(2025,9,22))*(RENT_DUE!$D$2:$D$1000&lt;=DATE(2025,10,21))*RENT_DUE!$L$2:$L$1000), 0)</f>
        <v>0.0</v>
      </c>
      <c r="H32" s="3" t="n">
        <f>IFERROR(SUMPRODUCT((RENT_RECEIVED!$B$2:$B$1000="LEASE-BH-F28-2025")*(RENT_RECEIVED!$E$2:$E$1000&gt;=DATE(2025,9,22))*(RENT_RECEIVED!$E$2:$E$1000&lt;=DATE(2025,10,21))*RENT_RECEIVED!$O$2:$O$1000), 0)</f>
        <v>0.0</v>
      </c>
      <c r="I32" t="inlineStr">
        <is>
          <t/>
        </is>
      </c>
      <c r="J32" s="3" t="n">
        <f>IFERROR(SUMIFS(RENT_DUE!$L$2:$L$10000, RENT_DUE!$B$2:$B$10000, "LEASE-BH-F28-2025", RENT_DUE!$D$2:$D$10000, "&lt;"&amp;DATE(2025,9,22)), 0) - IFERROR(SUMIFS(RENT_RECEIVED!$O$2:$O$10000, RENT_RECEIVED!$B$2:$B$10000, "LEASE-BH-F28-2025", RENT_RECEIVED!$E$2:$E$10000, "&lt;"&amp;DATE(2025,9,22)), 0)</f>
        <v>0.0</v>
      </c>
      <c r="K32" s="3" t="n">
        <f>G32 - H32</f>
        <v>0.0</v>
      </c>
      <c r="L32" s="3" t="n">
        <f>J32 + K32</f>
        <v>0.0</v>
      </c>
      <c r="M32" s="3" t="n">
        <f>H32 * 0.1500</f>
        <v>0.0</v>
      </c>
      <c r="N32" s="3" t="n">
        <f>H32 * 0.0000</f>
        <v>0.0</v>
      </c>
      <c r="O32" s="3" t="n">
        <f>ABS(M32 + N32)</f>
        <v>0.0</v>
      </c>
      <c r="P32" t="inlineStr">
        <is>
          <t/>
        </is>
      </c>
      <c r="Q32" s="3" t="n">
        <f>SUMIFS(EXPENSES!E:E, EXPENSES!B:B, "LEASE-BH-F28-2025", EXPENSES!D:D, "&gt;="&amp;DATE(2025,9,22), EXPENSES!D:D, "&lt;="&amp;DATE(2025,10,21))</f>
        <v>0.0</v>
      </c>
      <c r="R32" t="inlineStr">
        <is>
          <t/>
        </is>
      </c>
      <c r="S32" s="3" t="n">
        <f>H32 - O32 - Q32</f>
        <v>0.0</v>
      </c>
      <c r="T32" t="inlineStr">
        <is>
          <t/>
        </is>
      </c>
      <c r="U32" t="inlineStr">
        <is>
          <t/>
        </is>
      </c>
      <c r="V32" t="inlineStr">
        <is>
          <t/>
        </is>
      </c>
      <c r="W32" t="inlineStr">
        <is>
          <t/>
        </is>
      </c>
      <c r="X32" t="inlineStr">
        <is>
          <t/>
        </is>
      </c>
      <c r="Y32" s="3" t="n">
        <v>0.0</v>
      </c>
      <c r="Z32" s="3" t="n">
        <f>S32-Y32</f>
        <v>0.0</v>
      </c>
      <c r="AA32" t="inlineStr">
        <is>
          <t>PAID</t>
        </is>
      </c>
      <c r="AB32" t="inlineStr">
        <is>
          <t>HIST-2025-10-1650</t>
        </is>
      </c>
      <c r="AC32" s="2" t="n">
        <v>45951.0</v>
      </c>
    </row>
    <row r="33">
      <c r="A33" t="inlineStr">
        <is>
          <t>LEASE-BH-F29-2025</t>
        </is>
      </c>
      <c r="B33" t="inlineStr">
        <is>
          <t>Flat 29 - 3 West Gate</t>
        </is>
      </c>
      <c r="C33" t="inlineStr">
        <is>
          <t>Achal (Delegated for Udayan)</t>
        </is>
      </c>
      <c r="D33" t="inlineStr">
        <is>
          <t>Mrs Margaret Fritchley</t>
        </is>
      </c>
      <c r="E33" s="2" t="n">
        <v>45715.0</v>
      </c>
      <c r="F33" t="n">
        <v>27.0</v>
      </c>
      <c r="G33" s="3" t="n">
        <f>IFERROR(SUMPRODUCT((RENT_DUE!$B$2:$B$1000="LEASE-BH-F29-2025")*(RENT_DUE!$D$2:$D$1000&gt;=DATE(2025,9,22))*(RENT_DUE!$D$2:$D$1000&lt;=DATE(2025,10,21))*RENT_DUE!$L$2:$L$1000), 0)</f>
        <v>0.0</v>
      </c>
      <c r="H33" s="3" t="n">
        <f>IFERROR(SUMPRODUCT((RENT_RECEIVED!$B$2:$B$1000="LEASE-BH-F29-2025")*(RENT_RECEIVED!$E$2:$E$1000&gt;=DATE(2025,9,22))*(RENT_RECEIVED!$E$2:$E$1000&lt;=DATE(2025,10,21))*RENT_RECEIVED!$O$2:$O$1000), 0)</f>
        <v>0.0</v>
      </c>
      <c r="I33" t="inlineStr">
        <is>
          <t>QZGNwwqb19</t>
        </is>
      </c>
      <c r="J33" s="3" t="n">
        <f>IFERROR(SUMIFS(RENT_DUE!$L$2:$L$10000, RENT_DUE!$B$2:$B$10000, "LEASE-BH-F29-2025", RENT_DUE!$D$2:$D$10000, "&lt;"&amp;DATE(2025,9,22)), 0) - IFERROR(SUMIFS(RENT_RECEIVED!$O$2:$O$10000, RENT_RECEIVED!$B$2:$B$10000, "LEASE-BH-F29-2025", RENT_RECEIVED!$E$2:$E$10000, "&lt;"&amp;DATE(2025,9,22)), 0)</f>
        <v>0.0</v>
      </c>
      <c r="K33" s="3" t="n">
        <f>G33 - H33</f>
        <v>0.0</v>
      </c>
      <c r="L33" s="3" t="n">
        <f>J33 + K33</f>
        <v>0.0</v>
      </c>
      <c r="M33" s="3" t="n">
        <f>H33 * 0.1500</f>
        <v>0.0</v>
      </c>
      <c r="N33" s="3" t="n">
        <f>H33 * 0.0000</f>
        <v>0.0</v>
      </c>
      <c r="O33" s="3" t="n">
        <f>ABS(M33 + N33)</f>
        <v>0.0</v>
      </c>
      <c r="P33" t="inlineStr">
        <is>
          <t/>
        </is>
      </c>
      <c r="Q33" s="3" t="n">
        <f>SUMIFS(EXPENSES!E:E, EXPENSES!B:B, "LEASE-BH-F29-2025", EXPENSES!D:D, "&gt;="&amp;DATE(2025,9,22), EXPENSES!D:D, "&lt;="&amp;DATE(2025,10,21))</f>
        <v>0.0</v>
      </c>
      <c r="R33" t="inlineStr">
        <is>
          <t/>
        </is>
      </c>
      <c r="S33" s="3" t="n">
        <f>H33 - O33 - Q33</f>
        <v>0.0</v>
      </c>
      <c r="T33" t="inlineStr">
        <is>
          <t/>
        </is>
      </c>
      <c r="U33" t="inlineStr">
        <is>
          <t/>
        </is>
      </c>
      <c r="V33" t="inlineStr">
        <is>
          <t/>
        </is>
      </c>
      <c r="W33" t="inlineStr">
        <is>
          <t/>
        </is>
      </c>
      <c r="X33" t="inlineStr">
        <is>
          <t/>
        </is>
      </c>
      <c r="Y33" s="3" t="n">
        <v>5541.0</v>
      </c>
      <c r="Z33" s="3" t="n">
        <f>S33-Y33</f>
        <v>0.0</v>
      </c>
      <c r="AA33" t="inlineStr">
        <is>
          <t>PAID</t>
        </is>
      </c>
      <c r="AB33" t="inlineStr">
        <is>
          <t>MULTIPLE</t>
        </is>
      </c>
      <c r="AC33" s="2" t="n">
        <v>45982.0</v>
      </c>
    </row>
    <row r="34">
      <c r="A34" t="inlineStr">
        <is>
          <t>LEASE-BH-F30-2025</t>
        </is>
      </c>
      <c r="B34" t="inlineStr">
        <is>
          <t>Flat 30 - 3 West Gate</t>
        </is>
      </c>
      <c r="C34" t="inlineStr">
        <is>
          <t>Achal (Delegated for Udayan)</t>
        </is>
      </c>
      <c r="D34" t="inlineStr">
        <is>
          <t>Mr Joel Bryan</t>
        </is>
      </c>
      <c r="E34" s="2" t="n">
        <v>45722.0</v>
      </c>
      <c r="F34" t="n">
        <v>6.0</v>
      </c>
      <c r="G34" s="3" t="n">
        <f>IFERROR(SUMPRODUCT((RENT_DUE!$B$2:$B$1000="LEASE-BH-F30-2025")*(RENT_DUE!$D$2:$D$1000&gt;=DATE(2025,9,22))*(RENT_DUE!$D$2:$D$1000&lt;=DATE(2025,10,21))*RENT_DUE!$L$2:$L$1000), 0)</f>
        <v>0.0</v>
      </c>
      <c r="H34" s="3" t="n">
        <f>IFERROR(SUMPRODUCT((RENT_RECEIVED!$B$2:$B$1000="LEASE-BH-F30-2025")*(RENT_RECEIVED!$E$2:$E$1000&gt;=DATE(2025,9,22))*(RENT_RECEIVED!$E$2:$E$1000&lt;=DATE(2025,10,21))*RENT_RECEIVED!$O$2:$O$1000), 0)</f>
        <v>0.0</v>
      </c>
      <c r="I34" t="inlineStr">
        <is>
          <t>HIST-2025-12-1654</t>
        </is>
      </c>
      <c r="J34" s="3" t="n">
        <f>IFERROR(SUMIFS(RENT_DUE!$L$2:$L$10000, RENT_DUE!$B$2:$B$10000, "LEASE-BH-F30-2025", RENT_DUE!$D$2:$D$10000, "&lt;"&amp;DATE(2025,9,22)), 0) - IFERROR(SUMIFS(RENT_RECEIVED!$O$2:$O$10000, RENT_RECEIVED!$B$2:$B$10000, "LEASE-BH-F30-2025", RENT_RECEIVED!$E$2:$E$10000, "&lt;"&amp;DATE(2025,9,22)), 0)</f>
        <v>0.0</v>
      </c>
      <c r="K34" s="3" t="n">
        <f>G34 - H34</f>
        <v>0.0</v>
      </c>
      <c r="L34" s="3" t="n">
        <f>J34 + K34</f>
        <v>0.0</v>
      </c>
      <c r="M34" s="3" t="n">
        <f>H34 * 0.1500</f>
        <v>0.0</v>
      </c>
      <c r="N34" s="3" t="n">
        <f>H34 * 0.0000</f>
        <v>0.0</v>
      </c>
      <c r="O34" s="3" t="n">
        <f>ABS(M34 + N34)</f>
        <v>0.0</v>
      </c>
      <c r="P34" t="inlineStr">
        <is>
          <t/>
        </is>
      </c>
      <c r="Q34" s="3" t="n">
        <f>SUMIFS(EXPENSES!E:E, EXPENSES!B:B, "LEASE-BH-F30-2025", EXPENSES!D:D, "&gt;="&amp;DATE(2025,9,22), EXPENSES!D:D, "&lt;="&amp;DATE(2025,10,21))</f>
        <v>0.0</v>
      </c>
      <c r="R34" t="inlineStr">
        <is>
          <t/>
        </is>
      </c>
      <c r="S34" s="3" t="n">
        <f>H34 - O34 - Q34</f>
        <v>0.0</v>
      </c>
      <c r="T34" t="inlineStr">
        <is>
          <t/>
        </is>
      </c>
      <c r="U34" t="inlineStr">
        <is>
          <t/>
        </is>
      </c>
      <c r="V34" t="inlineStr">
        <is>
          <t/>
        </is>
      </c>
      <c r="W34" t="inlineStr">
        <is>
          <t/>
        </is>
      </c>
      <c r="X34" t="inlineStr">
        <is>
          <t/>
        </is>
      </c>
      <c r="Y34" s="3" t="n">
        <v>5032.0</v>
      </c>
      <c r="Z34" s="3" t="n">
        <f>S34-Y34</f>
        <v>0.0</v>
      </c>
      <c r="AA34" t="inlineStr">
        <is>
          <t>PAID</t>
        </is>
      </c>
      <c r="AB34" t="inlineStr">
        <is>
          <t>MULTIPLE</t>
        </is>
      </c>
      <c r="AC34" s="2" t="n">
        <v>45992.0</v>
      </c>
    </row>
    <row r="35">
      <c r="A35" t="inlineStr">
        <is>
          <t>LEASE-BH-PS1-2025</t>
        </is>
      </c>
      <c r="B35" t="inlineStr">
        <is>
          <t>Parking Space 1 - 3 West Gate</t>
        </is>
      </c>
      <c r="C35" t="inlineStr">
        <is>
          <t>Achal (Delegated for Udayan)</t>
        </is>
      </c>
      <c r="D35" t="inlineStr">
        <is>
          <t>Mr Shermal Wijesinghage, Mrs Udeshika Dona</t>
        </is>
      </c>
      <c r="E35" s="2" t="n">
        <v>45842.0</v>
      </c>
      <c r="F35" t="n">
        <v>4.0</v>
      </c>
      <c r="G35" s="3" t="n">
        <f>IFERROR(SUMPRODUCT((RENT_DUE!$B$2:$B$1000="LEASE-BH-PS1-2025")*(RENT_DUE!$D$2:$D$1000&gt;=DATE(2025,9,22))*(RENT_DUE!$D$2:$D$1000&lt;=DATE(2025,10,21))*RENT_DUE!$L$2:$L$1000), 0)</f>
        <v>0.0</v>
      </c>
      <c r="H35" s="3" t="n">
        <f>IFERROR(SUMPRODUCT((RENT_RECEIVED!$B$2:$B$1000="LEASE-BH-PS1-2025")*(RENT_RECEIVED!$E$2:$E$1000&gt;=DATE(2025,9,22))*(RENT_RECEIVED!$E$2:$E$1000&lt;=DATE(2025,10,21))*RENT_RECEIVED!$O$2:$O$1000), 0)</f>
        <v>0.0</v>
      </c>
      <c r="I35" t="inlineStr">
        <is>
          <t/>
        </is>
      </c>
      <c r="J35" s="3" t="n">
        <f>IFERROR(SUMIFS(RENT_DUE!$L$2:$L$10000, RENT_DUE!$B$2:$B$10000, "LEASE-BH-PS1-2025", RENT_DUE!$D$2:$D$10000, "&lt;"&amp;DATE(2025,9,22)), 0) - IFERROR(SUMIFS(RENT_RECEIVED!$O$2:$O$10000, RENT_RECEIVED!$B$2:$B$10000, "LEASE-BH-PS1-2025", RENT_RECEIVED!$E$2:$E$10000, "&lt;"&amp;DATE(2025,9,22)), 0)</f>
        <v>0.0</v>
      </c>
      <c r="K35" s="3" t="n">
        <f>G35 - H35</f>
        <v>0.0</v>
      </c>
      <c r="L35" s="3" t="n">
        <f>J35 + K35</f>
        <v>0.0</v>
      </c>
      <c r="M35" s="3" t="n">
        <f>H35 * 0.1500</f>
        <v>0.0</v>
      </c>
      <c r="N35" s="3" t="n">
        <f>H35 * 0.0000</f>
        <v>0.0</v>
      </c>
      <c r="O35" s="3" t="n">
        <f>ABS(M35 + N35)</f>
        <v>0.0</v>
      </c>
      <c r="P35" t="inlineStr">
        <is>
          <t/>
        </is>
      </c>
      <c r="Q35" s="3" t="n">
        <f>SUMIFS(EXPENSES!E:E, EXPENSES!B:B, "LEASE-BH-PS1-2025", EXPENSES!D:D, "&gt;="&amp;DATE(2025,9,22), EXPENSES!D:D, "&lt;="&amp;DATE(2025,10,21))</f>
        <v>0.0</v>
      </c>
      <c r="R35" t="inlineStr">
        <is>
          <t/>
        </is>
      </c>
      <c r="S35" s="3" t="n">
        <f>H35 - O35 - Q35</f>
        <v>0.0</v>
      </c>
      <c r="T35" t="inlineStr">
        <is>
          <t/>
        </is>
      </c>
      <c r="U35" t="inlineStr">
        <is>
          <t/>
        </is>
      </c>
      <c r="V35" t="inlineStr">
        <is>
          <t/>
        </is>
      </c>
      <c r="W35" t="inlineStr">
        <is>
          <t/>
        </is>
      </c>
      <c r="X35" t="inlineStr">
        <is>
          <t/>
        </is>
      </c>
      <c r="Y35" s="3" t="n">
        <v>0.0</v>
      </c>
      <c r="Z35" s="3" t="n">
        <f>S35-Y35</f>
        <v>0.0</v>
      </c>
      <c r="AA35" t="inlineStr">
        <is>
          <t>NONE</t>
        </is>
      </c>
      <c r="AB35" t="inlineStr">
        <is>
          <t>-</t>
        </is>
      </c>
      <c r="AC35" t="inlineStr">
        <is>
          <t/>
        </is>
      </c>
    </row>
    <row r="36">
      <c r="A36" t="inlineStr">
        <is>
          <t>LEASE-BH-PS2-2025</t>
        </is>
      </c>
      <c r="B36" t="inlineStr">
        <is>
          <t>Parking Space 2 - 3 West Gate</t>
        </is>
      </c>
      <c r="C36" t="inlineStr">
        <is>
          <t>Achal (Delegated for Udayan)</t>
        </is>
      </c>
      <c r="D36" t="inlineStr">
        <is>
          <t>Nirmali Gedara and Janith Hetti Arachchilage</t>
        </is>
      </c>
      <c r="E36" s="2" t="n">
        <v>45852.0</v>
      </c>
      <c r="F36" t="n">
        <v>14.0</v>
      </c>
      <c r="G36" s="3" t="n">
        <f>IFERROR(SUMPRODUCT((RENT_DUE!$B$2:$B$1000="LEASE-BH-PS2-2025")*(RENT_DUE!$D$2:$D$1000&gt;=DATE(2025,9,22))*(RENT_DUE!$D$2:$D$1000&lt;=DATE(2025,10,21))*RENT_DUE!$L$2:$L$1000), 0)</f>
        <v>0.0</v>
      </c>
      <c r="H36" s="3" t="n">
        <f>IFERROR(SUMPRODUCT((RENT_RECEIVED!$B$2:$B$1000="LEASE-BH-PS2-2025")*(RENT_RECEIVED!$E$2:$E$1000&gt;=DATE(2025,9,22))*(RENT_RECEIVED!$E$2:$E$1000&lt;=DATE(2025,10,21))*RENT_RECEIVED!$O$2:$O$1000), 0)</f>
        <v>0.0</v>
      </c>
      <c r="I36" t="inlineStr">
        <is>
          <t/>
        </is>
      </c>
      <c r="J36" s="3" t="n">
        <f>IFERROR(SUMIFS(RENT_DUE!$L$2:$L$10000, RENT_DUE!$B$2:$B$10000, "LEASE-BH-PS2-2025", RENT_DUE!$D$2:$D$10000, "&lt;"&amp;DATE(2025,9,22)), 0) - IFERROR(SUMIFS(RENT_RECEIVED!$O$2:$O$10000, RENT_RECEIVED!$B$2:$B$10000, "LEASE-BH-PS2-2025", RENT_RECEIVED!$E$2:$E$10000, "&lt;"&amp;DATE(2025,9,22)), 0)</f>
        <v>0.0</v>
      </c>
      <c r="K36" s="3" t="n">
        <f>G36 - H36</f>
        <v>0.0</v>
      </c>
      <c r="L36" s="3" t="n">
        <f>J36 + K36</f>
        <v>0.0</v>
      </c>
      <c r="M36" s="3" t="n">
        <f>H36 * 0.1500</f>
        <v>0.0</v>
      </c>
      <c r="N36" s="3" t="n">
        <f>H36 * 0.0000</f>
        <v>0.0</v>
      </c>
      <c r="O36" s="3" t="n">
        <f>ABS(M36 + N36)</f>
        <v>0.0</v>
      </c>
      <c r="P36" t="inlineStr">
        <is>
          <t/>
        </is>
      </c>
      <c r="Q36" s="3" t="n">
        <f>SUMIFS(EXPENSES!E:E, EXPENSES!B:B, "LEASE-BH-PS2-2025", EXPENSES!D:D, "&gt;="&amp;DATE(2025,9,22), EXPENSES!D:D, "&lt;="&amp;DATE(2025,10,21))</f>
        <v>0.0</v>
      </c>
      <c r="R36" t="inlineStr">
        <is>
          <t/>
        </is>
      </c>
      <c r="S36" s="3" t="n">
        <f>H36 - O36 - Q36</f>
        <v>0.0</v>
      </c>
      <c r="T36" t="inlineStr">
        <is>
          <t/>
        </is>
      </c>
      <c r="U36" t="inlineStr">
        <is>
          <t/>
        </is>
      </c>
      <c r="V36" t="inlineStr">
        <is>
          <t/>
        </is>
      </c>
      <c r="W36" t="inlineStr">
        <is>
          <t/>
        </is>
      </c>
      <c r="X36" t="inlineStr">
        <is>
          <t/>
        </is>
      </c>
      <c r="Y36" s="3" t="n">
        <v>0.0</v>
      </c>
      <c r="Z36" s="3" t="n">
        <f>S36-Y36</f>
        <v>0.0</v>
      </c>
      <c r="AA36" t="inlineStr">
        <is>
          <t>NONE</t>
        </is>
      </c>
      <c r="AB36" t="inlineStr">
        <is>
          <t>-</t>
        </is>
      </c>
      <c r="AC36" t="inlineStr">
        <is>
          <t/>
        </is>
      </c>
    </row>
    <row r="37">
      <c r="A37" t="inlineStr">
        <is>
          <t>LEASE-KH-F-2024</t>
        </is>
      </c>
      <c r="B37" t="inlineStr">
        <is>
          <t>Apartment F - Knighton Hayes Manor</t>
        </is>
      </c>
      <c r="C37" t="inlineStr">
        <is>
          <t>Achal (Delegated for Udayan)</t>
        </is>
      </c>
      <c r="D37" t="inlineStr">
        <is>
          <t>Mr Riaz Hamid, Ismat Tarr-Hamid</t>
        </is>
      </c>
      <c r="E37" s="2" t="n">
        <v>45648.0</v>
      </c>
      <c r="F37" t="n">
        <v>22.0</v>
      </c>
      <c r="G37" s="3" t="n">
        <f>IFERROR(SUMPRODUCT((RENT_DUE!$B$2:$B$1000="LEASE-KH-F-2024")*(RENT_DUE!$D$2:$D$1000&gt;=DATE(2025,9,22))*(RENT_DUE!$D$2:$D$1000&lt;=DATE(2025,10,21))*RENT_DUE!$L$2:$L$1000), 0)</f>
        <v>0.0</v>
      </c>
      <c r="H37" s="3" t="n">
        <f>IFERROR(SUMPRODUCT((RENT_RECEIVED!$B$2:$B$1000="LEASE-KH-F-2024")*(RENT_RECEIVED!$E$2:$E$1000&gt;=DATE(2025,9,22))*(RENT_RECEIVED!$E$2:$E$1000&lt;=DATE(2025,10,21))*RENT_RECEIVED!$O$2:$O$1000), 0)</f>
        <v>0.0</v>
      </c>
      <c r="I37" t="inlineStr">
        <is>
          <t>QZGNwwqb19</t>
        </is>
      </c>
      <c r="J37" s="3" t="n">
        <f>IFERROR(SUMIFS(RENT_DUE!$L$2:$L$10000, RENT_DUE!$B$2:$B$10000, "LEASE-KH-F-2024", RENT_DUE!$D$2:$D$10000, "&lt;"&amp;DATE(2025,9,22)), 0) - IFERROR(SUMIFS(RENT_RECEIVED!$O$2:$O$10000, RENT_RECEIVED!$B$2:$B$10000, "LEASE-KH-F-2024", RENT_RECEIVED!$E$2:$E$10000, "&lt;"&amp;DATE(2025,9,22)), 0)</f>
        <v>0.0</v>
      </c>
      <c r="K37" s="3" t="n">
        <f>G37 - H37</f>
        <v>0.0</v>
      </c>
      <c r="L37" s="3" t="n">
        <f>J37 + K37</f>
        <v>0.0</v>
      </c>
      <c r="M37" s="3" t="n">
        <f>H37 * 0.1000</f>
        <v>0.0</v>
      </c>
      <c r="N37" s="3" t="n">
        <f>H37 * 0.0000</f>
        <v>0.0</v>
      </c>
      <c r="O37" s="3" t="n">
        <f>ABS(M37 + N37)</f>
        <v>0.0</v>
      </c>
      <c r="P37" t="inlineStr">
        <is>
          <t/>
        </is>
      </c>
      <c r="Q37" s="3" t="n">
        <f>SUMIFS(EXPENSES!E:E, EXPENSES!B:B, "LEASE-KH-F-2024", EXPENSES!D:D, "&gt;="&amp;DATE(2025,9,22), EXPENSES!D:D, "&lt;="&amp;DATE(2025,10,21))</f>
        <v>0.0</v>
      </c>
      <c r="R37" t="inlineStr">
        <is>
          <t/>
        </is>
      </c>
      <c r="S37" s="3" t="n">
        <f>H37 - O37 - Q37</f>
        <v>0.0</v>
      </c>
      <c r="T37" t="inlineStr">
        <is>
          <t/>
        </is>
      </c>
      <c r="U37" t="inlineStr">
        <is>
          <t/>
        </is>
      </c>
      <c r="V37" t="inlineStr">
        <is>
          <t/>
        </is>
      </c>
      <c r="W37" t="inlineStr">
        <is>
          <t/>
        </is>
      </c>
      <c r="X37" t="inlineStr">
        <is>
          <t/>
        </is>
      </c>
      <c r="Y37" s="3" t="n">
        <v>12150.0</v>
      </c>
      <c r="Z37" s="3" t="n">
        <f>S37-Y37</f>
        <v>0.0</v>
      </c>
      <c r="AA37" t="inlineStr">
        <is>
          <t>PAID</t>
        </is>
      </c>
      <c r="AB37" t="inlineStr">
        <is>
          <t>MULTIPLE</t>
        </is>
      </c>
      <c r="AC37" s="2" t="n">
        <v>45982.0</v>
      </c>
    </row>
    <row r="38">
      <c r="A38" t="inlineStr">
        <is>
          <t>LEASE-BH-F12-2025C</t>
        </is>
      </c>
      <c r="B38" t="inlineStr">
        <is>
          <t>Flat 12 - 3 West Gate</t>
        </is>
      </c>
      <c r="C38" t="inlineStr">
        <is>
          <t>Achal (Delegated for Udayan)</t>
        </is>
      </c>
      <c r="D38" t="inlineStr">
        <is>
          <t>Jemimah	Nallarajah &amp; Arulnesan Anthony</t>
        </is>
      </c>
      <c r="E38" s="2" t="n">
        <v>45940.0</v>
      </c>
      <c r="F38" t="n">
        <v>23.0</v>
      </c>
      <c r="G38" s="3" t="n">
        <f>IFERROR(SUMPRODUCT((RENT_DUE!$B$2:$B$1000="LEASE-BH-F12-2025C")*(RENT_DUE!$D$2:$D$1000&gt;=DATE(2025,9,22))*(RENT_DUE!$D$2:$D$1000&lt;=DATE(2025,10,21))*RENT_DUE!$L$2:$L$1000), 0)</f>
        <v>0.0</v>
      </c>
      <c r="H38" s="3" t="n">
        <f>IFERROR(SUMPRODUCT((RENT_RECEIVED!$B$2:$B$1000="LEASE-BH-F12-2025C")*(RENT_RECEIVED!$E$2:$E$1000&gt;=DATE(2025,9,22))*(RENT_RECEIVED!$E$2:$E$1000&lt;=DATE(2025,10,21))*RENT_RECEIVED!$O$2:$O$1000), 0)</f>
        <v>0.0</v>
      </c>
      <c r="I38" t="inlineStr">
        <is>
          <t/>
        </is>
      </c>
      <c r="J38" s="3" t="n">
        <f>IFERROR(SUMIFS(RENT_DUE!$L$2:$L$10000, RENT_DUE!$B$2:$B$10000, "LEASE-BH-F12-2025C", RENT_DUE!$D$2:$D$10000, "&lt;"&amp;DATE(2025,9,22)), 0) - IFERROR(SUMIFS(RENT_RECEIVED!$O$2:$O$10000, RENT_RECEIVED!$B$2:$B$10000, "LEASE-BH-F12-2025C", RENT_RECEIVED!$E$2:$E$10000, "&lt;"&amp;DATE(2025,9,22)), 0)</f>
        <v>0.0</v>
      </c>
      <c r="K38" s="3" t="n">
        <f>G38 - H38</f>
        <v>0.0</v>
      </c>
      <c r="L38" s="3" t="n">
        <f>J38 + K38</f>
        <v>0.0</v>
      </c>
      <c r="M38" s="3" t="n">
        <f>H38 * 0.1500</f>
        <v>0.0</v>
      </c>
      <c r="N38" s="3" t="n">
        <f>H38 * 0.0000</f>
        <v>0.0</v>
      </c>
      <c r="O38" s="3" t="n">
        <f>ABS(M38 + N38)</f>
        <v>0.0</v>
      </c>
      <c r="P38" t="inlineStr">
        <is>
          <t/>
        </is>
      </c>
      <c r="Q38" s="3" t="n">
        <f>SUMIFS(EXPENSES!E:E, EXPENSES!B:B, "LEASE-BH-F12-2025C", EXPENSES!D:D, "&gt;="&amp;DATE(2025,9,22), EXPENSES!D:D, "&lt;="&amp;DATE(2025,10,21))</f>
        <v>0.0</v>
      </c>
      <c r="R38" t="inlineStr">
        <is>
          <t>HIST-2025-12-1654</t>
        </is>
      </c>
      <c r="S38" s="3" t="n">
        <f>H38 - O38 - Q38</f>
        <v>0.0</v>
      </c>
      <c r="T38" t="inlineStr">
        <is>
          <t/>
        </is>
      </c>
      <c r="U38" t="inlineStr">
        <is>
          <t/>
        </is>
      </c>
      <c r="V38" t="inlineStr">
        <is>
          <t/>
        </is>
      </c>
      <c r="W38" t="inlineStr">
        <is>
          <t/>
        </is>
      </c>
      <c r="X38" t="inlineStr">
        <is>
          <t/>
        </is>
      </c>
      <c r="Y38" s="3" t="n">
        <v>7209.0</v>
      </c>
      <c r="Z38" s="3" t="n">
        <f>S38-Y38</f>
        <v>0.0</v>
      </c>
      <c r="AA38" t="inlineStr">
        <is>
          <t>PAID</t>
        </is>
      </c>
      <c r="AB38" t="inlineStr">
        <is>
          <t>MULTIPLE</t>
        </is>
      </c>
      <c r="AC38" s="2" t="n">
        <v>46004.0</v>
      </c>
    </row>
    <row r="39">
      <c r="A39" t="inlineStr">
        <is>
          <t>LEASE-BH-F25-2025</t>
        </is>
      </c>
      <c r="B39" t="inlineStr">
        <is>
          <t>Flat 25 - 3 West Gate</t>
        </is>
      </c>
      <c r="C39" t="inlineStr">
        <is>
          <t>Achal (Delegated for Udayan)</t>
        </is>
      </c>
      <c r="D39" t="inlineStr">
        <is>
          <t>Beatriz Silva</t>
        </is>
      </c>
      <c r="E39" s="2" t="n">
        <v>45922.0</v>
      </c>
      <c r="F39" t="n">
        <v>5.0</v>
      </c>
      <c r="G39" s="3" t="n">
        <f>IFERROR(SUMPRODUCT((RENT_DUE!$B$2:$B$1000="LEASE-BH-F25-2025")*(RENT_DUE!$D$2:$D$1000&gt;=DATE(2025,9,22))*(RENT_DUE!$D$2:$D$1000&lt;=DATE(2025,10,21))*RENT_DUE!$L$2:$L$1000), 0)</f>
        <v>0.0</v>
      </c>
      <c r="H39" s="3" t="n">
        <f>IFERROR(SUMPRODUCT((RENT_RECEIVED!$B$2:$B$1000="LEASE-BH-F25-2025")*(RENT_RECEIVED!$E$2:$E$1000&gt;=DATE(2025,9,22))*(RENT_RECEIVED!$E$2:$E$1000&lt;=DATE(2025,10,21))*RENT_RECEIVED!$O$2:$O$1000), 0)</f>
        <v>0.0</v>
      </c>
      <c r="I39" t="inlineStr">
        <is>
          <t>QZGNwwqb19</t>
        </is>
      </c>
      <c r="J39" s="3" t="n">
        <f>IFERROR(SUMIFS(RENT_DUE!$L$2:$L$10000, RENT_DUE!$B$2:$B$10000, "LEASE-BH-F25-2025", RENT_DUE!$D$2:$D$10000, "&lt;"&amp;DATE(2025,9,22)), 0) - IFERROR(SUMIFS(RENT_RECEIVED!$O$2:$O$10000, RENT_RECEIVED!$B$2:$B$10000, "LEASE-BH-F25-2025", RENT_RECEIVED!$E$2:$E$10000, "&lt;"&amp;DATE(2025,9,22)), 0)</f>
        <v>0.0</v>
      </c>
      <c r="K39" s="3" t="n">
        <f>G39 - H39</f>
        <v>0.0</v>
      </c>
      <c r="L39" s="3" t="n">
        <f>J39 + K39</f>
        <v>0.0</v>
      </c>
      <c r="M39" s="3" t="n">
        <f>H39 * 0.1500</f>
        <v>0.0</v>
      </c>
      <c r="N39" s="3" t="n">
        <f>H39 * 0.0000</f>
        <v>0.0</v>
      </c>
      <c r="O39" s="3" t="n">
        <f>ABS(M39 + N39)</f>
        <v>0.0</v>
      </c>
      <c r="P39" t="inlineStr">
        <is>
          <t/>
        </is>
      </c>
      <c r="Q39" s="3" t="n">
        <f>SUMIFS(EXPENSES!E:E, EXPENSES!B:B, "LEASE-BH-F25-2025", EXPENSES!D:D, "&gt;="&amp;DATE(2025,9,22), EXPENSES!D:D, "&lt;="&amp;DATE(2025,10,21))</f>
        <v>0.0</v>
      </c>
      <c r="R39" t="inlineStr">
        <is>
          <t/>
        </is>
      </c>
      <c r="S39" s="3" t="n">
        <f>H39 - O39 - Q39</f>
        <v>0.0</v>
      </c>
      <c r="T39" t="inlineStr">
        <is>
          <t/>
        </is>
      </c>
      <c r="U39" t="inlineStr">
        <is>
          <t/>
        </is>
      </c>
      <c r="V39" t="inlineStr">
        <is>
          <t/>
        </is>
      </c>
      <c r="W39" t="inlineStr">
        <is>
          <t/>
        </is>
      </c>
      <c r="X39" t="inlineStr">
        <is>
          <t/>
        </is>
      </c>
      <c r="Y39" s="3" t="n">
        <v>1630.5</v>
      </c>
      <c r="Z39" s="3" t="n">
        <f>S39-Y39</f>
        <v>0.0</v>
      </c>
      <c r="AA39" t="inlineStr">
        <is>
          <t>PAID</t>
        </is>
      </c>
      <c r="AB39" t="inlineStr">
        <is>
          <t>MULTIPLE</t>
        </is>
      </c>
      <c r="AC39" s="2" t="n">
        <v>45982.0</v>
      </c>
    </row>
    <row r="40">
      <c r="A40" t="inlineStr">
        <is>
          <t>BODEN-BLOCK-2025</t>
        </is>
      </c>
      <c r="B40" t="inlineStr">
        <is>
          <t>Boden House Block - Block Property</t>
        </is>
      </c>
      <c r="C40" t="inlineStr">
        <is>
          <t>Achal (Delegated for Udayan)</t>
        </is>
      </c>
      <c r="D40" t="inlineStr">
        <is>
          <t>Prestvale Properties Limited</t>
        </is>
      </c>
      <c r="E40" s="2" t="n">
        <v>45717.0</v>
      </c>
      <c r="F40" t="n">
        <v>1.0</v>
      </c>
      <c r="G40" s="3" t="n">
        <f>IFERROR(SUMPRODUCT((RENT_DUE!$B$2:$B$1000="BODEN-BLOCK-2025")*(RENT_DUE!$D$2:$D$1000&gt;=DATE(2025,9,22))*(RENT_DUE!$D$2:$D$1000&lt;=DATE(2025,10,21))*RENT_DUE!$L$2:$L$1000), 0)</f>
        <v>0.0</v>
      </c>
      <c r="H40" s="3" t="n">
        <f>IFERROR(SUMPRODUCT((RENT_RECEIVED!$B$2:$B$1000="BODEN-BLOCK-2025")*(RENT_RECEIVED!$E$2:$E$1000&gt;=DATE(2025,9,22))*(RENT_RECEIVED!$E$2:$E$1000&lt;=DATE(2025,10,21))*RENT_RECEIVED!$O$2:$O$1000), 0)</f>
        <v>0.0</v>
      </c>
      <c r="I40" t="inlineStr">
        <is>
          <t/>
        </is>
      </c>
      <c r="J40" s="3" t="n">
        <f>IFERROR(SUMIFS(RENT_DUE!$L$2:$L$10000, RENT_DUE!$B$2:$B$10000, "BODEN-BLOCK-2025", RENT_DUE!$D$2:$D$10000, "&lt;"&amp;DATE(2025,9,22)), 0) - IFERROR(SUMIFS(RENT_RECEIVED!$O$2:$O$10000, RENT_RECEIVED!$B$2:$B$10000, "BODEN-BLOCK-2025", RENT_RECEIVED!$E$2:$E$10000, "&lt;"&amp;DATE(2025,9,22)), 0)</f>
        <v>0.0</v>
      </c>
      <c r="K40" s="3" t="n">
        <f>G40 - H40</f>
        <v>0.0</v>
      </c>
      <c r="L40" s="3" t="n">
        <f>J40 + K40</f>
        <v>0.0</v>
      </c>
      <c r="M40" s="3" t="n">
        <f>H40 * 0.0000</f>
        <v>0.0</v>
      </c>
      <c r="N40" s="3" t="n">
        <f>H40 * 0.0500</f>
        <v>0.0</v>
      </c>
      <c r="O40" s="3" t="n">
        <f>ABS(M40 + N40)</f>
        <v>0.0</v>
      </c>
      <c r="P40" t="inlineStr">
        <is>
          <t>HIST-2025-12-1654</t>
        </is>
      </c>
      <c r="Q40" s="3" t="n">
        <f>SUMIFS(EXPENSES!E:E, EXPENSES!B:B, "BODEN-BLOCK-2025", EXPENSES!D:D, "&gt;="&amp;DATE(2025,9,22), EXPENSES!D:D, "&lt;="&amp;DATE(2025,10,21))</f>
        <v>0.0</v>
      </c>
      <c r="R40" t="inlineStr">
        <is>
          <t>HIST-2025-12-1654</t>
        </is>
      </c>
      <c r="S40" s="3" t="n">
        <f>H40 - O40 - Q40</f>
        <v>0.0</v>
      </c>
      <c r="T40" t="inlineStr">
        <is>
          <t>Boden House NG10</t>
        </is>
      </c>
      <c r="U40" s="3" t="n">
        <f>IFERROR(SUMIFS(PROPERTY_ACCOUNT!D:D, PROPERTY_ACCOUNT!A:A, T40, PROPERTY_ACCOUNT!B:B, "opening"), 0)</f>
        <v>0.0</v>
      </c>
      <c r="V40" s="3" t="n">
        <f>IFERROR(SUMIFS(PROPERTY_ACCOUNT!D:D, PROPERTY_ACCOUNT!A:A, T40, PROPERTY_ACCOUNT!B:B, "in"), 0)</f>
        <v>0.0</v>
      </c>
      <c r="W40" s="3" t="n">
        <f>IFERROR(SUMIFS(PROPERTY_ACCOUNT!D:D, PROPERTY_ACCOUNT!A:A, T40, PROPERTY_ACCOUNT!B:B, "out"), 0)</f>
        <v>0.0</v>
      </c>
      <c r="X40" s="3" t="n">
        <f>U40 + V40 - W40</f>
        <v>0.0</v>
      </c>
      <c r="Y40" s="3" t="n">
        <v>0.0</v>
      </c>
      <c r="Z40" s="3" t="n">
        <f>S40-Y40</f>
        <v>0.0</v>
      </c>
      <c r="AA40" t="inlineStr">
        <is>
          <t>PAID</t>
        </is>
      </c>
      <c r="AB40" t="inlineStr">
        <is>
          <t>MULTIPLE</t>
        </is>
      </c>
      <c r="AC40" s="2" t="n">
        <v>45993.0</v>
      </c>
    </row>
    <row r="41">
      <c r="A41" s="5" t="inlineStr">
        <is>
          <t>TOTALS</t>
        </is>
      </c>
      <c r="G41" s="6" t="n">
        <f>SUM(G2:G40)</f>
        <v>0.0</v>
      </c>
      <c r="H41" s="6" t="n">
        <f>SUM(H2:H40)</f>
        <v>0.0</v>
      </c>
      <c r="I41" t="inlineStr">
        <is>
          <t/>
        </is>
      </c>
      <c r="J41" s="6" t="n">
        <f>SUM(J2:J40)</f>
        <v>0.0</v>
      </c>
      <c r="K41" s="6" t="n">
        <f>SUM(K2:K40)</f>
        <v>0.0</v>
      </c>
      <c r="L41" s="6" t="n">
        <f>SUM(L2:L40)</f>
        <v>0.0</v>
      </c>
      <c r="M41" s="6" t="n">
        <f>SUM(M2:M40)</f>
        <v>0.0</v>
      </c>
      <c r="N41" s="6" t="n">
        <f>SUM(N2:N40)</f>
        <v>0.0</v>
      </c>
      <c r="O41" s="6" t="n">
        <f>SUM(O2:O40)</f>
        <v>0.0</v>
      </c>
      <c r="P41" t="inlineStr">
        <is>
          <t/>
        </is>
      </c>
      <c r="Q41" s="6" t="n">
        <f>SUM(Q2:Q40)</f>
        <v>0.0</v>
      </c>
      <c r="R41" t="inlineStr">
        <is>
          <t/>
        </is>
      </c>
      <c r="S41" s="6" t="n">
        <f>SUM(S2:S40)</f>
        <v>0.0</v>
      </c>
      <c r="T41" t="inlineStr">
        <is>
          <t/>
        </is>
      </c>
      <c r="U41" s="6" t="n">
        <f>SUM(U2:U40)</f>
        <v>0.0</v>
      </c>
      <c r="V41" s="6" t="n">
        <f>SUM(V2:V40)</f>
        <v>0.0</v>
      </c>
      <c r="W41" s="6" t="n">
        <f>SUM(W2:W40)</f>
        <v>0.0</v>
      </c>
      <c r="X41" s="6" t="n">
        <f>SUM(X2:X40)</f>
        <v>0.0</v>
      </c>
    </row>
    <row r="43">
      <c r="A43" s="5" t="inlineStr">
        <is>
          <t>PAYMENT RECONCILIATION</t>
        </is>
      </c>
    </row>
    <row r="44">
      <c r="A44" t="inlineStr">
        <is>
          <t>Period: 2025-09-22 to 2025-10-21</t>
        </is>
      </c>
    </row>
    <row r="46">
      <c r="A46" s="5" t="inlineStr">
        <is>
          <t>BROUGHT FORWARD (items from prior periods paid this period)</t>
        </is>
      </c>
    </row>
    <row r="47">
      <c r="A47" t="inlineStr">
        <is>
          <t xml:space="preserve">  Prior Period Income:</t>
        </is>
      </c>
    </row>
    <row r="48">
      <c r="A48" t="inlineStr">
        <is>
          <t xml:space="preserve">    2025-07-30 | Flat 28 - 3 West Gate | rent</t>
        </is>
      </c>
      <c r="B48" s="3" t="n">
        <v>156.89</v>
      </c>
    </row>
    <row r="49">
      <c r="A49" t="inlineStr">
        <is>
          <t xml:space="preserve">    2025-08-04 | Flat 1 - 3 West Gate | rent</t>
        </is>
      </c>
      <c r="B49" s="3" t="n">
        <v>675.75</v>
      </c>
    </row>
    <row r="50">
      <c r="A50" t="inlineStr">
        <is>
          <t xml:space="preserve">    2025-08-04 | Flat 2 - 3 West Gate | rent</t>
        </is>
      </c>
      <c r="B50" s="3" t="n">
        <v>629.0</v>
      </c>
    </row>
    <row r="51">
      <c r="A51" t="inlineStr">
        <is>
          <t xml:space="preserve">    2025-08-11 | Flat 30 - 3 West Gate | rent</t>
        </is>
      </c>
      <c r="B51" s="3" t="n">
        <v>629.0</v>
      </c>
    </row>
    <row r="52">
      <c r="A52" t="inlineStr">
        <is>
          <t xml:space="preserve">    2025-08-14 | Flat 3 - 3 West Gate | rent</t>
        </is>
      </c>
      <c r="B52" s="3" t="n">
        <v>629.0</v>
      </c>
    </row>
    <row r="53">
      <c r="A53" t="inlineStr">
        <is>
          <t xml:space="preserve">    2025-08-26 | Flat 14 - 3 West Gate | rent</t>
        </is>
      </c>
      <c r="B53" s="3" t="n">
        <v>675.75</v>
      </c>
    </row>
    <row r="54">
      <c r="A54" t="inlineStr">
        <is>
          <t xml:space="preserve">    2025-08-28 | Flat 26 - 3 West Gate | rent</t>
        </is>
      </c>
      <c r="B54" s="3" t="n">
        <v>573.75</v>
      </c>
    </row>
    <row r="55">
      <c r="A55" t="inlineStr">
        <is>
          <t xml:space="preserve">    2025-08-30 | Flat 28 - 3 West Gate | rent</t>
        </is>
      </c>
      <c r="B55" s="3" t="n">
        <v>629.0</v>
      </c>
    </row>
    <row r="56">
      <c r="A56" t="inlineStr">
        <is>
          <t xml:space="preserve">    2025-09-02 | Flat 2 - 3 West Gate | rent</t>
        </is>
      </c>
      <c r="B56" s="3" t="n">
        <v>629.0</v>
      </c>
    </row>
    <row r="57">
      <c r="A57" t="inlineStr">
        <is>
          <t xml:space="preserve">    2025-09-04 | Flat 1 - 3 West Gate | rent</t>
        </is>
      </c>
      <c r="B57" s="3" t="n">
        <v>82.27</v>
      </c>
    </row>
    <row r="58">
      <c r="A58" s="5" t="inlineStr">
        <is>
          <t xml:space="preserve">  Prior Period Income Total (10 items):</t>
        </is>
      </c>
      <c r="B58" s="6" t="n">
        <v>5309.41</v>
      </c>
    </row>
    <row r="59">
      <c r="A59" t="inlineStr">
        <is>
          <t xml:space="preserve">  Prior Period Expenses:</t>
        </is>
      </c>
    </row>
    <row r="60">
      <c r="A60" t="inlineStr">
        <is>
          <t xml:space="preserve">    2025-07-22 | Boden House Block - Block Property | furnishings</t>
        </is>
      </c>
      <c r="B60" s="3" t="n">
        <v>129.99</v>
      </c>
    </row>
    <row r="61">
      <c r="A61" t="inlineStr">
        <is>
          <t xml:space="preserve">    2025-07-22 | Boden House Block - Block Property | cleaning</t>
        </is>
      </c>
      <c r="B61" s="3" t="n">
        <v>200.0</v>
      </c>
    </row>
    <row r="62">
      <c r="A62" t="inlineStr">
        <is>
          <t xml:space="preserve">    2025-07-22 | Boden House Block - Block Property | furnishings</t>
        </is>
      </c>
      <c r="B62" s="3" t="n">
        <v>250.0</v>
      </c>
    </row>
    <row r="63">
      <c r="A63" t="inlineStr">
        <is>
          <t xml:space="preserve">    2025-07-22 | Boden House Block - Block Property | furnishings</t>
        </is>
      </c>
      <c r="B63" s="3" t="n">
        <v>61.49</v>
      </c>
    </row>
    <row r="64">
      <c r="A64" t="inlineStr">
        <is>
          <t xml:space="preserve">    2025-07-22 | Boden House Block - Block Property | cleaning</t>
        </is>
      </c>
      <c r="B64" s="3" t="n">
        <v>200.0</v>
      </c>
    </row>
    <row r="65">
      <c r="A65" t="inlineStr">
        <is>
          <t xml:space="preserve">    2025-07-22 | Boden House Block - Block Property | furnishings</t>
        </is>
      </c>
      <c r="B65" s="3" t="n">
        <v>58.99</v>
      </c>
    </row>
    <row r="66">
      <c r="A66" t="inlineStr">
        <is>
          <t xml:space="preserve">    2025-07-22 | Boden House Block - Block Property | furnishings</t>
        </is>
      </c>
      <c r="B66" s="3" t="n">
        <v>300.0</v>
      </c>
    </row>
    <row r="67">
      <c r="A67" t="inlineStr">
        <is>
          <t xml:space="preserve">    2025-07-22 | Boden House Block - Block Property | cleaning</t>
        </is>
      </c>
      <c r="B67" s="3" t="n">
        <v>200.0</v>
      </c>
    </row>
    <row r="68">
      <c r="A68" t="inlineStr">
        <is>
          <t xml:space="preserve">    2025-07-22 | Boden House Block - Block Property | furnishings</t>
        </is>
      </c>
      <c r="B68" s="3" t="n">
        <v>250.0</v>
      </c>
    </row>
    <row r="69">
      <c r="A69" t="inlineStr">
        <is>
          <t xml:space="preserve">    2025-07-22 | Boden House Block - Block Property | cleaning</t>
        </is>
      </c>
      <c r="B69" s="3" t="n">
        <v>200.0</v>
      </c>
    </row>
    <row r="70">
      <c r="A70" t="inlineStr">
        <is>
          <t xml:space="preserve">    2025-07-22 | Boden House Block - Block Property | furnishings</t>
        </is>
      </c>
      <c r="B70" s="3" t="n">
        <v>229.94</v>
      </c>
    </row>
    <row r="71">
      <c r="A71" t="inlineStr">
        <is>
          <t xml:space="preserve">    2025-08-22 | Boden House Block - Block Property | cleaning</t>
        </is>
      </c>
      <c r="B71" s="3" t="n">
        <v>200.0</v>
      </c>
    </row>
    <row r="72">
      <c r="A72" t="inlineStr">
        <is>
          <t xml:space="preserve">    2025-08-22 | Boden House Block - Block Property | cleaning</t>
        </is>
      </c>
      <c r="B72" s="3" t="n">
        <v>200.0</v>
      </c>
    </row>
    <row r="73">
      <c r="A73" s="5" t="inlineStr">
        <is>
          <t xml:space="preserve">  Prior Period Expenses Total (13 items):</t>
        </is>
      </c>
      <c r="B73" s="6" t="n">
        <v>2480.41</v>
      </c>
    </row>
    <row r="74">
      <c r="A74" s="5" t="inlineStr">
        <is>
          <t xml:space="preserve">  NET B/F (Income - Expenses):</t>
        </is>
      </c>
      <c r="B74" s="6" t="n">
        <v>2829.0</v>
      </c>
    </row>
    <row r="76">
      <c r="A76" s="5" t="inlineStr">
        <is>
          <t>THIS PERIOD ACTIVITY (see transactions above for details)</t>
        </is>
      </c>
    </row>
    <row r="77">
      <c r="A77" t="inlineStr">
        <is>
          <t xml:space="preserve">  Period Income (26 transactions)</t>
        </is>
      </c>
      <c r="B77" s="3" t="n">
        <v>17430.25</v>
      </c>
    </row>
    <row r="78">
      <c r="A78" t="inlineStr">
        <is>
          <t xml:space="preserve">  Period Expenses (0 transactions)</t>
        </is>
      </c>
      <c r="B78" s="3" t="n">
        <v>0.0</v>
      </c>
    </row>
    <row r="79">
      <c r="A79" s="5" t="inlineStr">
        <is>
          <t xml:space="preserve">  Net Activity (Income - Expenses):</t>
        </is>
      </c>
      <c r="B79" s="6" t="n">
        <v>17430.25</v>
      </c>
    </row>
    <row r="81">
      <c r="A81" s="5" t="inlineStr">
        <is>
          <t>PAYMENTS MADE THIS PERIOD</t>
        </is>
      </c>
    </row>
    <row r="82">
      <c r="A82" t="inlineStr">
        <is>
          <t xml:space="preserve">  QZGNwwqb19 (2025-10-06)</t>
        </is>
      </c>
      <c r="B82" s="6" t="n">
        <v>10672.75</v>
      </c>
    </row>
    <row r="83">
      <c r="A83" t="inlineStr">
        <is>
          <t xml:space="preserve">    Covers: 26 income (£17430.25) = £17430.25</t>
        </is>
      </c>
    </row>
    <row r="84">
      <c r="A84" t="inlineStr">
        <is>
          <t xml:space="preserve">  HIST-2025-10-1650 (2025-10-21)</t>
        </is>
      </c>
      <c r="B84" s="6" t="n">
        <v>1949.0</v>
      </c>
    </row>
    <row r="85">
      <c r="A85" t="inlineStr">
        <is>
          <t xml:space="preserve">    Covers: 10 income (£5309.41) - 13 expenses (£2480.41) = £2829.00</t>
        </is>
      </c>
    </row>
    <row r="86">
      <c r="A86" s="5" t="inlineStr">
        <is>
          <t xml:space="preserve">  Total Payments Made:</t>
        </is>
      </c>
      <c r="B86" s="6" t="n">
        <v>12621.75</v>
      </c>
    </row>
    <row r="87">
      <c r="A87" t="inlineStr">
        <is>
          <t xml:space="preserve">  (See PAYMENT_ALLOCATIONS sheet for full details)</t>
        </is>
      </c>
    </row>
    <row r="89">
      <c r="A89" s="5" t="inlineStr">
        <is>
          <t>SUMMARY</t>
        </is>
      </c>
    </row>
    <row r="90">
      <c r="A90" t="inlineStr">
        <is>
          <t xml:space="preserve">  Total Allocated (Income - Expenses):</t>
        </is>
      </c>
      <c r="B90" s="3" t="n">
        <v>20259.25</v>
      </c>
    </row>
    <row r="91">
      <c r="A91" t="inlineStr">
        <is>
          <t xml:space="preserve">  Total Payments Made:</t>
        </is>
      </c>
      <c r="B91" s="3" t="n">
        <v>12621.75</v>
      </c>
    </row>
    <row r="92">
      <c r="A92" t="inlineStr">
        <is>
          <t xml:space="preserve">  Unallocated Payment Amounts:</t>
        </is>
      </c>
      <c r="B92" s="3" t="n">
        <v>0.0</v>
      </c>
    </row>
    <row r="94">
      <c r="A94" t="inlineStr">
        <is>
          <t>Check: Allocated 20259.25 + Unallocated 0.00 = 20259.25 vs Payments 12621.75</t>
        </is>
      </c>
    </row>
    <row r="95">
      <c r="A95" t="inlineStr">
        <is>
          <t xml:space="preserve">  Variance: -7637.50 (check allocations)</t>
        </is>
      </c>
    </row>
  </sheetData>
  <pageMargins bottom="0.75" footer="0.3" header="0.3" left="0.7" right="0.7" top="0.75"/>
</worksheet>
</file>

<file path=xl/worksheets/sheet17.xml><?xml version="1.0" encoding="utf-8"?>
<worksheet xmlns="http://schemas.openxmlformats.org/spreadsheetml/2006/main">
  <dimension ref="A1:AC75"/>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 min="17" max="17" width="15.0" customWidth="true"/>
    <col min="18" max="18" width="15.0" customWidth="true"/>
    <col min="19" max="19" width="15.0" customWidth="true"/>
    <col min="20" max="20" width="15.0" customWidth="true"/>
    <col min="21" max="21" width="15.0" customWidth="true"/>
    <col min="22" max="22" width="15.0" customWidth="true"/>
    <col min="23" max="23" width="15.0" customWidth="true"/>
    <col min="24" max="24" width="15.0" customWidth="true"/>
    <col min="25" max="25" width="15.0" customWidth="true"/>
    <col min="26" max="26" width="15.0" customWidth="true"/>
    <col min="27" max="27" width="15.0" customWidth="true"/>
    <col min="28" max="28" width="15.0" customWidth="true"/>
    <col min="29" max="29"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rent_due</t>
        </is>
      </c>
      <c r="H1" s="1" t="inlineStr">
        <is>
          <t>rent_received</t>
        </is>
      </c>
      <c r="I1" s="1" t="inlineStr">
        <is>
          <t>rent_batch</t>
        </is>
      </c>
      <c r="J1" s="1" t="inlineStr">
        <is>
          <t>opening_balance</t>
        </is>
      </c>
      <c r="K1" s="1" t="inlineStr">
        <is>
          <t>period_arrears</t>
        </is>
      </c>
      <c r="L1" s="1" t="inlineStr">
        <is>
          <t>closing_balance</t>
        </is>
      </c>
      <c r="M1" s="1" t="inlineStr">
        <is>
          <t>management_fee</t>
        </is>
      </c>
      <c r="N1" s="1" t="inlineStr">
        <is>
          <t>service_fee</t>
        </is>
      </c>
      <c r="O1" s="1" t="inlineStr">
        <is>
          <t>total_commission</t>
        </is>
      </c>
      <c r="P1" s="1" t="inlineStr">
        <is>
          <t>commission_batch</t>
        </is>
      </c>
      <c r="Q1" s="1" t="inlineStr">
        <is>
          <t>total_expenses</t>
        </is>
      </c>
      <c r="R1" s="1" t="inlineStr">
        <is>
          <t>expenses_batch</t>
        </is>
      </c>
      <c r="S1" s="1" t="inlineStr">
        <is>
          <t>net_to_owner</t>
        </is>
      </c>
      <c r="T1" s="1" t="inlineStr">
        <is>
          <t>block_name</t>
        </is>
      </c>
      <c r="U1" s="1" t="inlineStr">
        <is>
          <t>property_account_opening</t>
        </is>
      </c>
      <c r="V1" s="1" t="inlineStr">
        <is>
          <t>property_account_in</t>
        </is>
      </c>
      <c r="W1" s="1" t="inlineStr">
        <is>
          <t>property_account_out</t>
        </is>
      </c>
      <c r="X1" s="1" t="inlineStr">
        <is>
          <t>property_account_closing</t>
        </is>
      </c>
      <c r="Y1" s="1" t="inlineStr">
        <is>
          <t>allocated_amount</t>
        </is>
      </c>
      <c r="Z1" s="1" t="inlineStr">
        <is>
          <t>variance</t>
        </is>
      </c>
      <c r="AA1" s="1" t="inlineStr">
        <is>
          <t>allocation_status</t>
        </is>
      </c>
      <c r="AB1" s="1" t="inlineStr">
        <is>
          <t>batch_id</t>
        </is>
      </c>
      <c r="AC1" s="1" t="inlineStr">
        <is>
          <t>paid_date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IFERROR(SUMPRODUCT((RENT_DUE!$B$2:$B$1000="LEASE-BH-F1-2025")*(RENT_DUE!$D$2:$D$1000&gt;=DATE(2025,10,22))*(RENT_DUE!$D$2:$D$1000&lt;=DATE(2025,11,21))*RENT_DUE!$L$2:$L$1000), 0)</f>
        <v>0.0</v>
      </c>
      <c r="H2" s="3" t="n">
        <f>IFERROR(SUMPRODUCT((RENT_RECEIVED!$B$2:$B$1000="LEASE-BH-F1-2025")*(RENT_RECEIVED!$E$2:$E$1000&gt;=DATE(2025,10,22))*(RENT_RECEIVED!$E$2:$E$1000&lt;=DATE(2025,11,21))*RENT_RECEIVED!$O$2:$O$1000), 0)</f>
        <v>0.0</v>
      </c>
      <c r="I2" t="inlineStr">
        <is>
          <t>HIST-2025-12-1654</t>
        </is>
      </c>
      <c r="J2" s="3" t="n">
        <f>IFERROR(SUMIFS(RENT_DUE!$L$2:$L$10000, RENT_DUE!$B$2:$B$10000, "LEASE-BH-F1-2025", RENT_DUE!$D$2:$D$10000, "&lt;"&amp;DATE(2025,10,22)), 0) - IFERROR(SUMIFS(RENT_RECEIVED!$O$2:$O$10000, RENT_RECEIVED!$B$2:$B$10000, "LEASE-BH-F1-2025", RENT_RECEIVED!$E$2:$E$10000, "&lt;"&amp;DATE(2025,10,22)), 0)</f>
        <v>0.0</v>
      </c>
      <c r="K2" s="3" t="n">
        <f>G2 - H2</f>
        <v>0.0</v>
      </c>
      <c r="L2" s="3" t="n">
        <f>J2 + K2</f>
        <v>0.0</v>
      </c>
      <c r="M2" s="3" t="n">
        <f>H2 * 0.1500</f>
        <v>0.0</v>
      </c>
      <c r="N2" s="3" t="n">
        <f>H2 * 0.0000</f>
        <v>0.0</v>
      </c>
      <c r="O2" s="3" t="n">
        <f>ABS(M2 + N2)</f>
        <v>0.0</v>
      </c>
      <c r="P2" t="inlineStr">
        <is>
          <t/>
        </is>
      </c>
      <c r="Q2" s="3" t="n">
        <f>SUMIFS(EXPENSES!E:E, EXPENSES!B:B, "LEASE-BH-F1-2025", EXPENSES!D:D, "&gt;="&amp;DATE(2025,10,22), EXPENSES!D:D, "&lt;="&amp;DATE(2025,11,21))</f>
        <v>0.0</v>
      </c>
      <c r="R2" t="inlineStr">
        <is>
          <t/>
        </is>
      </c>
      <c r="S2" s="3" t="n">
        <f>H2 - O2 - Q2</f>
        <v>0.0</v>
      </c>
      <c r="T2" t="inlineStr">
        <is>
          <t/>
        </is>
      </c>
      <c r="U2" t="inlineStr">
        <is>
          <t/>
        </is>
      </c>
      <c r="V2" t="inlineStr">
        <is>
          <t/>
        </is>
      </c>
      <c r="W2" t="inlineStr">
        <is>
          <t/>
        </is>
      </c>
      <c r="X2" t="inlineStr">
        <is>
          <t/>
        </is>
      </c>
      <c r="Y2" s="3" t="n">
        <v>5985.52</v>
      </c>
      <c r="Z2" s="3" t="n">
        <f>S2-Y2</f>
        <v>0.0</v>
      </c>
      <c r="AA2" t="inlineStr">
        <is>
          <t>PAID</t>
        </is>
      </c>
      <c r="AB2" t="inlineStr">
        <is>
          <t>MULTIPLE</t>
        </is>
      </c>
      <c r="AC2" s="2" t="n">
        <v>45992.0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IFERROR(SUMPRODUCT((RENT_DUE!$B$2:$B$1000="LEASE-BH-F2-2025")*(RENT_DUE!$D$2:$D$1000&gt;=DATE(2025,10,22))*(RENT_DUE!$D$2:$D$1000&lt;=DATE(2025,11,21))*RENT_DUE!$L$2:$L$1000), 0)</f>
        <v>0.0</v>
      </c>
      <c r="H3" s="3" t="n">
        <f>IFERROR(SUMPRODUCT((RENT_RECEIVED!$B$2:$B$1000="LEASE-BH-F2-2025")*(RENT_RECEIVED!$E$2:$E$1000&gt;=DATE(2025,10,22))*(RENT_RECEIVED!$E$2:$E$1000&lt;=DATE(2025,11,21))*RENT_RECEIVED!$O$2:$O$1000), 0)</f>
        <v>0.0</v>
      </c>
      <c r="I3" t="inlineStr">
        <is>
          <t>HIST-2025-12-1654</t>
        </is>
      </c>
      <c r="J3" s="3" t="n">
        <f>IFERROR(SUMIFS(RENT_DUE!$L$2:$L$10000, RENT_DUE!$B$2:$B$10000, "LEASE-BH-F2-2025", RENT_DUE!$D$2:$D$10000, "&lt;"&amp;DATE(2025,10,22)), 0) - IFERROR(SUMIFS(RENT_RECEIVED!$O$2:$O$10000, RENT_RECEIVED!$B$2:$B$10000, "LEASE-BH-F2-2025", RENT_RECEIVED!$E$2:$E$10000, "&lt;"&amp;DATE(2025,10,22)), 0)</f>
        <v>0.0</v>
      </c>
      <c r="K3" s="3" t="n">
        <f>G3 - H3</f>
        <v>0.0</v>
      </c>
      <c r="L3" s="3" t="n">
        <f>J3 + K3</f>
        <v>0.0</v>
      </c>
      <c r="M3" s="3" t="n">
        <f>H3 * 0.1500</f>
        <v>0.0</v>
      </c>
      <c r="N3" s="3" t="n">
        <f>H3 * 0.0000</f>
        <v>0.0</v>
      </c>
      <c r="O3" s="3" t="n">
        <f>ABS(M3 + N3)</f>
        <v>0.0</v>
      </c>
      <c r="P3" t="inlineStr">
        <is>
          <t/>
        </is>
      </c>
      <c r="Q3" s="3" t="n">
        <f>SUMIFS(EXPENSES!E:E, EXPENSES!B:B, "LEASE-BH-F2-2025", EXPENSES!D:D, "&gt;="&amp;DATE(2025,10,22), EXPENSES!D:D, "&lt;="&amp;DATE(2025,11,21))</f>
        <v>0.0</v>
      </c>
      <c r="R3" t="inlineStr">
        <is>
          <t/>
        </is>
      </c>
      <c r="S3" s="3" t="n">
        <f>H3 - O3 - Q3</f>
        <v>0.0</v>
      </c>
      <c r="T3" t="inlineStr">
        <is>
          <t/>
        </is>
      </c>
      <c r="U3" t="inlineStr">
        <is>
          <t/>
        </is>
      </c>
      <c r="V3" t="inlineStr">
        <is>
          <t/>
        </is>
      </c>
      <c r="W3" t="inlineStr">
        <is>
          <t/>
        </is>
      </c>
      <c r="X3" t="inlineStr">
        <is>
          <t/>
        </is>
      </c>
      <c r="Y3" s="3" t="n">
        <v>5661.0</v>
      </c>
      <c r="Z3" s="3" t="n">
        <f>S3-Y3</f>
        <v>0.0</v>
      </c>
      <c r="AA3" t="inlineStr">
        <is>
          <t>PAID</t>
        </is>
      </c>
      <c r="AB3" t="inlineStr">
        <is>
          <t>MULTIPLE</t>
        </is>
      </c>
      <c r="AC3" s="2" t="n">
        <v>45992.0</v>
      </c>
    </row>
    <row r="4">
      <c r="A4" t="inlineStr">
        <is>
          <t>LEASE-BH-F3-2025</t>
        </is>
      </c>
      <c r="B4" t="inlineStr">
        <is>
          <t>Flat 3 - 3 West Gate</t>
        </is>
      </c>
      <c r="C4" t="inlineStr">
        <is>
          <t>Achal (Delegated for Udayan)</t>
        </is>
      </c>
      <c r="D4" t="inlineStr">
        <is>
          <t>Mr Tracy Whyte</t>
        </is>
      </c>
      <c r="E4" s="2" t="n">
        <v>45727.0</v>
      </c>
      <c r="F4" t="n">
        <v>11.0</v>
      </c>
      <c r="G4" s="3" t="n">
        <f>IFERROR(SUMPRODUCT((RENT_DUE!$B$2:$B$1000="LEASE-BH-F3-2025")*(RENT_DUE!$D$2:$D$1000&gt;=DATE(2025,10,22))*(RENT_DUE!$D$2:$D$1000&lt;=DATE(2025,11,21))*RENT_DUE!$L$2:$L$1000), 0)</f>
        <v>0.0</v>
      </c>
      <c r="H4" s="3" t="n">
        <f>IFERROR(SUMPRODUCT((RENT_RECEIVED!$B$2:$B$1000="LEASE-BH-F3-2025")*(RENT_RECEIVED!$E$2:$E$1000&gt;=DATE(2025,10,22))*(RENT_RECEIVED!$E$2:$E$1000&lt;=DATE(2025,11,21))*RENT_RECEIVED!$O$2:$O$1000), 0)</f>
        <v>0.0</v>
      </c>
      <c r="I4" t="inlineStr">
        <is>
          <t>YZ2WWPAKJQ</t>
        </is>
      </c>
      <c r="J4" s="3" t="n">
        <f>IFERROR(SUMIFS(RENT_DUE!$L$2:$L$10000, RENT_DUE!$B$2:$B$10000, "LEASE-BH-F3-2025", RENT_DUE!$D$2:$D$10000, "&lt;"&amp;DATE(2025,10,22)), 0) - IFERROR(SUMIFS(RENT_RECEIVED!$O$2:$O$10000, RENT_RECEIVED!$B$2:$B$10000, "LEASE-BH-F3-2025", RENT_RECEIVED!$E$2:$E$10000, "&lt;"&amp;DATE(2025,10,22)), 0)</f>
        <v>0.0</v>
      </c>
      <c r="K4" s="3" t="n">
        <f>G4 - H4</f>
        <v>0.0</v>
      </c>
      <c r="L4" s="3" t="n">
        <f>J4 + K4</f>
        <v>0.0</v>
      </c>
      <c r="M4" s="3" t="n">
        <f>H4 * 0.1500</f>
        <v>0.0</v>
      </c>
      <c r="N4" s="3" t="n">
        <f>H4 * 0.0000</f>
        <v>0.0</v>
      </c>
      <c r="O4" s="3" t="n">
        <f>ABS(M4 + N4)</f>
        <v>0.0</v>
      </c>
      <c r="P4" t="inlineStr">
        <is>
          <t/>
        </is>
      </c>
      <c r="Q4" s="3" t="n">
        <f>SUMIFS(EXPENSES!E:E, EXPENSES!B:B, "LEASE-BH-F3-2025", EXPENSES!D:D, "&gt;="&amp;DATE(2025,10,22), EXPENSES!D:D, "&lt;="&amp;DATE(2025,11,21))</f>
        <v>0.0</v>
      </c>
      <c r="R4" t="inlineStr">
        <is>
          <t/>
        </is>
      </c>
      <c r="S4" s="3" t="n">
        <f>H4 - O4 - Q4</f>
        <v>0.0</v>
      </c>
      <c r="T4" t="inlineStr">
        <is>
          <t/>
        </is>
      </c>
      <c r="U4" t="inlineStr">
        <is>
          <t/>
        </is>
      </c>
      <c r="V4" t="inlineStr">
        <is>
          <t/>
        </is>
      </c>
      <c r="W4" t="inlineStr">
        <is>
          <t/>
        </is>
      </c>
      <c r="X4" t="inlineStr">
        <is>
          <t/>
        </is>
      </c>
      <c r="Y4" s="3" t="n">
        <v>5661.0</v>
      </c>
      <c r="Z4" s="3" t="n">
        <f>S4-Y4</f>
        <v>0.0</v>
      </c>
      <c r="AA4" t="inlineStr">
        <is>
          <t>PAID</t>
        </is>
      </c>
      <c r="AB4" t="inlineStr">
        <is>
          <t>MULTIPLE</t>
        </is>
      </c>
      <c r="AC4" s="2" t="n">
        <v>45992.0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IFERROR(SUMPRODUCT((RENT_DUE!$B$2:$B$1000="LEASE-BH-F4-2025")*(RENT_DUE!$D$2:$D$1000&gt;=DATE(2025,10,22))*(RENT_DUE!$D$2:$D$1000&lt;=DATE(2025,11,21))*RENT_DUE!$L$2:$L$1000), 0)</f>
        <v>0.0</v>
      </c>
      <c r="H5" s="3" t="n">
        <f>IFERROR(SUMPRODUCT((RENT_RECEIVED!$B$2:$B$1000="LEASE-BH-F4-2025")*(RENT_RECEIVED!$E$2:$E$1000&gt;=DATE(2025,10,22))*(RENT_RECEIVED!$E$2:$E$1000&lt;=DATE(2025,11,21))*RENT_RECEIVED!$O$2:$O$1000), 0)</f>
        <v>0.0</v>
      </c>
      <c r="I5" t="inlineStr">
        <is>
          <t>YZ2WWPAKJQ</t>
        </is>
      </c>
      <c r="J5" s="3" t="n">
        <f>IFERROR(SUMIFS(RENT_DUE!$L$2:$L$10000, RENT_DUE!$B$2:$B$10000, "LEASE-BH-F4-2025", RENT_DUE!$D$2:$D$10000, "&lt;"&amp;DATE(2025,10,22)), 0) - IFERROR(SUMIFS(RENT_RECEIVED!$O$2:$O$10000, RENT_RECEIVED!$B$2:$B$10000, "LEASE-BH-F4-2025", RENT_RECEIVED!$E$2:$E$10000, "&lt;"&amp;DATE(2025,10,22)), 0)</f>
        <v>0.0</v>
      </c>
      <c r="K5" s="3" t="n">
        <f>G5 - H5</f>
        <v>0.0</v>
      </c>
      <c r="L5" s="3" t="n">
        <f>J5 + K5</f>
        <v>0.0</v>
      </c>
      <c r="M5" s="3" t="n">
        <f>H5 * 0.1500</f>
        <v>0.0</v>
      </c>
      <c r="N5" s="3" t="n">
        <f>H5 * 0.0000</f>
        <v>0.0</v>
      </c>
      <c r="O5" s="3" t="n">
        <f>ABS(M5 + N5)</f>
        <v>0.0</v>
      </c>
      <c r="P5" t="inlineStr">
        <is>
          <t/>
        </is>
      </c>
      <c r="Q5" s="3" t="n">
        <f>SUMIFS(EXPENSES!E:E, EXPENSES!B:B, "LEASE-BH-F4-2025", EXPENSES!D:D, "&gt;="&amp;DATE(2025,10,22), EXPENSES!D:D, "&lt;="&amp;DATE(2025,11,21))</f>
        <v>0.0</v>
      </c>
      <c r="R5" t="inlineStr">
        <is>
          <t/>
        </is>
      </c>
      <c r="S5" s="3" t="n">
        <f>H5 - O5 - Q5</f>
        <v>0.0</v>
      </c>
      <c r="T5" t="inlineStr">
        <is>
          <t/>
        </is>
      </c>
      <c r="U5" t="inlineStr">
        <is>
          <t/>
        </is>
      </c>
      <c r="V5" t="inlineStr">
        <is>
          <t/>
        </is>
      </c>
      <c r="W5" t="inlineStr">
        <is>
          <t/>
        </is>
      </c>
      <c r="X5" t="inlineStr">
        <is>
          <t/>
        </is>
      </c>
      <c r="Y5" s="3" t="n">
        <v>6390.75</v>
      </c>
      <c r="Z5" s="3" t="n">
        <f>S5-Y5</f>
        <v>0.0</v>
      </c>
      <c r="AA5" t="inlineStr">
        <is>
          <t>PAID</t>
        </is>
      </c>
      <c r="AB5" t="inlineStr">
        <is>
          <t>MULTIPLE</t>
        </is>
      </c>
      <c r="AC5" s="2" t="n">
        <v>45982.0</v>
      </c>
    </row>
    <row r="6">
      <c r="A6" t="inlineStr">
        <is>
          <t>LEASE-BH-F5-2025</t>
        </is>
      </c>
      <c r="B6" t="inlineStr">
        <is>
          <t>Flat 5 - 3 West Gate</t>
        </is>
      </c>
      <c r="C6" t="inlineStr">
        <is>
          <t>Achal (Delegated for Udayan)</t>
        </is>
      </c>
      <c r="D6" t="inlineStr">
        <is>
          <t>Mr Amos Blyth</t>
        </is>
      </c>
      <c r="E6" s="2" t="n">
        <v>45698.0</v>
      </c>
      <c r="F6" t="n">
        <v>10.0</v>
      </c>
      <c r="G6" s="3" t="n">
        <f>IFERROR(SUMPRODUCT((RENT_DUE!$B$2:$B$1000="LEASE-BH-F5-2025")*(RENT_DUE!$D$2:$D$1000&gt;=DATE(2025,10,22))*(RENT_DUE!$D$2:$D$1000&lt;=DATE(2025,11,21))*RENT_DUE!$L$2:$L$1000), 0)</f>
        <v>0.0</v>
      </c>
      <c r="H6" s="3" t="n">
        <f>IFERROR(SUMPRODUCT((RENT_RECEIVED!$B$2:$B$1000="LEASE-BH-F5-2025")*(RENT_RECEIVED!$E$2:$E$1000&gt;=DATE(2025,10,22))*(RENT_RECEIVED!$E$2:$E$1000&lt;=DATE(2025,11,21))*RENT_RECEIVED!$O$2:$O$1000), 0)</f>
        <v>0.0</v>
      </c>
      <c r="I6" t="inlineStr">
        <is>
          <t>G1O4GnbjZM, yJ6jj5o7Jj</t>
        </is>
      </c>
      <c r="J6" s="3" t="n">
        <f>IFERROR(SUMIFS(RENT_DUE!$L$2:$L$10000, RENT_DUE!$B$2:$B$10000, "LEASE-BH-F5-2025", RENT_DUE!$D$2:$D$10000, "&lt;"&amp;DATE(2025,10,22)), 0) - IFERROR(SUMIFS(RENT_RECEIVED!$O$2:$O$10000, RENT_RECEIVED!$B$2:$B$10000, "LEASE-BH-F5-2025", RENT_RECEIVED!$E$2:$E$10000, "&lt;"&amp;DATE(2025,10,22)), 0)</f>
        <v>0.0</v>
      </c>
      <c r="K6" s="3" t="n">
        <f>G6 - H6</f>
        <v>0.0</v>
      </c>
      <c r="L6" s="3" t="n">
        <f>J6 + K6</f>
        <v>0.0</v>
      </c>
      <c r="M6" s="3" t="n">
        <f>H6 * 0.1500</f>
        <v>0.0</v>
      </c>
      <c r="N6" s="3" t="n">
        <f>H6 * 0.0000</f>
        <v>0.0</v>
      </c>
      <c r="O6" s="3" t="n">
        <f>ABS(M6 + N6)</f>
        <v>0.0</v>
      </c>
      <c r="P6" t="inlineStr">
        <is>
          <t/>
        </is>
      </c>
      <c r="Q6" s="3" t="n">
        <f>SUMIFS(EXPENSES!E:E, EXPENSES!B:B, "LEASE-BH-F5-2025", EXPENSES!D:D, "&gt;="&amp;DATE(2025,10,22), EXPENSES!D:D, "&lt;="&amp;DATE(2025,11,21))</f>
        <v>0.0</v>
      </c>
      <c r="R6" t="inlineStr">
        <is>
          <t/>
        </is>
      </c>
      <c r="S6" s="3" t="n">
        <f>H6 - O6 - Q6</f>
        <v>0.0</v>
      </c>
      <c r="T6" t="inlineStr">
        <is>
          <t/>
        </is>
      </c>
      <c r="U6" t="inlineStr">
        <is>
          <t/>
        </is>
      </c>
      <c r="V6" t="inlineStr">
        <is>
          <t/>
        </is>
      </c>
      <c r="W6" t="inlineStr">
        <is>
          <t/>
        </is>
      </c>
      <c r="X6" t="inlineStr">
        <is>
          <t/>
        </is>
      </c>
      <c r="Y6" s="3" t="n">
        <v>6140.0</v>
      </c>
      <c r="Z6" s="3" t="n">
        <f>S6-Y6</f>
        <v>0.0</v>
      </c>
      <c r="AA6" t="inlineStr">
        <is>
          <t>PAID</t>
        </is>
      </c>
      <c r="AB6" t="inlineStr">
        <is>
          <t>MULTIPLE</t>
        </is>
      </c>
      <c r="AC6" s="2" t="n">
        <v>45982.0</v>
      </c>
    </row>
    <row r="7">
      <c r="A7" t="inlineStr">
        <is>
          <t>LEASE-BH-F6-2025</t>
        </is>
      </c>
      <c r="B7" t="inlineStr">
        <is>
          <t>Flat 6 - 3 West Gate</t>
        </is>
      </c>
      <c r="C7" t="inlineStr">
        <is>
          <t>Achal (Delegated for Udayan)</t>
        </is>
      </c>
      <c r="D7" t="inlineStr">
        <is>
          <t>Miss Shelley Lees</t>
        </is>
      </c>
      <c r="E7" s="2" t="n">
        <v>45744.0</v>
      </c>
      <c r="F7" t="n">
        <v>28.0</v>
      </c>
      <c r="G7" s="3" t="n">
        <f>IFERROR(SUMPRODUCT((RENT_DUE!$B$2:$B$1000="LEASE-BH-F6-2025")*(RENT_DUE!$D$2:$D$1000&gt;=DATE(2025,10,22))*(RENT_DUE!$D$2:$D$1000&lt;=DATE(2025,11,21))*RENT_DUE!$L$2:$L$1000), 0)</f>
        <v>0.0</v>
      </c>
      <c r="H7" s="3" t="n">
        <f>IFERROR(SUMPRODUCT((RENT_RECEIVED!$B$2:$B$1000="LEASE-BH-F6-2025")*(RENT_RECEIVED!$E$2:$E$1000&gt;=DATE(2025,10,22))*(RENT_RECEIVED!$E$2:$E$1000&lt;=DATE(2025,11,21))*RENT_RECEIVED!$O$2:$O$1000), 0)</f>
        <v>0.0</v>
      </c>
      <c r="I7" t="inlineStr">
        <is>
          <t>YZ2WWPAKJQ</t>
        </is>
      </c>
      <c r="J7" s="3" t="n">
        <f>IFERROR(SUMIFS(RENT_DUE!$L$2:$L$10000, RENT_DUE!$B$2:$B$10000, "LEASE-BH-F6-2025", RENT_DUE!$D$2:$D$10000, "&lt;"&amp;DATE(2025,10,22)), 0) - IFERROR(SUMIFS(RENT_RECEIVED!$O$2:$O$10000, RENT_RECEIVED!$B$2:$B$10000, "LEASE-BH-F6-2025", RENT_RECEIVED!$E$2:$E$10000, "&lt;"&amp;DATE(2025,10,22)), 0)</f>
        <v>0.0</v>
      </c>
      <c r="K7" s="3" t="n">
        <f>G7 - H7</f>
        <v>0.0</v>
      </c>
      <c r="L7" s="3" t="n">
        <f>J7 + K7</f>
        <v>0.0</v>
      </c>
      <c r="M7" s="3" t="n">
        <f>H7 * 0.1500</f>
        <v>0.0</v>
      </c>
      <c r="N7" s="3" t="n">
        <f>H7 * 0.0000</f>
        <v>0.0</v>
      </c>
      <c r="O7" s="3" t="n">
        <f>ABS(M7 + N7)</f>
        <v>0.0</v>
      </c>
      <c r="P7" t="inlineStr">
        <is>
          <t/>
        </is>
      </c>
      <c r="Q7" s="3" t="n">
        <f>SUMIFS(EXPENSES!E:E, EXPENSES!B:B, "LEASE-BH-F6-2025", EXPENSES!D:D, "&gt;="&amp;DATE(2025,10,22), EXPENSES!D:D, "&lt;="&amp;DATE(2025,11,21))</f>
        <v>0.0</v>
      </c>
      <c r="R7" t="inlineStr">
        <is>
          <t/>
        </is>
      </c>
      <c r="S7" s="3" t="n">
        <f>H7 - O7 - Q7</f>
        <v>0.0</v>
      </c>
      <c r="T7" t="inlineStr">
        <is>
          <t/>
        </is>
      </c>
      <c r="U7" t="inlineStr">
        <is>
          <t/>
        </is>
      </c>
      <c r="V7" t="inlineStr">
        <is>
          <t/>
        </is>
      </c>
      <c r="W7" t="inlineStr">
        <is>
          <t/>
        </is>
      </c>
      <c r="X7" t="inlineStr">
        <is>
          <t/>
        </is>
      </c>
      <c r="Y7" s="3" t="n">
        <v>4882.0</v>
      </c>
      <c r="Z7" s="3" t="n">
        <f>S7-Y7</f>
        <v>0.0</v>
      </c>
      <c r="AA7" t="inlineStr">
        <is>
          <t>PAID</t>
        </is>
      </c>
      <c r="AB7" t="inlineStr">
        <is>
          <t>MULTIPLE</t>
        </is>
      </c>
      <c r="AC7" s="2" t="n">
        <v>45982.0</v>
      </c>
    </row>
    <row r="8">
      <c r="A8" t="inlineStr">
        <is>
          <t>LEASE-BH-F7-2025</t>
        </is>
      </c>
      <c r="B8" t="inlineStr">
        <is>
          <t>Flat 7 - 3 West Gate</t>
        </is>
      </c>
      <c r="C8" t="inlineStr">
        <is>
          <t>Achal (Delegated for Udayan)</t>
        </is>
      </c>
      <c r="D8" t="inlineStr">
        <is>
          <t>Mr Chun Hung Tang</t>
        </is>
      </c>
      <c r="E8" s="2" t="n">
        <v>45707.0</v>
      </c>
      <c r="F8" t="n">
        <v>19.0</v>
      </c>
      <c r="G8" s="3" t="n">
        <v>0.0</v>
      </c>
      <c r="H8" s="3" t="n">
        <f>IFERROR(SUMPRODUCT((RENT_RECEIVED!$B$2:$B$1000="LEASE-BH-F7-2025")*(RENT_RECEIVED!$E$2:$E$1000&gt;=DATE(2025,10,22))*(RENT_RECEIVED!$E$2:$E$1000&lt;=DATE(2025,11,21))*RENT_RECEIVED!$O$2:$O$1000), 0)</f>
        <v>0.0</v>
      </c>
      <c r="I8" t="inlineStr">
        <is>
          <t/>
        </is>
      </c>
      <c r="J8" s="3" t="n">
        <f>IFERROR(SUMIFS(RENT_DUE!$L$2:$L$10000, RENT_DUE!$B$2:$B$10000, "LEASE-BH-F7-2025", RENT_DUE!$D$2:$D$10000, "&lt;"&amp;DATE(2025,10,22)), 0) - IFERROR(SUMIFS(RENT_RECEIVED!$O$2:$O$10000, RENT_RECEIVED!$B$2:$B$10000, "LEASE-BH-F7-2025", RENT_RECEIVED!$E$2:$E$10000, "&lt;"&amp;DATE(2025,10,22)), 0)</f>
        <v>0.0</v>
      </c>
      <c r="K8" s="3" t="n">
        <f>G8 - H8</f>
        <v>0.0</v>
      </c>
      <c r="L8" s="3" t="n">
        <f>J8 + K8</f>
        <v>0.0</v>
      </c>
      <c r="M8" s="3" t="n">
        <f>H8 * 0.1500</f>
        <v>0.0</v>
      </c>
      <c r="N8" s="3" t="n">
        <f>H8 * 0.0000</f>
        <v>0.0</v>
      </c>
      <c r="O8" s="3" t="n">
        <f>ABS(M8 + N8)</f>
        <v>0.0</v>
      </c>
      <c r="P8" t="inlineStr">
        <is>
          <t/>
        </is>
      </c>
      <c r="Q8" s="3" t="n">
        <f>SUMIFS(EXPENSES!E:E, EXPENSES!B:B, "LEASE-BH-F7-2025", EXPENSES!D:D, "&gt;="&amp;DATE(2025,10,22), EXPENSES!D:D, "&lt;="&amp;DATE(2025,11,21))</f>
        <v>0.0</v>
      </c>
      <c r="R8" t="inlineStr">
        <is>
          <t/>
        </is>
      </c>
      <c r="S8" s="3" t="n">
        <f>H8 - O8 - Q8</f>
        <v>0.0</v>
      </c>
      <c r="T8" t="inlineStr">
        <is>
          <t/>
        </is>
      </c>
      <c r="U8" t="inlineStr">
        <is>
          <t/>
        </is>
      </c>
      <c r="V8" t="inlineStr">
        <is>
          <t/>
        </is>
      </c>
      <c r="W8" t="inlineStr">
        <is>
          <t/>
        </is>
      </c>
      <c r="X8" t="inlineStr">
        <is>
          <t/>
        </is>
      </c>
      <c r="Y8" s="3" t="n">
        <v>3570.0</v>
      </c>
      <c r="Z8" s="3" t="n">
        <f>S8-Y8</f>
        <v>0.0</v>
      </c>
      <c r="AA8" t="inlineStr">
        <is>
          <t>PAID</t>
        </is>
      </c>
      <c r="AB8" t="inlineStr">
        <is>
          <t>MULTIPLE</t>
        </is>
      </c>
      <c r="AC8" s="2" t="n">
        <v>45861.0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IFERROR(SUMPRODUCT((RENT_DUE!$B$2:$B$1000="LEASE-BH-F8-2025")*(RENT_DUE!$D$2:$D$1000&gt;=DATE(2025,10,22))*(RENT_DUE!$D$2:$D$1000&lt;=DATE(2025,11,21))*RENT_DUE!$L$2:$L$1000), 0)</f>
        <v>0.0</v>
      </c>
      <c r="H9" s="3" t="n">
        <f>IFERROR(SUMPRODUCT((RENT_RECEIVED!$B$2:$B$1000="LEASE-BH-F8-2025")*(RENT_RECEIVED!$E$2:$E$1000&gt;=DATE(2025,10,22))*(RENT_RECEIVED!$E$2:$E$1000&lt;=DATE(2025,11,21))*RENT_RECEIVED!$O$2:$O$1000), 0)</f>
        <v>0.0</v>
      </c>
      <c r="I9" t="inlineStr">
        <is>
          <t>YZ2WWPAKJQ</t>
        </is>
      </c>
      <c r="J9" s="3" t="n">
        <f>IFERROR(SUMIFS(RENT_DUE!$L$2:$L$10000, RENT_DUE!$B$2:$B$10000, "LEASE-BH-F8-2025", RENT_DUE!$D$2:$D$10000, "&lt;"&amp;DATE(2025,10,22)), 0) - IFERROR(SUMIFS(RENT_RECEIVED!$O$2:$O$10000, RENT_RECEIVED!$B$2:$B$10000, "LEASE-BH-F8-2025", RENT_RECEIVED!$E$2:$E$10000, "&lt;"&amp;DATE(2025,10,22)), 0)</f>
        <v>0.0</v>
      </c>
      <c r="K9" s="3" t="n">
        <f>G9 - H9</f>
        <v>0.0</v>
      </c>
      <c r="L9" s="3" t="n">
        <f>J9 + K9</f>
        <v>0.0</v>
      </c>
      <c r="M9" s="3" t="n">
        <f>H9 * 0.1500</f>
        <v>0.0</v>
      </c>
      <c r="N9" s="3" t="n">
        <f>H9 * 0.0000</f>
        <v>0.0</v>
      </c>
      <c r="O9" s="3" t="n">
        <f>ABS(M9 + N9)</f>
        <v>0.0</v>
      </c>
      <c r="P9" t="inlineStr">
        <is>
          <t/>
        </is>
      </c>
      <c r="Q9" s="3" t="n">
        <f>SUMIFS(EXPENSES!E:E, EXPENSES!B:B, "LEASE-BH-F8-2025", EXPENSES!D:D, "&gt;="&amp;DATE(2025,10,22), EXPENSES!D:D, "&lt;="&amp;DATE(2025,11,21))</f>
        <v>0.0</v>
      </c>
      <c r="R9" t="inlineStr">
        <is>
          <t/>
        </is>
      </c>
      <c r="S9" s="3" t="n">
        <f>H9 - O9 - Q9</f>
        <v>0.0</v>
      </c>
      <c r="T9" t="inlineStr">
        <is>
          <t/>
        </is>
      </c>
      <c r="U9" t="inlineStr">
        <is>
          <t/>
        </is>
      </c>
      <c r="V9" t="inlineStr">
        <is>
          <t/>
        </is>
      </c>
      <c r="W9" t="inlineStr">
        <is>
          <t/>
        </is>
      </c>
      <c r="X9" t="inlineStr">
        <is>
          <t/>
        </is>
      </c>
      <c r="Y9" s="3" t="n">
        <v>5318.75</v>
      </c>
      <c r="Z9" s="3" t="n">
        <f>S9-Y9</f>
        <v>0.0</v>
      </c>
      <c r="AA9" t="inlineStr">
        <is>
          <t>PAID</t>
        </is>
      </c>
      <c r="AB9" t="inlineStr">
        <is>
          <t>MULTIPLE</t>
        </is>
      </c>
      <c r="AC9" s="2" t="n">
        <v>45982.0</v>
      </c>
    </row>
    <row r="10">
      <c r="A10" t="inlineStr">
        <is>
          <t>LEASE-BH-F9-2025</t>
        </is>
      </c>
      <c r="B10" t="inlineStr">
        <is>
          <t>Flat 9 - 3 West Gate</t>
        </is>
      </c>
      <c r="C10" t="inlineStr">
        <is>
          <t>Achal (Delegated for Udayan)</t>
        </is>
      </c>
      <c r="D10" t="inlineStr">
        <is>
          <t>Mr Scott Warner</t>
        </is>
      </c>
      <c r="E10" s="2" t="n">
        <v>45736.0</v>
      </c>
      <c r="F10" t="n">
        <v>20.0</v>
      </c>
      <c r="G10" s="3" t="n">
        <f>IFERROR(SUMPRODUCT((RENT_DUE!$B$2:$B$1000="LEASE-BH-F9-2025")*(RENT_DUE!$D$2:$D$1000&gt;=DATE(2025,10,22))*(RENT_DUE!$D$2:$D$1000&lt;=DATE(2025,11,21))*RENT_DUE!$L$2:$L$1000), 0)</f>
        <v>0.0</v>
      </c>
      <c r="H10" s="3" t="n">
        <f>IFERROR(SUMPRODUCT((RENT_RECEIVED!$B$2:$B$1000="LEASE-BH-F9-2025")*(RENT_RECEIVED!$E$2:$E$1000&gt;=DATE(2025,10,22))*(RENT_RECEIVED!$E$2:$E$1000&lt;=DATE(2025,11,21))*RENT_RECEIVED!$O$2:$O$1000), 0)</f>
        <v>0.0</v>
      </c>
      <c r="I10" t="inlineStr">
        <is>
          <t>YZ2WWPAKJQ</t>
        </is>
      </c>
      <c r="J10" s="3" t="n">
        <f>IFERROR(SUMIFS(RENT_DUE!$L$2:$L$10000, RENT_DUE!$B$2:$B$10000, "LEASE-BH-F9-2025", RENT_DUE!$D$2:$D$10000, "&lt;"&amp;DATE(2025,10,22)), 0) - IFERROR(SUMIFS(RENT_RECEIVED!$O$2:$O$10000, RENT_RECEIVED!$B$2:$B$10000, "LEASE-BH-F9-2025", RENT_RECEIVED!$E$2:$E$10000, "&lt;"&amp;DATE(2025,10,22)), 0)</f>
        <v>0.0</v>
      </c>
      <c r="K10" s="3" t="n">
        <f>G10 - H10</f>
        <v>0.0</v>
      </c>
      <c r="L10" s="3" t="n">
        <f>J10 + K10</f>
        <v>0.0</v>
      </c>
      <c r="M10" s="3" t="n">
        <f>H10 * 0.1500</f>
        <v>0.0</v>
      </c>
      <c r="N10" s="3" t="n">
        <f>H10 * 0.0000</f>
        <v>0.0</v>
      </c>
      <c r="O10" s="3" t="n">
        <f>ABS(M10 + N10)</f>
        <v>0.0</v>
      </c>
      <c r="P10" t="inlineStr">
        <is>
          <t/>
        </is>
      </c>
      <c r="Q10" s="3" t="n">
        <f>SUMIFS(EXPENSES!E:E, EXPENSES!B:B, "LEASE-BH-F9-2025", EXPENSES!D:D, "&gt;="&amp;DATE(2025,10,22), EXPENSES!D:D, "&lt;="&amp;DATE(2025,11,21))</f>
        <v>0.0</v>
      </c>
      <c r="R10" t="inlineStr">
        <is>
          <t/>
        </is>
      </c>
      <c r="S10" s="3" t="n">
        <f>H10 - O10 - Q10</f>
        <v>0.0</v>
      </c>
      <c r="T10" t="inlineStr">
        <is>
          <t/>
        </is>
      </c>
      <c r="U10" t="inlineStr">
        <is>
          <t/>
        </is>
      </c>
      <c r="V10" t="inlineStr">
        <is>
          <t/>
        </is>
      </c>
      <c r="W10" t="inlineStr">
        <is>
          <t/>
        </is>
      </c>
      <c r="X10" t="inlineStr">
        <is>
          <t/>
        </is>
      </c>
      <c r="Y10" s="3" t="n">
        <v>5255.0</v>
      </c>
      <c r="Z10" s="3" t="n">
        <f>S10-Y10</f>
        <v>0.0</v>
      </c>
      <c r="AA10" t="inlineStr">
        <is>
          <t>PAID</t>
        </is>
      </c>
      <c r="AB10" t="inlineStr">
        <is>
          <t>MULTIPLE</t>
        </is>
      </c>
      <c r="AC10" s="2" t="n">
        <v>45982.0</v>
      </c>
    </row>
    <row r="11">
      <c r="A11" t="inlineStr">
        <is>
          <t>LEASE-BH-F10-2025</t>
        </is>
      </c>
      <c r="B11" t="inlineStr">
        <is>
          <t>Flat 10 - 3 West Gate</t>
        </is>
      </c>
      <c r="C11" t="inlineStr">
        <is>
          <t>Achal (Delegated for Udayan)</t>
        </is>
      </c>
      <c r="D11" t="inlineStr">
        <is>
          <t>Mr Ferenc Peter</t>
        </is>
      </c>
      <c r="E11" s="2" t="n">
        <v>45722.0</v>
      </c>
      <c r="F11" t="n">
        <v>6.0</v>
      </c>
      <c r="G11" s="3" t="n">
        <v>0.0</v>
      </c>
      <c r="H11" s="3" t="n">
        <f>IFERROR(SUMPRODUCT((RENT_RECEIVED!$B$2:$B$1000="LEASE-BH-F10-2025")*(RENT_RECEIVED!$E$2:$E$1000&gt;=DATE(2025,10,22))*(RENT_RECEIVED!$E$2:$E$1000&lt;=DATE(2025,11,21))*RENT_RECEIVED!$O$2:$O$1000), 0)</f>
        <v>0.0</v>
      </c>
      <c r="I11" t="inlineStr">
        <is>
          <t>G1O4GnbjZM, wXxzzbDYZA, YZ2WWPAKJQ</t>
        </is>
      </c>
      <c r="J11" s="3" t="n">
        <f>IFERROR(SUMIFS(RENT_DUE!$L$2:$L$10000, RENT_DUE!$B$2:$B$10000, "LEASE-BH-F10-2025", RENT_DUE!$D$2:$D$10000, "&lt;"&amp;DATE(2025,10,22)), 0) - IFERROR(SUMIFS(RENT_RECEIVED!$O$2:$O$10000, RENT_RECEIVED!$B$2:$B$10000, "LEASE-BH-F10-2025", RENT_RECEIVED!$E$2:$E$10000, "&lt;"&amp;DATE(2025,10,22)), 0)</f>
        <v>0.0</v>
      </c>
      <c r="K11" s="3" t="n">
        <f>G11 - H11</f>
        <v>0.0</v>
      </c>
      <c r="L11" s="3" t="n">
        <f>J11 + K11</f>
        <v>0.0</v>
      </c>
      <c r="M11" s="3" t="n">
        <f>H11 * 0.1500</f>
        <v>0.0</v>
      </c>
      <c r="N11" s="3" t="n">
        <f>H11 * 0.0000</f>
        <v>0.0</v>
      </c>
      <c r="O11" s="3" t="n">
        <f>ABS(M11 + N11)</f>
        <v>0.0</v>
      </c>
      <c r="P11" t="inlineStr">
        <is>
          <t/>
        </is>
      </c>
      <c r="Q11" s="3" t="n">
        <f>SUMIFS(EXPENSES!E:E, EXPENSES!B:B, "LEASE-BH-F10-2025", EXPENSES!D:D, "&gt;="&amp;DATE(2025,10,22), EXPENSES!D:D, "&lt;="&amp;DATE(2025,11,21))</f>
        <v>0.0</v>
      </c>
      <c r="R11" t="inlineStr">
        <is>
          <t/>
        </is>
      </c>
      <c r="S11" s="3" t="n">
        <f>H11 - O11 - Q11</f>
        <v>0.0</v>
      </c>
      <c r="T11" t="inlineStr">
        <is>
          <t/>
        </is>
      </c>
      <c r="U11" t="inlineStr">
        <is>
          <t/>
        </is>
      </c>
      <c r="V11" t="inlineStr">
        <is>
          <t/>
        </is>
      </c>
      <c r="W11" t="inlineStr">
        <is>
          <t/>
        </is>
      </c>
      <c r="X11" t="inlineStr">
        <is>
          <t/>
        </is>
      </c>
      <c r="Y11" s="3" t="n">
        <v>3534.47</v>
      </c>
      <c r="Z11" s="3" t="n">
        <f>S11-Y11</f>
        <v>0.0</v>
      </c>
      <c r="AA11" t="inlineStr">
        <is>
          <t>PAID</t>
        </is>
      </c>
      <c r="AB11" t="inlineStr">
        <is>
          <t>MULTIPLE</t>
        </is>
      </c>
      <c r="AC11" s="2" t="n">
        <v>45920.0</v>
      </c>
    </row>
    <row r="12">
      <c r="A12" t="inlineStr">
        <is>
          <t>LEASE-BH-F10-2025B</t>
        </is>
      </c>
      <c r="B12" t="inlineStr">
        <is>
          <t>Flat 10 - 3 West Gate</t>
        </is>
      </c>
      <c r="C12" t="inlineStr">
        <is>
          <t>Achal (Delegated for Udayan)</t>
        </is>
      </c>
      <c r="D12" t="inlineStr">
        <is>
          <t>Anna Stoliarchuk</t>
        </is>
      </c>
      <c r="E12" s="2" t="n">
        <v>45903.0</v>
      </c>
      <c r="F12" t="n">
        <v>9.0</v>
      </c>
      <c r="G12" s="3" t="n">
        <f>IFERROR(SUMPRODUCT((RENT_DUE!$B$2:$B$1000="LEASE-BH-F10-2025B")*(RENT_DUE!$D$2:$D$1000&gt;=DATE(2025,10,22))*(RENT_DUE!$D$2:$D$1000&lt;=DATE(2025,11,21))*RENT_DUE!$L$2:$L$1000), 0)</f>
        <v>0.0</v>
      </c>
      <c r="H12" s="3" t="n">
        <f>IFERROR(SUMPRODUCT((RENT_RECEIVED!$B$2:$B$1000="LEASE-BH-F10-2025B")*(RENT_RECEIVED!$E$2:$E$1000&gt;=DATE(2025,10,22))*(RENT_RECEIVED!$E$2:$E$1000&lt;=DATE(2025,11,21))*RENT_RECEIVED!$O$2:$O$1000), 0)</f>
        <v>0.0</v>
      </c>
      <c r="I12" t="inlineStr">
        <is>
          <t>G1O4GnbjZM, wXxzzbDYZA, YZ2WWPAKJQ</t>
        </is>
      </c>
      <c r="J12" s="3" t="n">
        <f>IFERROR(SUMIFS(RENT_DUE!$L$2:$L$10000, RENT_DUE!$B$2:$B$10000, "LEASE-BH-F10-2025B", RENT_DUE!$D$2:$D$10000, "&lt;"&amp;DATE(2025,10,22)), 0) - IFERROR(SUMIFS(RENT_RECEIVED!$O$2:$O$10000, RENT_RECEIVED!$B$2:$B$10000, "LEASE-BH-F10-2025B", RENT_RECEIVED!$E$2:$E$10000, "&lt;"&amp;DATE(2025,10,22)), 0)</f>
        <v>0.0</v>
      </c>
      <c r="K12" s="3" t="n">
        <f>G12 - H12</f>
        <v>0.0</v>
      </c>
      <c r="L12" s="3" t="n">
        <f>J12 + K12</f>
        <v>0.0</v>
      </c>
      <c r="M12" s="3" t="n">
        <f>H12 * 0.1500</f>
        <v>0.0</v>
      </c>
      <c r="N12" s="3" t="n">
        <f>H12 * 0.0000</f>
        <v>0.0</v>
      </c>
      <c r="O12" s="3" t="n">
        <f>ABS(M12 + N12)</f>
        <v>0.0</v>
      </c>
      <c r="P12" t="inlineStr">
        <is>
          <t/>
        </is>
      </c>
      <c r="Q12" s="3" t="n">
        <f>SUMIFS(EXPENSES!E:E, EXPENSES!B:B, "LEASE-BH-F10-2025B", EXPENSES!D:D, "&gt;="&amp;DATE(2025,10,22), EXPENSES!D:D, "&lt;="&amp;DATE(2025,11,21))</f>
        <v>0.0</v>
      </c>
      <c r="R12" t="inlineStr">
        <is>
          <t/>
        </is>
      </c>
      <c r="S12" s="3" t="n">
        <f>H12 - O12 - Q12</f>
        <v>0.0</v>
      </c>
      <c r="T12" t="inlineStr">
        <is>
          <t/>
        </is>
      </c>
      <c r="U12" t="inlineStr">
        <is>
          <t/>
        </is>
      </c>
      <c r="V12" t="inlineStr">
        <is>
          <t/>
        </is>
      </c>
      <c r="W12" t="inlineStr">
        <is>
          <t/>
        </is>
      </c>
      <c r="X12" t="inlineStr">
        <is>
          <t/>
        </is>
      </c>
      <c r="Y12" s="3" t="n">
        <v>1910.25</v>
      </c>
      <c r="Z12" s="3" t="n">
        <f>S12-Y12</f>
        <v>0.0</v>
      </c>
      <c r="AA12" t="inlineStr">
        <is>
          <t>PAID</t>
        </is>
      </c>
      <c r="AB12" t="inlineStr">
        <is>
          <t>MULTIPLE</t>
        </is>
      </c>
      <c r="AC12" s="2" t="n">
        <v>45982.0</v>
      </c>
    </row>
    <row r="13">
      <c r="A13" t="inlineStr">
        <is>
          <t>LEASE-BH-F11-2025</t>
        </is>
      </c>
      <c r="B13" t="inlineStr">
        <is>
          <t>Flat 11 - 3 West Gate</t>
        </is>
      </c>
      <c r="C13" t="inlineStr">
        <is>
          <t>Achal (Delegated for Udayan)</t>
        </is>
      </c>
      <c r="D13" t="inlineStr">
        <is>
          <t>Mr Richard Perrotta</t>
        </is>
      </c>
      <c r="E13" s="2" t="n">
        <v>45722.0</v>
      </c>
      <c r="F13" t="n">
        <v>26.0</v>
      </c>
      <c r="G13" s="3" t="n">
        <f>IFERROR(SUMPRODUCT((RENT_DUE!$B$2:$B$1000="LEASE-BH-F11-2025")*(RENT_DUE!$D$2:$D$1000&gt;=DATE(2025,10,22))*(RENT_DUE!$D$2:$D$1000&lt;=DATE(2025,11,21))*RENT_DUE!$L$2:$L$1000), 0)</f>
        <v>0.0</v>
      </c>
      <c r="H13" s="3" t="n">
        <f>IFERROR(SUMPRODUCT((RENT_RECEIVED!$B$2:$B$1000="LEASE-BH-F11-2025")*(RENT_RECEIVED!$E$2:$E$1000&gt;=DATE(2025,10,22))*(RENT_RECEIVED!$E$2:$E$1000&lt;=DATE(2025,11,21))*RENT_RECEIVED!$O$2:$O$1000), 0)</f>
        <v>0.0</v>
      </c>
      <c r="I13" t="inlineStr">
        <is>
          <t>zZyxxDQ01d</t>
        </is>
      </c>
      <c r="J13" s="3" t="n">
        <f>IFERROR(SUMIFS(RENT_DUE!$L$2:$L$10000, RENT_DUE!$B$2:$B$10000, "LEASE-BH-F11-2025", RENT_DUE!$D$2:$D$10000, "&lt;"&amp;DATE(2025,10,22)), 0) - IFERROR(SUMIFS(RENT_RECEIVED!$O$2:$O$10000, RENT_RECEIVED!$B$2:$B$10000, "LEASE-BH-F11-2025", RENT_RECEIVED!$E$2:$E$10000, "&lt;"&amp;DATE(2025,10,22)), 0)</f>
        <v>0.0</v>
      </c>
      <c r="K13" s="3" t="n">
        <f>G13 - H13</f>
        <v>0.0</v>
      </c>
      <c r="L13" s="3" t="n">
        <f>J13 + K13</f>
        <v>0.0</v>
      </c>
      <c r="M13" s="3" t="n">
        <f>H13 * 0.1500</f>
        <v>0.0</v>
      </c>
      <c r="N13" s="3" t="n">
        <f>H13 * 0.0000</f>
        <v>0.0</v>
      </c>
      <c r="O13" s="3" t="n">
        <f>ABS(M13 + N13)</f>
        <v>0.0</v>
      </c>
      <c r="P13" t="inlineStr">
        <is>
          <t/>
        </is>
      </c>
      <c r="Q13" s="3" t="n">
        <f>SUMIFS(EXPENSES!E:E, EXPENSES!B:B, "LEASE-BH-F11-2025", EXPENSES!D:D, "&gt;="&amp;DATE(2025,10,22), EXPENSES!D:D, "&lt;="&amp;DATE(2025,11,21))</f>
        <v>0.0</v>
      </c>
      <c r="R13" t="inlineStr">
        <is>
          <t/>
        </is>
      </c>
      <c r="S13" s="3" t="n">
        <f>H13 - O13 - Q13</f>
        <v>0.0</v>
      </c>
      <c r="T13" t="inlineStr">
        <is>
          <t/>
        </is>
      </c>
      <c r="U13" t="inlineStr">
        <is>
          <t/>
        </is>
      </c>
      <c r="V13" t="inlineStr">
        <is>
          <t/>
        </is>
      </c>
      <c r="W13" t="inlineStr">
        <is>
          <t/>
        </is>
      </c>
      <c r="X13" t="inlineStr">
        <is>
          <t/>
        </is>
      </c>
      <c r="Y13" s="3" t="n">
        <v>5979.75</v>
      </c>
      <c r="Z13" s="3" t="n">
        <f>S13-Y13</f>
        <v>0.0</v>
      </c>
      <c r="AA13" t="inlineStr">
        <is>
          <t>PAID</t>
        </is>
      </c>
      <c r="AB13" t="inlineStr">
        <is>
          <t>MULTIPLE</t>
        </is>
      </c>
      <c r="AC13" s="2" t="n">
        <v>45981.0</v>
      </c>
    </row>
    <row r="14">
      <c r="A14" t="inlineStr">
        <is>
          <t>LEASE-BH-F12-2025</t>
        </is>
      </c>
      <c r="B14" t="inlineStr">
        <is>
          <t>Flat 12 - 3 West Gate</t>
        </is>
      </c>
      <c r="C14" t="inlineStr">
        <is>
          <t>Achal (Delegated for Udayan)</t>
        </is>
      </c>
      <c r="D14" t="inlineStr">
        <is>
          <t>MR J SOOPIYADAKATH THEKKE PURAYIL &amp; MS S</t>
        </is>
      </c>
      <c r="E14" s="2" t="n">
        <v>45754.0</v>
      </c>
      <c r="F14" t="n">
        <v>7.0</v>
      </c>
      <c r="G14" s="3" t="n">
        <v>0.0</v>
      </c>
      <c r="H14" s="3" t="n">
        <f>IFERROR(SUMPRODUCT((RENT_RECEIVED!$B$2:$B$1000="LEASE-BH-F12-2025")*(RENT_RECEIVED!$E$2:$E$1000&gt;=DATE(2025,10,22))*(RENT_RECEIVED!$E$2:$E$1000&lt;=DATE(2025,11,21))*RENT_RECEIVED!$O$2:$O$1000), 0)</f>
        <v>0.0</v>
      </c>
      <c r="I14" t="inlineStr">
        <is>
          <t>, G1O4GnbjZM</t>
        </is>
      </c>
      <c r="J14" s="3" t="n">
        <f>IFERROR(SUMIFS(RENT_DUE!$L$2:$L$10000, RENT_DUE!$B$2:$B$10000, "LEASE-BH-F12-2025", RENT_DUE!$D$2:$D$10000, "&lt;"&amp;DATE(2025,10,22)), 0) - IFERROR(SUMIFS(RENT_RECEIVED!$O$2:$O$10000, RENT_RECEIVED!$B$2:$B$10000, "LEASE-BH-F12-2025", RENT_RECEIVED!$E$2:$E$10000, "&lt;"&amp;DATE(2025,10,22)), 0)</f>
        <v>0.0</v>
      </c>
      <c r="K14" s="3" t="n">
        <f>G14 - H14</f>
        <v>0.0</v>
      </c>
      <c r="L14" s="3" t="n">
        <f>J14 + K14</f>
        <v>0.0</v>
      </c>
      <c r="M14" s="3" t="n">
        <f>H14 * 0.1500</f>
        <v>0.0</v>
      </c>
      <c r="N14" s="3" t="n">
        <f>H14 * 0.0000</f>
        <v>0.0</v>
      </c>
      <c r="O14" s="3" t="n">
        <f>ABS(M14 + N14)</f>
        <v>0.0</v>
      </c>
      <c r="P14" t="inlineStr">
        <is>
          <t/>
        </is>
      </c>
      <c r="Q14" s="3" t="n">
        <f>SUMIFS(EXPENSES!E:E, EXPENSES!B:B, "LEASE-BH-F12-2025", EXPENSES!D:D, "&gt;="&amp;DATE(2025,10,22), EXPENSES!D:D, "&lt;="&amp;DATE(2025,11,21))</f>
        <v>0.0</v>
      </c>
      <c r="R14" t="inlineStr">
        <is>
          <t/>
        </is>
      </c>
      <c r="S14" s="3" t="n">
        <f>H14 - O14 - Q14</f>
        <v>0.0</v>
      </c>
      <c r="T14" t="inlineStr">
        <is>
          <t/>
        </is>
      </c>
      <c r="U14" t="inlineStr">
        <is>
          <t/>
        </is>
      </c>
      <c r="V14" t="inlineStr">
        <is>
          <t/>
        </is>
      </c>
      <c r="W14" t="inlineStr">
        <is>
          <t/>
        </is>
      </c>
      <c r="X14" t="inlineStr">
        <is>
          <t/>
        </is>
      </c>
      <c r="Y14" s="3" t="n">
        <v>1147.5</v>
      </c>
      <c r="Z14" s="3" t="n">
        <f>S14-Y14</f>
        <v>0.0</v>
      </c>
      <c r="AA14" t="inlineStr">
        <is>
          <t>PAID</t>
        </is>
      </c>
      <c r="AB14" t="inlineStr">
        <is>
          <t>MULTIPLE</t>
        </is>
      </c>
      <c r="AC14" s="2" t="n">
        <v>45804.0</v>
      </c>
    </row>
    <row r="15">
      <c r="A15" t="inlineStr">
        <is>
          <t>LEASE-BH-F12-2025B</t>
        </is>
      </c>
      <c r="B15" t="inlineStr">
        <is>
          <t>Flat 12 - 3 West Gate</t>
        </is>
      </c>
      <c r="C15" t="inlineStr">
        <is>
          <t>Achal (Delegated for Udayan)</t>
        </is>
      </c>
      <c r="D15" t="inlineStr">
        <is>
          <t>Adam Kirby</t>
        </is>
      </c>
      <c r="E15" s="2" t="n">
        <v>45860.0</v>
      </c>
      <c r="F15" t="n">
        <v>22.0</v>
      </c>
      <c r="G15" s="3" t="n">
        <v>0.0</v>
      </c>
      <c r="H15" s="3" t="n">
        <f>IFERROR(SUMPRODUCT((RENT_RECEIVED!$B$2:$B$1000="LEASE-BH-F12-2025B")*(RENT_RECEIVED!$E$2:$E$1000&gt;=DATE(2025,10,22))*(RENT_RECEIVED!$E$2:$E$1000&lt;=DATE(2025,11,21))*RENT_RECEIVED!$O$2:$O$1000), 0)</f>
        <v>0.0</v>
      </c>
      <c r="I15" t="inlineStr">
        <is>
          <t>, G1O4GnbjZM</t>
        </is>
      </c>
      <c r="J15" s="3" t="n">
        <f>IFERROR(SUMIFS(RENT_DUE!$L$2:$L$10000, RENT_DUE!$B$2:$B$10000, "LEASE-BH-F12-2025B", RENT_DUE!$D$2:$D$10000, "&lt;"&amp;DATE(2025,10,22)), 0) - IFERROR(SUMIFS(RENT_RECEIVED!$O$2:$O$10000, RENT_RECEIVED!$B$2:$B$10000, "LEASE-BH-F12-2025B", RENT_RECEIVED!$E$2:$E$10000, "&lt;"&amp;DATE(2025,10,22)), 0)</f>
        <v>0.0</v>
      </c>
      <c r="K15" s="3" t="n">
        <f>G15 - H15</f>
        <v>0.0</v>
      </c>
      <c r="L15" s="3" t="n">
        <f>J15 + K15</f>
        <v>0.0</v>
      </c>
      <c r="M15" s="3" t="n">
        <f>H15 * 0.1500</f>
        <v>0.0</v>
      </c>
      <c r="N15" s="3" t="n">
        <f>H15 * 0.0000</f>
        <v>0.0</v>
      </c>
      <c r="O15" s="3" t="n">
        <f>ABS(M15 + N15)</f>
        <v>0.0</v>
      </c>
      <c r="P15" t="inlineStr">
        <is>
          <t/>
        </is>
      </c>
      <c r="Q15" s="3" t="n">
        <f>SUMIFS(EXPENSES!E:E, EXPENSES!B:B, "LEASE-BH-F12-2025B", EXPENSES!D:D, "&gt;="&amp;DATE(2025,10,22), EXPENSES!D:D, "&lt;="&amp;DATE(2025,11,21))</f>
        <v>0.0</v>
      </c>
      <c r="R15" t="inlineStr">
        <is>
          <t/>
        </is>
      </c>
      <c r="S15" s="3" t="n">
        <f>H15 - O15 - Q15</f>
        <v>0.0</v>
      </c>
      <c r="T15" t="inlineStr">
        <is>
          <t/>
        </is>
      </c>
      <c r="U15" t="inlineStr">
        <is>
          <t/>
        </is>
      </c>
      <c r="V15" t="inlineStr">
        <is>
          <t/>
        </is>
      </c>
      <c r="W15" t="inlineStr">
        <is>
          <t/>
        </is>
      </c>
      <c r="X15" t="inlineStr">
        <is>
          <t/>
        </is>
      </c>
      <c r="Y15" s="3" t="n">
        <v>4834.2</v>
      </c>
      <c r="Z15" s="3" t="n">
        <f>S15-Y15</f>
        <v>0.0</v>
      </c>
      <c r="AA15" t="inlineStr">
        <is>
          <t>PAID</t>
        </is>
      </c>
      <c r="AB15" t="inlineStr">
        <is>
          <t>MULTIPLE</t>
        </is>
      </c>
      <c r="AC15" s="2" t="n">
        <v>45992.0</v>
      </c>
    </row>
    <row r="16">
      <c r="A16" t="inlineStr">
        <is>
          <t>LEASE-BH-F13-2025</t>
        </is>
      </c>
      <c r="B16" t="inlineStr">
        <is>
          <t>Flat 13 - 3 West Gate</t>
        </is>
      </c>
      <c r="C16" t="inlineStr">
        <is>
          <t>Achal (Delegated for Udayan)</t>
        </is>
      </c>
      <c r="D16" t="inlineStr">
        <is>
          <t>Mr Nathan Holland</t>
        </is>
      </c>
      <c r="E16" s="2" t="n">
        <v>45719.0</v>
      </c>
      <c r="F16" t="n">
        <v>3.0</v>
      </c>
      <c r="G16" s="3" t="n">
        <f>IFERROR(SUMPRODUCT((RENT_DUE!$B$2:$B$1000="LEASE-BH-F13-2025")*(RENT_DUE!$D$2:$D$1000&gt;=DATE(2025,10,22))*(RENT_DUE!$D$2:$D$1000&lt;=DATE(2025,11,21))*RENT_DUE!$L$2:$L$1000), 0)</f>
        <v>0.0</v>
      </c>
      <c r="H16" s="3" t="n">
        <f>IFERROR(SUMPRODUCT((RENT_RECEIVED!$B$2:$B$1000="LEASE-BH-F13-2025")*(RENT_RECEIVED!$E$2:$E$1000&gt;=DATE(2025,10,22))*(RENT_RECEIVED!$E$2:$E$1000&lt;=DATE(2025,11,21))*RENT_RECEIVED!$O$2:$O$1000), 0)</f>
        <v>0.0</v>
      </c>
      <c r="I16" t="inlineStr">
        <is>
          <t/>
        </is>
      </c>
      <c r="J16" s="3" t="n">
        <f>IFERROR(SUMIFS(RENT_DUE!$L$2:$L$10000, RENT_DUE!$B$2:$B$10000, "LEASE-BH-F13-2025", RENT_DUE!$D$2:$D$10000, "&lt;"&amp;DATE(2025,10,22)), 0) - IFERROR(SUMIFS(RENT_RECEIVED!$O$2:$O$10000, RENT_RECEIVED!$B$2:$B$10000, "LEASE-BH-F13-2025", RENT_RECEIVED!$E$2:$E$10000, "&lt;"&amp;DATE(2025,10,22)), 0)</f>
        <v>0.0</v>
      </c>
      <c r="K16" s="3" t="n">
        <f>G16 - H16</f>
        <v>0.0</v>
      </c>
      <c r="L16" s="3" t="n">
        <f>J16 + K16</f>
        <v>0.0</v>
      </c>
      <c r="M16" s="3" t="n">
        <f>H16 * 0.1500</f>
        <v>0.0</v>
      </c>
      <c r="N16" s="3" t="n">
        <f>H16 * 0.0000</f>
        <v>0.0</v>
      </c>
      <c r="O16" s="3" t="n">
        <f>ABS(M16 + N16)</f>
        <v>0.0</v>
      </c>
      <c r="P16" t="inlineStr">
        <is>
          <t/>
        </is>
      </c>
      <c r="Q16" s="3" t="n">
        <f>SUMIFS(EXPENSES!E:E, EXPENSES!B:B, "LEASE-BH-F13-2025", EXPENSES!D:D, "&gt;="&amp;DATE(2025,10,22), EXPENSES!D:D, "&lt;="&amp;DATE(2025,11,21))</f>
        <v>0.0</v>
      </c>
      <c r="R16" t="inlineStr">
        <is>
          <t/>
        </is>
      </c>
      <c r="S16" s="3" t="n">
        <f>H16 - O16 - Q16</f>
        <v>0.0</v>
      </c>
      <c r="T16" t="inlineStr">
        <is>
          <t/>
        </is>
      </c>
      <c r="U16" t="inlineStr">
        <is>
          <t/>
        </is>
      </c>
      <c r="V16" t="inlineStr">
        <is>
          <t/>
        </is>
      </c>
      <c r="W16" t="inlineStr">
        <is>
          <t/>
        </is>
      </c>
      <c r="X16" t="inlineStr">
        <is>
          <t/>
        </is>
      </c>
      <c r="Y16" s="3" t="n">
        <v>5440.0</v>
      </c>
      <c r="Z16" s="3" t="n">
        <f>S16-Y16</f>
        <v>0.0</v>
      </c>
      <c r="AA16" t="inlineStr">
        <is>
          <t>PAID</t>
        </is>
      </c>
      <c r="AB16" t="inlineStr">
        <is>
          <t>MULTIPLE</t>
        </is>
      </c>
      <c r="AC16" s="2" t="n">
        <v>45936.0</v>
      </c>
    </row>
    <row r="17">
      <c r="A17" t="inlineStr">
        <is>
          <t>LEASE-BH-F14-2025</t>
        </is>
      </c>
      <c r="B17" t="inlineStr">
        <is>
          <t>Flat 14 - 3 West Gate</t>
        </is>
      </c>
      <c r="C17" t="inlineStr">
        <is>
          <t>Achal (Delegated for Udayan)</t>
        </is>
      </c>
      <c r="D17" t="inlineStr">
        <is>
          <t>Ms Sarah Buckle, Mr Matthew Lewsley</t>
        </is>
      </c>
      <c r="E17" s="2" t="n">
        <v>45744.0</v>
      </c>
      <c r="F17" t="n">
        <v>28.0</v>
      </c>
      <c r="G17" s="3" t="n">
        <f>IFERROR(SUMPRODUCT((RENT_DUE!$B$2:$B$1000="LEASE-BH-F14-2025")*(RENT_DUE!$D$2:$D$1000&gt;=DATE(2025,10,22))*(RENT_DUE!$D$2:$D$1000&lt;=DATE(2025,11,21))*RENT_DUE!$L$2:$L$1000), 0)</f>
        <v>0.0</v>
      </c>
      <c r="H17" s="3" t="n">
        <f>IFERROR(SUMPRODUCT((RENT_RECEIVED!$B$2:$B$1000="LEASE-BH-F14-2025")*(RENT_RECEIVED!$E$2:$E$1000&gt;=DATE(2025,10,22))*(RENT_RECEIVED!$E$2:$E$1000&lt;=DATE(2025,11,21))*RENT_RECEIVED!$O$2:$O$1000), 0)</f>
        <v>0.0</v>
      </c>
      <c r="I17" t="inlineStr">
        <is>
          <t>HIST-2025-12-1654</t>
        </is>
      </c>
      <c r="J17" s="3" t="n">
        <f>IFERROR(SUMIFS(RENT_DUE!$L$2:$L$10000, RENT_DUE!$B$2:$B$10000, "LEASE-BH-F14-2025", RENT_DUE!$D$2:$D$10000, "&lt;"&amp;DATE(2025,10,22)), 0) - IFERROR(SUMIFS(RENT_RECEIVED!$O$2:$O$10000, RENT_RECEIVED!$B$2:$B$10000, "LEASE-BH-F14-2025", RENT_RECEIVED!$E$2:$E$10000, "&lt;"&amp;DATE(2025,10,22)), 0)</f>
        <v>0.0</v>
      </c>
      <c r="K17" s="3" t="n">
        <f>G17 - H17</f>
        <v>0.0</v>
      </c>
      <c r="L17" s="3" t="n">
        <f>J17 + K17</f>
        <v>0.0</v>
      </c>
      <c r="M17" s="3" t="n">
        <f>H17 * 0.1500</f>
        <v>0.0</v>
      </c>
      <c r="N17" s="3" t="n">
        <f>H17 * 0.0000</f>
        <v>0.0</v>
      </c>
      <c r="O17" s="3" t="n">
        <f>ABS(M17 + N17)</f>
        <v>0.0</v>
      </c>
      <c r="P17" t="inlineStr">
        <is>
          <t/>
        </is>
      </c>
      <c r="Q17" s="3" t="n">
        <f>SUMIFS(EXPENSES!E:E, EXPENSES!B:B, "LEASE-BH-F14-2025", EXPENSES!D:D, "&gt;="&amp;DATE(2025,10,22), EXPENSES!D:D, "&lt;="&amp;DATE(2025,11,21))</f>
        <v>0.0</v>
      </c>
      <c r="R17" t="inlineStr">
        <is>
          <t/>
        </is>
      </c>
      <c r="S17" s="3" t="n">
        <f>H17 - O17 - Q17</f>
        <v>0.0</v>
      </c>
      <c r="T17" t="inlineStr">
        <is>
          <t/>
        </is>
      </c>
      <c r="U17" t="inlineStr">
        <is>
          <t/>
        </is>
      </c>
      <c r="V17" t="inlineStr">
        <is>
          <t/>
        </is>
      </c>
      <c r="W17" t="inlineStr">
        <is>
          <t/>
        </is>
      </c>
      <c r="X17" t="inlineStr">
        <is>
          <t/>
        </is>
      </c>
      <c r="Y17" s="3" t="n">
        <v>5410.25</v>
      </c>
      <c r="Z17" s="3" t="n">
        <f>S17-Y17</f>
        <v>0.0</v>
      </c>
      <c r="AA17" t="inlineStr">
        <is>
          <t>PAID</t>
        </is>
      </c>
      <c r="AB17" t="inlineStr">
        <is>
          <t>MULTIPLE</t>
        </is>
      </c>
      <c r="AC17" s="2" t="n">
        <v>45992.0</v>
      </c>
    </row>
    <row r="18">
      <c r="A18" t="inlineStr">
        <is>
          <t>LEASE-BH-F15-2025</t>
        </is>
      </c>
      <c r="B18" t="inlineStr">
        <is>
          <t>Flat 15 - 3 West Gate</t>
        </is>
      </c>
      <c r="C18" t="inlineStr">
        <is>
          <t>Achal (Delegated for Udayan)</t>
        </is>
      </c>
      <c r="D18" t="inlineStr">
        <is>
          <t>Ms Lucy Cassell</t>
        </is>
      </c>
      <c r="E18" s="2" t="n">
        <v>45703.0</v>
      </c>
      <c r="F18" t="n">
        <v>15.0</v>
      </c>
      <c r="G18" s="3" t="n">
        <f>IFERROR(SUMPRODUCT((RENT_DUE!$B$2:$B$1000="LEASE-BH-F15-2025")*(RENT_DUE!$D$2:$D$1000&gt;=DATE(2025,10,22))*(RENT_DUE!$D$2:$D$1000&lt;=DATE(2025,11,21))*RENT_DUE!$L$2:$L$1000), 0)</f>
        <v>0.0</v>
      </c>
      <c r="H18" s="3" t="n">
        <f>IFERROR(SUMPRODUCT((RENT_RECEIVED!$B$2:$B$1000="LEASE-BH-F15-2025")*(RENT_RECEIVED!$E$2:$E$1000&gt;=DATE(2025,10,22))*(RENT_RECEIVED!$E$2:$E$1000&lt;=DATE(2025,11,21))*RENT_RECEIVED!$O$2:$O$1000), 0)</f>
        <v>0.0</v>
      </c>
      <c r="I18" t="inlineStr">
        <is>
          <t>G1O4GnbjZM, YZ2WWPAKJQ</t>
        </is>
      </c>
      <c r="J18" s="3" t="n">
        <f>IFERROR(SUMIFS(RENT_DUE!$L$2:$L$10000, RENT_DUE!$B$2:$B$10000, "LEASE-BH-F15-2025", RENT_DUE!$D$2:$D$10000, "&lt;"&amp;DATE(2025,10,22)), 0) - IFERROR(SUMIFS(RENT_RECEIVED!$O$2:$O$10000, RENT_RECEIVED!$B$2:$B$10000, "LEASE-BH-F15-2025", RENT_RECEIVED!$E$2:$E$10000, "&lt;"&amp;DATE(2025,10,22)), 0)</f>
        <v>0.0</v>
      </c>
      <c r="K18" s="3" t="n">
        <f>G18 - H18</f>
        <v>0.0</v>
      </c>
      <c r="L18" s="3" t="n">
        <f>J18 + K18</f>
        <v>0.0</v>
      </c>
      <c r="M18" s="3" t="n">
        <f>H18 * 0.1500</f>
        <v>0.0</v>
      </c>
      <c r="N18" s="3" t="n">
        <f>H18 * 0.0000</f>
        <v>0.0</v>
      </c>
      <c r="O18" s="3" t="n">
        <f>ABS(M18 + N18)</f>
        <v>0.0</v>
      </c>
      <c r="P18" t="inlineStr">
        <is>
          <t/>
        </is>
      </c>
      <c r="Q18" s="3" t="n">
        <f>SUMIFS(EXPENSES!E:E, EXPENSES!B:B, "LEASE-BH-F15-2025", EXPENSES!D:D, "&gt;="&amp;DATE(2025,10,22), EXPENSES!D:D, "&lt;="&amp;DATE(2025,11,21))</f>
        <v>0.0</v>
      </c>
      <c r="R18" t="inlineStr">
        <is>
          <t/>
        </is>
      </c>
      <c r="S18" s="3" t="n">
        <f>H18 - O18 - Q18</f>
        <v>0.0</v>
      </c>
      <c r="T18" t="inlineStr">
        <is>
          <t/>
        </is>
      </c>
      <c r="U18" t="inlineStr">
        <is>
          <t/>
        </is>
      </c>
      <c r="V18" t="inlineStr">
        <is>
          <t/>
        </is>
      </c>
      <c r="W18" t="inlineStr">
        <is>
          <t/>
        </is>
      </c>
      <c r="X18" t="inlineStr">
        <is>
          <t/>
        </is>
      </c>
      <c r="Y18" s="3" t="n">
        <v>6170.0</v>
      </c>
      <c r="Z18" s="3" t="n">
        <f>S18-Y18</f>
        <v>0.0</v>
      </c>
      <c r="AA18" t="inlineStr">
        <is>
          <t>PAID</t>
        </is>
      </c>
      <c r="AB18" t="inlineStr">
        <is>
          <t>MULTIPLE</t>
        </is>
      </c>
      <c r="AC18" s="2" t="n">
        <v>45982.0</v>
      </c>
    </row>
    <row r="19">
      <c r="A19" t="inlineStr">
        <is>
          <t>LEASE-BH-F16-2025</t>
        </is>
      </c>
      <c r="B19" t="inlineStr">
        <is>
          <t>Flat 16 - 3 West Gate</t>
        </is>
      </c>
      <c r="C19" t="inlineStr">
        <is>
          <t>Achal (Delegated for Udayan)</t>
        </is>
      </c>
      <c r="D19" t="inlineStr">
        <is>
          <t>Mr Riley Paul Beresford, Ms Gina Louise Judge</t>
        </is>
      </c>
      <c r="E19" s="2" t="n">
        <v>45726.0</v>
      </c>
      <c r="F19" t="n">
        <v>10.0</v>
      </c>
      <c r="G19" s="3" t="n">
        <v>0.0</v>
      </c>
      <c r="H19" s="3" t="n">
        <f>IFERROR(SUMPRODUCT((RENT_RECEIVED!$B$2:$B$1000="LEASE-BH-F16-2025")*(RENT_RECEIVED!$E$2:$E$1000&gt;=DATE(2025,10,22))*(RENT_RECEIVED!$E$2:$E$1000&lt;=DATE(2025,11,21))*RENT_RECEIVED!$O$2:$O$1000), 0)</f>
        <v>0.0</v>
      </c>
      <c r="I19" t="inlineStr">
        <is>
          <t/>
        </is>
      </c>
      <c r="J19" s="3" t="n">
        <f>IFERROR(SUMIFS(RENT_DUE!$L$2:$L$10000, RENT_DUE!$B$2:$B$10000, "LEASE-BH-F16-2025", RENT_DUE!$D$2:$D$10000, "&lt;"&amp;DATE(2025,10,22)), 0) - IFERROR(SUMIFS(RENT_RECEIVED!$O$2:$O$10000, RENT_RECEIVED!$B$2:$B$10000, "LEASE-BH-F16-2025", RENT_RECEIVED!$E$2:$E$10000, "&lt;"&amp;DATE(2025,10,22)), 0)</f>
        <v>0.0</v>
      </c>
      <c r="K19" s="3" t="n">
        <f>G19 - H19</f>
        <v>0.0</v>
      </c>
      <c r="L19" s="3" t="n">
        <f>J19 + K19</f>
        <v>0.0</v>
      </c>
      <c r="M19" s="3" t="n">
        <f>H19 * 0.1500</f>
        <v>0.0</v>
      </c>
      <c r="N19" s="3" t="n">
        <f>H19 * 0.0000</f>
        <v>0.0</v>
      </c>
      <c r="O19" s="3" t="n">
        <f>ABS(M19 + N19)</f>
        <v>0.0</v>
      </c>
      <c r="P19" t="inlineStr">
        <is>
          <t/>
        </is>
      </c>
      <c r="Q19" s="3" t="n">
        <f>SUMIFS(EXPENSES!E:E, EXPENSES!B:B, "LEASE-BH-F16-2025", EXPENSES!D:D, "&gt;="&amp;DATE(2025,10,22), EXPENSES!D:D, "&lt;="&amp;DATE(2025,11,21))</f>
        <v>0.0</v>
      </c>
      <c r="R19" t="inlineStr">
        <is>
          <t/>
        </is>
      </c>
      <c r="S19" s="3" t="n">
        <f>H19 - O19 - Q19</f>
        <v>0.0</v>
      </c>
      <c r="T19" t="inlineStr">
        <is>
          <t/>
        </is>
      </c>
      <c r="U19" t="inlineStr">
        <is>
          <t/>
        </is>
      </c>
      <c r="V19" t="inlineStr">
        <is>
          <t/>
        </is>
      </c>
      <c r="W19" t="inlineStr">
        <is>
          <t/>
        </is>
      </c>
      <c r="X19" t="inlineStr">
        <is>
          <t/>
        </is>
      </c>
      <c r="Y19" s="3" t="n">
        <v>3641.31</v>
      </c>
      <c r="Z19" s="3" t="n">
        <f>S19-Y19</f>
        <v>0.0</v>
      </c>
      <c r="AA19" t="inlineStr">
        <is>
          <t>PAID</t>
        </is>
      </c>
      <c r="AB19" t="inlineStr">
        <is>
          <t>MULTIPLE</t>
        </is>
      </c>
      <c r="AC19" s="2" t="n">
        <v>45891.0</v>
      </c>
    </row>
    <row r="20">
      <c r="A20" t="inlineStr">
        <is>
          <t>LEASE-BH-F17-2025</t>
        </is>
      </c>
      <c r="B20" t="inlineStr">
        <is>
          <t>Flat 17 - 3 West Gate</t>
        </is>
      </c>
      <c r="C20" t="inlineStr">
        <is>
          <t>Achal (Delegated for Udayan)</t>
        </is>
      </c>
      <c r="D20" t="inlineStr">
        <is>
          <t>Mr Harsh Patel</t>
        </is>
      </c>
      <c r="E20" s="2" t="n">
        <v>45705.0</v>
      </c>
      <c r="F20" t="n">
        <v>17.0</v>
      </c>
      <c r="G20" s="3" t="n">
        <f>IFERROR(SUMPRODUCT((RENT_DUE!$B$2:$B$1000="LEASE-BH-F17-2025")*(RENT_DUE!$D$2:$D$1000&gt;=DATE(2025,10,22))*(RENT_DUE!$D$2:$D$1000&lt;=DATE(2025,11,21))*RENT_DUE!$L$2:$L$1000), 0)</f>
        <v>0.0</v>
      </c>
      <c r="H20" s="3" t="n">
        <f>IFERROR(SUMPRODUCT((RENT_RECEIVED!$B$2:$B$1000="LEASE-BH-F17-2025")*(RENT_RECEIVED!$E$2:$E$1000&gt;=DATE(2025,10,22))*(RENT_RECEIVED!$E$2:$E$1000&lt;=DATE(2025,11,21))*RENT_RECEIVED!$O$2:$O$1000), 0)</f>
        <v>0.0</v>
      </c>
      <c r="I20" t="inlineStr">
        <is>
          <t>G1O4GnbjZM, YZ2WWPAKJQ</t>
        </is>
      </c>
      <c r="J20" s="3" t="n">
        <f>IFERROR(SUMIFS(RENT_DUE!$L$2:$L$10000, RENT_DUE!$B$2:$B$10000, "LEASE-BH-F17-2025", RENT_DUE!$D$2:$D$10000, "&lt;"&amp;DATE(2025,10,22)), 0) - IFERROR(SUMIFS(RENT_RECEIVED!$O$2:$O$10000, RENT_RECEIVED!$B$2:$B$10000, "LEASE-BH-F17-2025", RENT_RECEIVED!$E$2:$E$10000, "&lt;"&amp;DATE(2025,10,22)), 0)</f>
        <v>0.0</v>
      </c>
      <c r="K20" s="3" t="n">
        <f>G20 - H20</f>
        <v>0.0</v>
      </c>
      <c r="L20" s="3" t="n">
        <f>J20 + K20</f>
        <v>0.0</v>
      </c>
      <c r="M20" s="3" t="n">
        <f>H20 * 0.1500</f>
        <v>0.0</v>
      </c>
      <c r="N20" s="3" t="n">
        <f>H20 * 0.0000</f>
        <v>0.0</v>
      </c>
      <c r="O20" s="3" t="n">
        <f>ABS(M20 + N20)</f>
        <v>0.0</v>
      </c>
      <c r="P20" t="inlineStr">
        <is>
          <t/>
        </is>
      </c>
      <c r="Q20" s="3" t="n">
        <f>SUMIFS(EXPENSES!E:E, EXPENSES!B:B, "LEASE-BH-F17-2025", EXPENSES!D:D, "&gt;="&amp;DATE(2025,10,22), EXPENSES!D:D, "&lt;="&amp;DATE(2025,11,21))</f>
        <v>0.0</v>
      </c>
      <c r="R20" t="inlineStr">
        <is>
          <t/>
        </is>
      </c>
      <c r="S20" s="3" t="n">
        <f>H20 - O20 - Q20</f>
        <v>0.0</v>
      </c>
      <c r="T20" t="inlineStr">
        <is>
          <t/>
        </is>
      </c>
      <c r="U20" t="inlineStr">
        <is>
          <t/>
        </is>
      </c>
      <c r="V20" t="inlineStr">
        <is>
          <t/>
        </is>
      </c>
      <c r="W20" t="inlineStr">
        <is>
          <t/>
        </is>
      </c>
      <c r="X20" t="inlineStr">
        <is>
          <t/>
        </is>
      </c>
      <c r="Y20" s="3" t="n">
        <v>5800.0</v>
      </c>
      <c r="Z20" s="3" t="n">
        <f>S20-Y20</f>
        <v>0.0</v>
      </c>
      <c r="AA20" t="inlineStr">
        <is>
          <t>PAID</t>
        </is>
      </c>
      <c r="AB20" t="inlineStr">
        <is>
          <t>MULTIPLE</t>
        </is>
      </c>
      <c r="AC20" s="2" t="n">
        <v>45982.0</v>
      </c>
    </row>
    <row r="21">
      <c r="A21" t="inlineStr">
        <is>
          <t>LEASE-BH-F18-2025</t>
        </is>
      </c>
      <c r="B21" t="inlineStr">
        <is>
          <t>Flat 18 - 3 West Gate</t>
        </is>
      </c>
      <c r="C21" t="inlineStr">
        <is>
          <t>Achal (Delegated for Udayan)</t>
        </is>
      </c>
      <c r="D21" t="inlineStr">
        <is>
          <t>Marie Dinko</t>
        </is>
      </c>
      <c r="E21" s="2" t="n">
        <v>45687.0</v>
      </c>
      <c r="F21" t="n">
        <v>30.0</v>
      </c>
      <c r="G21" s="3" t="n">
        <v>0.0</v>
      </c>
      <c r="H21" s="3" t="n">
        <f>IFERROR(SUMPRODUCT((RENT_RECEIVED!$B$2:$B$1000="LEASE-BH-F18-2025")*(RENT_RECEIVED!$E$2:$E$1000&gt;=DATE(2025,10,22))*(RENT_RECEIVED!$E$2:$E$1000&lt;=DATE(2025,11,21))*RENT_RECEIVED!$O$2:$O$1000), 0)</f>
        <v>0.0</v>
      </c>
      <c r="I21" t="inlineStr">
        <is>
          <t>G1O4GnbjZM, vJDbbWv61z, YZ2WWPAKJQ</t>
        </is>
      </c>
      <c r="J21" s="3" t="n">
        <f>IFERROR(SUMIFS(RENT_DUE!$L$2:$L$10000, RENT_DUE!$B$2:$B$10000, "LEASE-BH-F18-2025", RENT_DUE!$D$2:$D$10000, "&lt;"&amp;DATE(2025,10,22)), 0) - IFERROR(SUMIFS(RENT_RECEIVED!$O$2:$O$10000, RENT_RECEIVED!$B$2:$B$10000, "LEASE-BH-F18-2025", RENT_RECEIVED!$E$2:$E$10000, "&lt;"&amp;DATE(2025,10,22)), 0)</f>
        <v>0.0</v>
      </c>
      <c r="K21" s="3" t="n">
        <f>G21 - H21</f>
        <v>0.0</v>
      </c>
      <c r="L21" s="3" t="n">
        <f>J21 + K21</f>
        <v>0.0</v>
      </c>
      <c r="M21" s="3" t="n">
        <f>H21 * 0.1500</f>
        <v>0.0</v>
      </c>
      <c r="N21" s="3" t="n">
        <f>H21 * 0.0000</f>
        <v>0.0</v>
      </c>
      <c r="O21" s="3" t="n">
        <f>ABS(M21 + N21)</f>
        <v>0.0</v>
      </c>
      <c r="P21" t="inlineStr">
        <is>
          <t/>
        </is>
      </c>
      <c r="Q21" s="3" t="n">
        <f>SUMIFS(EXPENSES!E:E, EXPENSES!B:B, "LEASE-BH-F18-2025", EXPENSES!D:D, "&gt;="&amp;DATE(2025,10,22), EXPENSES!D:D, "&lt;="&amp;DATE(2025,11,21))</f>
        <v>0.0</v>
      </c>
      <c r="R21" t="inlineStr">
        <is>
          <t/>
        </is>
      </c>
      <c r="S21" s="3" t="n">
        <f>H21 - O21 - Q21</f>
        <v>0.0</v>
      </c>
      <c r="T21" t="inlineStr">
        <is>
          <t/>
        </is>
      </c>
      <c r="U21" t="inlineStr">
        <is>
          <t/>
        </is>
      </c>
      <c r="V21" t="inlineStr">
        <is>
          <t/>
        </is>
      </c>
      <c r="W21" t="inlineStr">
        <is>
          <t/>
        </is>
      </c>
      <c r="X21" t="inlineStr">
        <is>
          <t/>
        </is>
      </c>
      <c r="Y21" s="3" t="n">
        <v>2044.25</v>
      </c>
      <c r="Z21" s="3" t="n">
        <f>S21-Y21</f>
        <v>0.0</v>
      </c>
      <c r="AA21" t="inlineStr">
        <is>
          <t>PAID</t>
        </is>
      </c>
      <c r="AB21" t="inlineStr">
        <is>
          <t>MULTIPLE</t>
        </is>
      </c>
      <c r="AC21" s="2" t="n">
        <v>45804.0</v>
      </c>
    </row>
    <row r="22">
      <c r="A22" t="inlineStr">
        <is>
          <t>LEASE-BH-F18-2025B</t>
        </is>
      </c>
      <c r="B22" t="inlineStr">
        <is>
          <t>Flat 18 - 3 West Gate</t>
        </is>
      </c>
      <c r="C22" t="inlineStr">
        <is>
          <t>Achal (Delegated for Udayan)</t>
        </is>
      </c>
      <c r="D22" t="inlineStr">
        <is>
          <t>Nirmali Gedara and Janith Hetti Arachchilage</t>
        </is>
      </c>
      <c r="E22" s="2" t="n">
        <v>45818.0</v>
      </c>
      <c r="F22" t="n">
        <v>10.0</v>
      </c>
      <c r="G22" s="3" t="n">
        <f>IFERROR(SUMPRODUCT((RENT_DUE!$B$2:$B$1000="LEASE-BH-F18-2025B")*(RENT_DUE!$D$2:$D$1000&gt;=DATE(2025,10,22))*(RENT_DUE!$D$2:$D$1000&lt;=DATE(2025,11,21))*RENT_DUE!$L$2:$L$1000), 0)</f>
        <v>0.0</v>
      </c>
      <c r="H22" s="3" t="n">
        <f>IFERROR(SUMPRODUCT((RENT_RECEIVED!$B$2:$B$1000="LEASE-BH-F18-2025B")*(RENT_RECEIVED!$E$2:$E$1000&gt;=DATE(2025,10,22))*(RENT_RECEIVED!$E$2:$E$1000&lt;=DATE(2025,11,21))*RENT_RECEIVED!$O$2:$O$1000), 0)</f>
        <v>0.0</v>
      </c>
      <c r="I22" t="inlineStr">
        <is>
          <t>G1O4GnbjZM, vJDbbWv61z, YZ2WWPAKJQ</t>
        </is>
      </c>
      <c r="J22" s="3" t="n">
        <f>IFERROR(SUMIFS(RENT_DUE!$L$2:$L$10000, RENT_DUE!$B$2:$B$10000, "LEASE-BH-F18-2025B", RENT_DUE!$D$2:$D$10000, "&lt;"&amp;DATE(2025,10,22)), 0) - IFERROR(SUMIFS(RENT_RECEIVED!$O$2:$O$10000, RENT_RECEIVED!$B$2:$B$10000, "LEASE-BH-F18-2025B", RENT_RECEIVED!$E$2:$E$10000, "&lt;"&amp;DATE(2025,10,22)), 0)</f>
        <v>0.0</v>
      </c>
      <c r="K22" s="3" t="n">
        <f>G22 - H22</f>
        <v>0.0</v>
      </c>
      <c r="L22" s="3" t="n">
        <f>J22 + K22</f>
        <v>0.0</v>
      </c>
      <c r="M22" s="3" t="n">
        <f>H22 * 0.1500</f>
        <v>0.0</v>
      </c>
      <c r="N22" s="3" t="n">
        <f>H22 * 0.0000</f>
        <v>0.0</v>
      </c>
      <c r="O22" s="3" t="n">
        <f>ABS(M22 + N22)</f>
        <v>0.0</v>
      </c>
      <c r="P22" t="inlineStr">
        <is>
          <t/>
        </is>
      </c>
      <c r="Q22" s="3" t="n">
        <f>SUMIFS(EXPENSES!E:E, EXPENSES!B:B, "LEASE-BH-F18-2025B", EXPENSES!D:D, "&gt;="&amp;DATE(2025,10,22), EXPENSES!D:D, "&lt;="&amp;DATE(2025,11,21))</f>
        <v>0.0</v>
      </c>
      <c r="R22" t="inlineStr">
        <is>
          <t/>
        </is>
      </c>
      <c r="S22" s="3" t="n">
        <f>H22 - O22 - Q22</f>
        <v>0.0</v>
      </c>
      <c r="T22" t="inlineStr">
        <is>
          <t/>
        </is>
      </c>
      <c r="U22" t="inlineStr">
        <is>
          <t/>
        </is>
      </c>
      <c r="V22" t="inlineStr">
        <is>
          <t/>
        </is>
      </c>
      <c r="W22" t="inlineStr">
        <is>
          <t/>
        </is>
      </c>
      <c r="X22" t="inlineStr">
        <is>
          <t/>
        </is>
      </c>
      <c r="Y22" s="3" t="n">
        <v>4189.5</v>
      </c>
      <c r="Z22" s="3" t="n">
        <f>S22-Y22</f>
        <v>0.0</v>
      </c>
      <c r="AA22" t="inlineStr">
        <is>
          <t>PAID</t>
        </is>
      </c>
      <c r="AB22" t="inlineStr">
        <is>
          <t>MULTIPLE</t>
        </is>
      </c>
      <c r="AC22" s="2" t="n">
        <v>45982.0</v>
      </c>
    </row>
    <row r="23">
      <c r="A23" t="inlineStr">
        <is>
          <t>LEASE-BH-F19-2025</t>
        </is>
      </c>
      <c r="B23" t="inlineStr">
        <is>
          <t>Flat 19 - 3 West Gate</t>
        </is>
      </c>
      <c r="C23" t="inlineStr">
        <is>
          <t>Achal (Delegated for Udayan)</t>
        </is>
      </c>
      <c r="D23" t="inlineStr">
        <is>
          <t>Mr Joshua Banks, Miss Layla Middlemass</t>
        </is>
      </c>
      <c r="E23" s="2" t="n">
        <v>45730.0</v>
      </c>
      <c r="F23" t="n">
        <v>14.0</v>
      </c>
      <c r="G23" s="3" t="n">
        <v>0.0</v>
      </c>
      <c r="H23" s="3" t="n">
        <f>IFERROR(SUMPRODUCT((RENT_RECEIVED!$B$2:$B$1000="LEASE-BH-F19-2025")*(RENT_RECEIVED!$E$2:$E$1000&gt;=DATE(2025,10,22))*(RENT_RECEIVED!$E$2:$E$1000&lt;=DATE(2025,11,21))*RENT_RECEIVED!$O$2:$O$1000), 0)</f>
        <v>0.0</v>
      </c>
      <c r="I23" t="inlineStr">
        <is>
          <t>YZ2WWPAKJQ</t>
        </is>
      </c>
      <c r="J23" s="3" t="n">
        <f>IFERROR(SUMIFS(RENT_DUE!$L$2:$L$10000, RENT_DUE!$B$2:$B$10000, "LEASE-BH-F19-2025", RENT_DUE!$D$2:$D$10000, "&lt;"&amp;DATE(2025,10,22)), 0) - IFERROR(SUMIFS(RENT_RECEIVED!$O$2:$O$10000, RENT_RECEIVED!$B$2:$B$10000, "LEASE-BH-F19-2025", RENT_RECEIVED!$E$2:$E$10000, "&lt;"&amp;DATE(2025,10,22)), 0)</f>
        <v>0.0</v>
      </c>
      <c r="K23" s="3" t="n">
        <f>G23 - H23</f>
        <v>0.0</v>
      </c>
      <c r="L23" s="3" t="n">
        <f>J23 + K23</f>
        <v>0.0</v>
      </c>
      <c r="M23" s="3" t="n">
        <f>H23 * 0.1500</f>
        <v>0.0</v>
      </c>
      <c r="N23" s="3" t="n">
        <f>H23 * 0.0000</f>
        <v>0.0</v>
      </c>
      <c r="O23" s="3" t="n">
        <f>ABS(M23 + N23)</f>
        <v>0.0</v>
      </c>
      <c r="P23" t="inlineStr">
        <is>
          <t/>
        </is>
      </c>
      <c r="Q23" s="3" t="n">
        <f>SUMIFS(EXPENSES!E:E, EXPENSES!B:B, "LEASE-BH-F19-2025", EXPENSES!D:D, "&gt;="&amp;DATE(2025,10,22), EXPENSES!D:D, "&lt;="&amp;DATE(2025,11,21))</f>
        <v>0.0</v>
      </c>
      <c r="R23" t="inlineStr">
        <is>
          <t/>
        </is>
      </c>
      <c r="S23" s="3" t="n">
        <f>H23 - O23 - Q23</f>
        <v>0.0</v>
      </c>
      <c r="T23" t="inlineStr">
        <is>
          <t/>
        </is>
      </c>
      <c r="U23" t="inlineStr">
        <is>
          <t/>
        </is>
      </c>
      <c r="V23" t="inlineStr">
        <is>
          <t/>
        </is>
      </c>
      <c r="W23" t="inlineStr">
        <is>
          <t/>
        </is>
      </c>
      <c r="X23" t="inlineStr">
        <is>
          <t/>
        </is>
      </c>
      <c r="Y23" s="3" t="n">
        <v>2888.3</v>
      </c>
      <c r="Z23" s="3" t="n">
        <f>S23-Y23</f>
        <v>0.0</v>
      </c>
      <c r="AA23" t="inlineStr">
        <is>
          <t>PAID</t>
        </is>
      </c>
      <c r="AB23" t="inlineStr">
        <is>
          <t>MULTIPLE</t>
        </is>
      </c>
      <c r="AC23" s="2" t="n">
        <v>45846.0</v>
      </c>
    </row>
    <row r="24">
      <c r="A24" t="inlineStr">
        <is>
          <t>LEASE-BH-F19-2025B</t>
        </is>
      </c>
      <c r="B24" t="inlineStr">
        <is>
          <t>Flat 19 - 3 West Gate</t>
        </is>
      </c>
      <c r="C24" t="inlineStr">
        <is>
          <t>Achal (Delegated for Udayan)</t>
        </is>
      </c>
      <c r="D24" t="inlineStr">
        <is>
          <t>Charanya Kaliamoorthy</t>
        </is>
      </c>
      <c r="E24" s="2" t="n">
        <v>45901.0</v>
      </c>
      <c r="F24" t="n">
        <v>1.0</v>
      </c>
      <c r="G24" s="3" t="n">
        <f>IFERROR(SUMPRODUCT((RENT_DUE!$B$2:$B$1000="LEASE-BH-F19-2025B")*(RENT_DUE!$D$2:$D$1000&gt;=DATE(2025,10,22))*(RENT_DUE!$D$2:$D$1000&lt;=DATE(2025,11,21))*RENT_DUE!$L$2:$L$1000), 0)</f>
        <v>0.0</v>
      </c>
      <c r="H24" s="3" t="n">
        <f>IFERROR(SUMPRODUCT((RENT_RECEIVED!$B$2:$B$1000="LEASE-BH-F19-2025B")*(RENT_RECEIVED!$E$2:$E$1000&gt;=DATE(2025,10,22))*(RENT_RECEIVED!$E$2:$E$1000&lt;=DATE(2025,11,21))*RENT_RECEIVED!$O$2:$O$1000), 0)</f>
        <v>0.0</v>
      </c>
      <c r="I24" t="inlineStr">
        <is>
          <t>YZ2WWPAKJQ</t>
        </is>
      </c>
      <c r="J24" s="3" t="n">
        <f>IFERROR(SUMIFS(RENT_DUE!$L$2:$L$10000, RENT_DUE!$B$2:$B$10000, "LEASE-BH-F19-2025B", RENT_DUE!$D$2:$D$10000, "&lt;"&amp;DATE(2025,10,22)), 0) - IFERROR(SUMIFS(RENT_RECEIVED!$O$2:$O$10000, RENT_RECEIVED!$B$2:$B$10000, "LEASE-BH-F19-2025B", RENT_RECEIVED!$E$2:$E$10000, "&lt;"&amp;DATE(2025,10,22)), 0)</f>
        <v>0.0</v>
      </c>
      <c r="K24" s="3" t="n">
        <f>G24 - H24</f>
        <v>0.0</v>
      </c>
      <c r="L24" s="3" t="n">
        <f>J24 + K24</f>
        <v>0.0</v>
      </c>
      <c r="M24" s="3" t="n">
        <f>H24 * 0.1500</f>
        <v>0.0</v>
      </c>
      <c r="N24" s="3" t="n">
        <f>H24 * 0.0000</f>
        <v>0.0</v>
      </c>
      <c r="O24" s="3" t="n">
        <f>ABS(M24 + N24)</f>
        <v>0.0</v>
      </c>
      <c r="P24" t="inlineStr">
        <is>
          <t/>
        </is>
      </c>
      <c r="Q24" s="3" t="n">
        <f>SUMIFS(EXPENSES!E:E, EXPENSES!B:B, "LEASE-BH-F19-2025B", EXPENSES!D:D, "&gt;="&amp;DATE(2025,10,22), EXPENSES!D:D, "&lt;="&amp;DATE(2025,11,21))</f>
        <v>0.0</v>
      </c>
      <c r="R24" t="inlineStr">
        <is>
          <t/>
        </is>
      </c>
      <c r="S24" s="3" t="n">
        <f>H24 - O24 - Q24</f>
        <v>0.0</v>
      </c>
      <c r="T24" t="inlineStr">
        <is>
          <t/>
        </is>
      </c>
      <c r="U24" t="inlineStr">
        <is>
          <t/>
        </is>
      </c>
      <c r="V24" t="inlineStr">
        <is>
          <t/>
        </is>
      </c>
      <c r="W24" t="inlineStr">
        <is>
          <t/>
        </is>
      </c>
      <c r="X24" t="inlineStr">
        <is>
          <t/>
        </is>
      </c>
      <c r="Y24" s="3" t="n">
        <v>12685.86</v>
      </c>
      <c r="Z24" s="3" t="n">
        <f>S24-Y24</f>
        <v>0.0</v>
      </c>
      <c r="AA24" t="inlineStr">
        <is>
          <t>PAID</t>
        </is>
      </c>
      <c r="AB24" t="inlineStr">
        <is>
          <t>MULTIPLE</t>
        </is>
      </c>
      <c r="AC24" s="2" t="n">
        <v>45982.0</v>
      </c>
    </row>
    <row r="25">
      <c r="A25" t="inlineStr">
        <is>
          <t>LEASE-BH-F20-2025</t>
        </is>
      </c>
      <c r="B25" t="inlineStr">
        <is>
          <t>Flat 20 - 3 West Gate</t>
        </is>
      </c>
      <c r="C25" t="inlineStr">
        <is>
          <t>Achal (Delegated for Udayan)</t>
        </is>
      </c>
      <c r="D25" t="inlineStr">
        <is>
          <t>Mr James Kay</t>
        </is>
      </c>
      <c r="E25" s="2" t="n">
        <v>45732.0</v>
      </c>
      <c r="F25" t="n">
        <v>16.0</v>
      </c>
      <c r="G25" s="3" t="n">
        <f>IFERROR(SUMPRODUCT((RENT_DUE!$B$2:$B$1000="LEASE-BH-F20-2025")*(RENT_DUE!$D$2:$D$1000&gt;=DATE(2025,10,22))*(RENT_DUE!$D$2:$D$1000&lt;=DATE(2025,11,21))*RENT_DUE!$L$2:$L$1000), 0)</f>
        <v>0.0</v>
      </c>
      <c r="H25" s="3" t="n">
        <f>IFERROR(SUMPRODUCT((RENT_RECEIVED!$B$2:$B$1000="LEASE-BH-F20-2025")*(RENT_RECEIVED!$E$2:$E$1000&gt;=DATE(2025,10,22))*(RENT_RECEIVED!$E$2:$E$1000&lt;=DATE(2025,11,21))*RENT_RECEIVED!$O$2:$O$1000), 0)</f>
        <v>0.0</v>
      </c>
      <c r="I25" t="inlineStr">
        <is>
          <t>YZ2WWPAKJQ</t>
        </is>
      </c>
      <c r="J25" s="3" t="n">
        <f>IFERROR(SUMIFS(RENT_DUE!$L$2:$L$10000, RENT_DUE!$B$2:$B$10000, "LEASE-BH-F20-2025", RENT_DUE!$D$2:$D$10000, "&lt;"&amp;DATE(2025,10,22)), 0) - IFERROR(SUMIFS(RENT_RECEIVED!$O$2:$O$10000, RENT_RECEIVED!$B$2:$B$10000, "LEASE-BH-F20-2025", RENT_RECEIVED!$E$2:$E$10000, "&lt;"&amp;DATE(2025,10,22)), 0)</f>
        <v>0.0</v>
      </c>
      <c r="K25" s="3" t="n">
        <f>G25 - H25</f>
        <v>0.0</v>
      </c>
      <c r="L25" s="3" t="n">
        <f>J25 + K25</f>
        <v>0.0</v>
      </c>
      <c r="M25" s="3" t="n">
        <f>H25 * 0.1500</f>
        <v>0.0</v>
      </c>
      <c r="N25" s="3" t="n">
        <f>H25 * 0.0000</f>
        <v>0.0</v>
      </c>
      <c r="O25" s="3" t="n">
        <f>ABS(M25 + N25)</f>
        <v>0.0</v>
      </c>
      <c r="P25" t="inlineStr">
        <is>
          <t/>
        </is>
      </c>
      <c r="Q25" s="3" t="n">
        <f>SUMIFS(EXPENSES!E:E, EXPENSES!B:B, "LEASE-BH-F20-2025", EXPENSES!D:D, "&gt;="&amp;DATE(2025,10,22), EXPENSES!D:D, "&lt;="&amp;DATE(2025,11,21))</f>
        <v>0.0</v>
      </c>
      <c r="R25" t="inlineStr">
        <is>
          <t/>
        </is>
      </c>
      <c r="S25" s="3" t="n">
        <f>H25 - O25 - Q25</f>
        <v>0.0</v>
      </c>
      <c r="T25" t="inlineStr">
        <is>
          <t/>
        </is>
      </c>
      <c r="U25" t="inlineStr">
        <is>
          <t/>
        </is>
      </c>
      <c r="V25" t="inlineStr">
        <is>
          <t/>
        </is>
      </c>
      <c r="W25" t="inlineStr">
        <is>
          <t/>
        </is>
      </c>
      <c r="X25" t="inlineStr">
        <is>
          <t/>
        </is>
      </c>
      <c r="Y25" s="3" t="n">
        <v>5255.0</v>
      </c>
      <c r="Z25" s="3" t="n">
        <f>S25-Y25</f>
        <v>0.0</v>
      </c>
      <c r="AA25" t="inlineStr">
        <is>
          <t>PAID</t>
        </is>
      </c>
      <c r="AB25" t="inlineStr">
        <is>
          <t>MULTIPLE</t>
        </is>
      </c>
      <c r="AC25" s="2" t="n">
        <v>45982.0</v>
      </c>
    </row>
    <row r="26">
      <c r="A26" t="inlineStr">
        <is>
          <t>LEASE-BH-F21-2025</t>
        </is>
      </c>
      <c r="B26" t="inlineStr">
        <is>
          <t>Flat 21 - 3 West Gate</t>
        </is>
      </c>
      <c r="C26" t="inlineStr">
        <is>
          <t>Achal (Delegated for Udayan)</t>
        </is>
      </c>
      <c r="D26" t="inlineStr">
        <is>
          <t>Mr Felwin Francis</t>
        </is>
      </c>
      <c r="E26" s="2" t="n">
        <v>45687.0</v>
      </c>
      <c r="F26" t="n">
        <v>30.0</v>
      </c>
      <c r="G26" s="3" t="n">
        <f>IFERROR(SUMPRODUCT((RENT_DUE!$B$2:$B$1000="LEASE-BH-F21-2025")*(RENT_DUE!$D$2:$D$1000&gt;=DATE(2025,10,22))*(RENT_DUE!$D$2:$D$1000&lt;=DATE(2025,11,21))*RENT_DUE!$L$2:$L$1000), 0)</f>
        <v>0.0</v>
      </c>
      <c r="H26" s="3" t="n">
        <f>IFERROR(SUMPRODUCT((RENT_RECEIVED!$B$2:$B$1000="LEASE-BH-F21-2025")*(RENT_RECEIVED!$E$2:$E$1000&gt;=DATE(2025,10,22))*(RENT_RECEIVED!$E$2:$E$1000&lt;=DATE(2025,11,21))*RENT_RECEIVED!$O$2:$O$1000), 0)</f>
        <v>0.0</v>
      </c>
      <c r="I26" t="inlineStr">
        <is>
          <t>G1O4GnbjZM, YZ2WWPAKJQ</t>
        </is>
      </c>
      <c r="J26" s="3" t="n">
        <f>IFERROR(SUMIFS(RENT_DUE!$L$2:$L$10000, RENT_DUE!$B$2:$B$10000, "LEASE-BH-F21-2025", RENT_DUE!$D$2:$D$10000, "&lt;"&amp;DATE(2025,10,22)), 0) - IFERROR(SUMIFS(RENT_RECEIVED!$O$2:$O$10000, RENT_RECEIVED!$B$2:$B$10000, "LEASE-BH-F21-2025", RENT_RECEIVED!$E$2:$E$10000, "&lt;"&amp;DATE(2025,10,22)), 0)</f>
        <v>0.0</v>
      </c>
      <c r="K26" s="3" t="n">
        <f>G26 - H26</f>
        <v>0.0</v>
      </c>
      <c r="L26" s="3" t="n">
        <f>J26 + K26</f>
        <v>0.0</v>
      </c>
      <c r="M26" s="3" t="n">
        <f>H26 * 0.1500</f>
        <v>0.0</v>
      </c>
      <c r="N26" s="3" t="n">
        <f>H26 * 0.0000</f>
        <v>0.0</v>
      </c>
      <c r="O26" s="3" t="n">
        <f>ABS(M26 + N26)</f>
        <v>0.0</v>
      </c>
      <c r="P26" t="inlineStr">
        <is>
          <t/>
        </is>
      </c>
      <c r="Q26" s="3" t="n">
        <f>SUMIFS(EXPENSES!E:E, EXPENSES!B:B, "LEASE-BH-F21-2025", EXPENSES!D:D, "&gt;="&amp;DATE(2025,10,22), EXPENSES!D:D, "&lt;="&amp;DATE(2025,11,21))</f>
        <v>0.0</v>
      </c>
      <c r="R26" t="inlineStr">
        <is>
          <t/>
        </is>
      </c>
      <c r="S26" s="3" t="n">
        <f>H26 - O26 - Q26</f>
        <v>0.0</v>
      </c>
      <c r="T26" t="inlineStr">
        <is>
          <t/>
        </is>
      </c>
      <c r="U26" t="inlineStr">
        <is>
          <t/>
        </is>
      </c>
      <c r="V26" t="inlineStr">
        <is>
          <t/>
        </is>
      </c>
      <c r="W26" t="inlineStr">
        <is>
          <t/>
        </is>
      </c>
      <c r="X26" t="inlineStr">
        <is>
          <t/>
        </is>
      </c>
      <c r="Y26" s="3" t="n">
        <v>6637.5</v>
      </c>
      <c r="Z26" s="3" t="n">
        <f>S26-Y26</f>
        <v>0.0</v>
      </c>
      <c r="AA26" t="inlineStr">
        <is>
          <t>PAID</t>
        </is>
      </c>
      <c r="AB26" t="inlineStr">
        <is>
          <t>MULTIPLE</t>
        </is>
      </c>
      <c r="AC26" s="2" t="n">
        <v>45982.0</v>
      </c>
    </row>
    <row r="27">
      <c r="A27" t="inlineStr">
        <is>
          <t>LEASE-BH-F22-2025</t>
        </is>
      </c>
      <c r="B27" t="inlineStr">
        <is>
          <t>Flat 22 - 3 West Gate</t>
        </is>
      </c>
      <c r="C27" t="inlineStr">
        <is>
          <t>Achal (Delegated for Udayan)</t>
        </is>
      </c>
      <c r="D27" t="inlineStr">
        <is>
          <t>Mr Brian Lowe</t>
        </is>
      </c>
      <c r="E27" s="2" t="n">
        <v>45717.0</v>
      </c>
      <c r="F27" t="n">
        <v>1.0</v>
      </c>
      <c r="G27" s="3" t="n">
        <f>IFERROR(SUMPRODUCT((RENT_DUE!$B$2:$B$1000="LEASE-BH-F22-2025")*(RENT_DUE!$D$2:$D$1000&gt;=DATE(2025,10,22))*(RENT_DUE!$D$2:$D$1000&lt;=DATE(2025,11,21))*RENT_DUE!$L$2:$L$1000), 0)</f>
        <v>0.0</v>
      </c>
      <c r="H27" s="3" t="n">
        <f>IFERROR(SUMPRODUCT((RENT_RECEIVED!$B$2:$B$1000="LEASE-BH-F22-2025")*(RENT_RECEIVED!$E$2:$E$1000&gt;=DATE(2025,10,22))*(RENT_RECEIVED!$E$2:$E$1000&lt;=DATE(2025,11,21))*RENT_RECEIVED!$O$2:$O$1000), 0)</f>
        <v>0.0</v>
      </c>
      <c r="I27" t="inlineStr">
        <is>
          <t>YZ2WWPAKJQ</t>
        </is>
      </c>
      <c r="J27" s="3" t="n">
        <f>IFERROR(SUMIFS(RENT_DUE!$L$2:$L$10000, RENT_DUE!$B$2:$B$10000, "LEASE-BH-F22-2025", RENT_DUE!$D$2:$D$10000, "&lt;"&amp;DATE(2025,10,22)), 0) - IFERROR(SUMIFS(RENT_RECEIVED!$O$2:$O$10000, RENT_RECEIVED!$B$2:$B$10000, "LEASE-BH-F22-2025", RENT_RECEIVED!$E$2:$E$10000, "&lt;"&amp;DATE(2025,10,22)), 0)</f>
        <v>0.0</v>
      </c>
      <c r="K27" s="3" t="n">
        <f>G27 - H27</f>
        <v>0.0</v>
      </c>
      <c r="L27" s="3" t="n">
        <f>J27 + K27</f>
        <v>0.0</v>
      </c>
      <c r="M27" s="3" t="n">
        <f>H27 * 0.1500</f>
        <v>0.0</v>
      </c>
      <c r="N27" s="3" t="n">
        <f>H27 * 0.0000</f>
        <v>0.0</v>
      </c>
      <c r="O27" s="3" t="n">
        <f>ABS(M27 + N27)</f>
        <v>0.0</v>
      </c>
      <c r="P27" t="inlineStr">
        <is>
          <t/>
        </is>
      </c>
      <c r="Q27" s="3" t="n">
        <f>SUMIFS(EXPENSES!E:E, EXPENSES!B:B, "LEASE-BH-F22-2025", EXPENSES!D:D, "&gt;="&amp;DATE(2025,10,22), EXPENSES!D:D, "&lt;="&amp;DATE(2025,11,21))</f>
        <v>0.0</v>
      </c>
      <c r="R27" t="inlineStr">
        <is>
          <t/>
        </is>
      </c>
      <c r="S27" s="3" t="n">
        <f>H27 - O27 - Q27</f>
        <v>0.0</v>
      </c>
      <c r="T27" t="inlineStr">
        <is>
          <t/>
        </is>
      </c>
      <c r="U27" t="inlineStr">
        <is>
          <t/>
        </is>
      </c>
      <c r="V27" t="inlineStr">
        <is>
          <t/>
        </is>
      </c>
      <c r="W27" t="inlineStr">
        <is>
          <t/>
        </is>
      </c>
      <c r="X27" t="inlineStr">
        <is>
          <t/>
        </is>
      </c>
      <c r="Y27" s="3" t="n">
        <v>5661.0</v>
      </c>
      <c r="Z27" s="3" t="n">
        <f>S27-Y27</f>
        <v>0.0</v>
      </c>
      <c r="AA27" t="inlineStr">
        <is>
          <t>PAID</t>
        </is>
      </c>
      <c r="AB27" t="inlineStr">
        <is>
          <t>MULTIPLE</t>
        </is>
      </c>
      <c r="AC27" s="2" t="n">
        <v>45982.0</v>
      </c>
    </row>
    <row r="28">
      <c r="A28" t="inlineStr">
        <is>
          <t>LEASE-BH-F23-2025</t>
        </is>
      </c>
      <c r="B28" t="inlineStr">
        <is>
          <t>Flat 23 - 3 West Gate</t>
        </is>
      </c>
      <c r="C28" t="inlineStr">
        <is>
          <t>Achal (Delegated for Udayan)</t>
        </is>
      </c>
      <c r="D28" t="inlineStr">
        <is>
          <t>Mark Tennick</t>
        </is>
      </c>
      <c r="E28" s="2" t="n">
        <v>45830.0</v>
      </c>
      <c r="F28" t="n">
        <v>10.0</v>
      </c>
      <c r="G28" s="3" t="n">
        <f>IFERROR(SUMPRODUCT((RENT_DUE!$B$2:$B$1000="LEASE-BH-F23-2025")*(RENT_DUE!$D$2:$D$1000&gt;=DATE(2025,10,22))*(RENT_DUE!$D$2:$D$1000&lt;=DATE(2025,11,21))*RENT_DUE!$L$2:$L$1000), 0)</f>
        <v>0.0</v>
      </c>
      <c r="H28" s="3" t="n">
        <f>IFERROR(SUMPRODUCT((RENT_RECEIVED!$B$2:$B$1000="LEASE-BH-F23-2025")*(RENT_RECEIVED!$E$2:$E$1000&gt;=DATE(2025,10,22))*(RENT_RECEIVED!$E$2:$E$1000&lt;=DATE(2025,11,21))*RENT_RECEIVED!$O$2:$O$1000), 0)</f>
        <v>0.0</v>
      </c>
      <c r="I28" t="inlineStr">
        <is>
          <t>G1O4GnbjZM, YZ2WWPAKJQ</t>
        </is>
      </c>
      <c r="J28" s="3" t="n">
        <f>IFERROR(SUMIFS(RENT_DUE!$L$2:$L$10000, RENT_DUE!$B$2:$B$10000, "LEASE-BH-F23-2025", RENT_DUE!$D$2:$D$10000, "&lt;"&amp;DATE(2025,10,22)), 0) - IFERROR(SUMIFS(RENT_RECEIVED!$O$2:$O$10000, RENT_RECEIVED!$B$2:$B$10000, "LEASE-BH-F23-2025", RENT_RECEIVED!$E$2:$E$10000, "&lt;"&amp;DATE(2025,10,22)), 0)</f>
        <v>0.0</v>
      </c>
      <c r="K28" s="3" t="n">
        <f>G28 - H28</f>
        <v>0.0</v>
      </c>
      <c r="L28" s="3" t="n">
        <f>J28 + K28</f>
        <v>0.0</v>
      </c>
      <c r="M28" s="3" t="n">
        <f>H28 * 0.1500</f>
        <v>0.0</v>
      </c>
      <c r="N28" s="3" t="n">
        <f>H28 * 0.0000</f>
        <v>0.0</v>
      </c>
      <c r="O28" s="3" t="n">
        <f>ABS(M28 + N28)</f>
        <v>0.0</v>
      </c>
      <c r="P28" t="inlineStr">
        <is>
          <t/>
        </is>
      </c>
      <c r="Q28" s="3" t="n">
        <f>SUMIFS(EXPENSES!E:E, EXPENSES!B:B, "LEASE-BH-F23-2025", EXPENSES!D:D, "&gt;="&amp;DATE(2025,10,22), EXPENSES!D:D, "&lt;="&amp;DATE(2025,11,21))</f>
        <v>0.0</v>
      </c>
      <c r="R28" t="inlineStr">
        <is>
          <t/>
        </is>
      </c>
      <c r="S28" s="3" t="n">
        <f>H28 - O28 - Q28</f>
        <v>0.0</v>
      </c>
      <c r="T28" t="inlineStr">
        <is>
          <t/>
        </is>
      </c>
      <c r="U28" t="inlineStr">
        <is>
          <t/>
        </is>
      </c>
      <c r="V28" t="inlineStr">
        <is>
          <t/>
        </is>
      </c>
      <c r="W28" t="inlineStr">
        <is>
          <t/>
        </is>
      </c>
      <c r="X28" t="inlineStr">
        <is>
          <t/>
        </is>
      </c>
      <c r="Y28" s="3" t="n">
        <v>3798.3</v>
      </c>
      <c r="Z28" s="3" t="n">
        <f>S28-Y28</f>
        <v>0.0</v>
      </c>
      <c r="AA28" t="inlineStr">
        <is>
          <t>PAID</t>
        </is>
      </c>
      <c r="AB28" t="inlineStr">
        <is>
          <t>MULTIPLE</t>
        </is>
      </c>
      <c r="AC28" s="2" t="n">
        <v>45982.0</v>
      </c>
    </row>
    <row r="29">
      <c r="A29" t="inlineStr">
        <is>
          <t>LEASE-BH-F24-2025</t>
        </is>
      </c>
      <c r="B29" t="inlineStr">
        <is>
          <t>Flat 24 - 3 West Gate</t>
        </is>
      </c>
      <c r="C29" t="inlineStr">
        <is>
          <t>Achal (Delegated for Udayan)</t>
        </is>
      </c>
      <c r="D29" t="inlineStr">
        <is>
          <t>Mr Ethan Maloney, Miss Soraya Fearon</t>
        </is>
      </c>
      <c r="E29" s="2" t="n">
        <v>45700.0</v>
      </c>
      <c r="F29" t="n">
        <v>12.0</v>
      </c>
      <c r="G29" s="3" t="n">
        <f>IFERROR(SUMPRODUCT((RENT_DUE!$B$2:$B$1000="LEASE-BH-F24-2025")*(RENT_DUE!$D$2:$D$1000&gt;=DATE(2025,10,22))*(RENT_DUE!$D$2:$D$1000&lt;=DATE(2025,11,21))*RENT_DUE!$L$2:$L$1000), 0)</f>
        <v>0.0</v>
      </c>
      <c r="H29" s="3" t="n">
        <f>IFERROR(SUMPRODUCT((RENT_RECEIVED!$B$2:$B$1000="LEASE-BH-F24-2025")*(RENT_RECEIVED!$E$2:$E$1000&gt;=DATE(2025,10,22))*(RENT_RECEIVED!$E$2:$E$1000&lt;=DATE(2025,11,21))*RENT_RECEIVED!$O$2:$O$1000), 0)</f>
        <v>0.0</v>
      </c>
      <c r="I29" t="inlineStr">
        <is>
          <t>G1O4GnbjZM, YZ2WWPAKJQ</t>
        </is>
      </c>
      <c r="J29" s="3" t="n">
        <f>IFERROR(SUMIFS(RENT_DUE!$L$2:$L$10000, RENT_DUE!$B$2:$B$10000, "LEASE-BH-F24-2025", RENT_DUE!$D$2:$D$10000, "&lt;"&amp;DATE(2025,10,22)), 0) - IFERROR(SUMIFS(RENT_RECEIVED!$O$2:$O$10000, RENT_RECEIVED!$B$2:$B$10000, "LEASE-BH-F24-2025", RENT_RECEIVED!$E$2:$E$10000, "&lt;"&amp;DATE(2025,10,22)), 0)</f>
        <v>0.0</v>
      </c>
      <c r="K29" s="3" t="n">
        <f>G29 - H29</f>
        <v>0.0</v>
      </c>
      <c r="L29" s="3" t="n">
        <f>J29 + K29</f>
        <v>0.0</v>
      </c>
      <c r="M29" s="3" t="n">
        <f>H29 * 0.1500</f>
        <v>0.0</v>
      </c>
      <c r="N29" s="3" t="n">
        <f>H29 * 0.0000</f>
        <v>0.0</v>
      </c>
      <c r="O29" s="3" t="n">
        <f>ABS(M29 + N29)</f>
        <v>0.0</v>
      </c>
      <c r="P29" t="inlineStr">
        <is>
          <t/>
        </is>
      </c>
      <c r="Q29" s="3" t="n">
        <f>SUMIFS(EXPENSES!E:E, EXPENSES!B:B, "LEASE-BH-F24-2025", EXPENSES!D:D, "&gt;="&amp;DATE(2025,10,22), EXPENSES!D:D, "&lt;="&amp;DATE(2025,11,21))</f>
        <v>0.0</v>
      </c>
      <c r="R29" t="inlineStr">
        <is>
          <t/>
        </is>
      </c>
      <c r="S29" s="3" t="n">
        <f>H29 - O29 - Q29</f>
        <v>0.0</v>
      </c>
      <c r="T29" t="inlineStr">
        <is>
          <t/>
        </is>
      </c>
      <c r="U29" t="inlineStr">
        <is>
          <t/>
        </is>
      </c>
      <c r="V29" t="inlineStr">
        <is>
          <t/>
        </is>
      </c>
      <c r="W29" t="inlineStr">
        <is>
          <t/>
        </is>
      </c>
      <c r="X29" t="inlineStr">
        <is>
          <t/>
        </is>
      </c>
      <c r="Y29" s="3" t="n">
        <v>6765.0</v>
      </c>
      <c r="Z29" s="3" t="n">
        <f>S29-Y29</f>
        <v>0.0</v>
      </c>
      <c r="AA29" t="inlineStr">
        <is>
          <t>PAID</t>
        </is>
      </c>
      <c r="AB29" t="inlineStr">
        <is>
          <t>MULTIPLE</t>
        </is>
      </c>
      <c r="AC29" s="2" t="n">
        <v>45982.0</v>
      </c>
    </row>
    <row r="30">
      <c r="A30" t="inlineStr">
        <is>
          <t>LEASE-BH-F26-2025</t>
        </is>
      </c>
      <c r="B30" t="inlineStr">
        <is>
          <t>Flat 26 - 3 West Gate</t>
        </is>
      </c>
      <c r="C30" t="inlineStr">
        <is>
          <t>Achal (Delegated for Udayan)</t>
        </is>
      </c>
      <c r="D30" t="inlineStr">
        <is>
          <t>Mr Louis Scotting</t>
        </is>
      </c>
      <c r="E30" s="2" t="n">
        <v>45730.0</v>
      </c>
      <c r="F30" t="n">
        <v>14.0</v>
      </c>
      <c r="G30" s="3" t="n">
        <f>IFERROR(SUMPRODUCT((RENT_DUE!$B$2:$B$1000="LEASE-BH-F26-2025")*(RENT_DUE!$D$2:$D$1000&gt;=DATE(2025,10,22))*(RENT_DUE!$D$2:$D$1000&lt;=DATE(2025,11,21))*RENT_DUE!$L$2:$L$1000), 0)</f>
        <v>0.0</v>
      </c>
      <c r="H30" s="3" t="n">
        <f>IFERROR(SUMPRODUCT((RENT_RECEIVED!$B$2:$B$1000="LEASE-BH-F26-2025")*(RENT_RECEIVED!$E$2:$E$1000&gt;=DATE(2025,10,22))*(RENT_RECEIVED!$E$2:$E$1000&lt;=DATE(2025,11,21))*RENT_RECEIVED!$O$2:$O$1000), 0)</f>
        <v>0.0</v>
      </c>
      <c r="I30" t="inlineStr">
        <is>
          <t>HIST-2025-12-1654</t>
        </is>
      </c>
      <c r="J30" s="3" t="n">
        <f>IFERROR(SUMIFS(RENT_DUE!$L$2:$L$10000, RENT_DUE!$B$2:$B$10000, "LEASE-BH-F26-2025", RENT_DUE!$D$2:$D$10000, "&lt;"&amp;DATE(2025,10,22)), 0) - IFERROR(SUMIFS(RENT_RECEIVED!$O$2:$O$10000, RENT_RECEIVED!$B$2:$B$10000, "LEASE-BH-F26-2025", RENT_RECEIVED!$E$2:$E$10000, "&lt;"&amp;DATE(2025,10,22)), 0)</f>
        <v>0.0</v>
      </c>
      <c r="K30" s="3" t="n">
        <f>G30 - H30</f>
        <v>0.0</v>
      </c>
      <c r="L30" s="3" t="n">
        <f>J30 + K30</f>
        <v>0.0</v>
      </c>
      <c r="M30" s="3" t="n">
        <f>H30 * 0.1500</f>
        <v>0.0</v>
      </c>
      <c r="N30" s="3" t="n">
        <f>H30 * 0.0000</f>
        <v>0.0</v>
      </c>
      <c r="O30" s="3" t="n">
        <f>ABS(M30 + N30)</f>
        <v>0.0</v>
      </c>
      <c r="P30" t="inlineStr">
        <is>
          <t/>
        </is>
      </c>
      <c r="Q30" s="3" t="n">
        <f>SUMIFS(EXPENSES!E:E, EXPENSES!B:B, "LEASE-BH-F26-2025", EXPENSES!D:D, "&gt;="&amp;DATE(2025,10,22), EXPENSES!D:D, "&lt;="&amp;DATE(2025,11,21))</f>
        <v>0.0</v>
      </c>
      <c r="R30" t="inlineStr">
        <is>
          <t/>
        </is>
      </c>
      <c r="S30" s="3" t="n">
        <f>H30 - O30 - Q30</f>
        <v>0.0</v>
      </c>
      <c r="T30" t="inlineStr">
        <is>
          <t/>
        </is>
      </c>
      <c r="U30" t="inlineStr">
        <is>
          <t/>
        </is>
      </c>
      <c r="V30" t="inlineStr">
        <is>
          <t/>
        </is>
      </c>
      <c r="W30" t="inlineStr">
        <is>
          <t/>
        </is>
      </c>
      <c r="X30" t="inlineStr">
        <is>
          <t/>
        </is>
      </c>
      <c r="Y30" s="3" t="n">
        <v>5163.75</v>
      </c>
      <c r="Z30" s="3" t="n">
        <f>S30-Y30</f>
        <v>0.0</v>
      </c>
      <c r="AA30" t="inlineStr">
        <is>
          <t>PAID</t>
        </is>
      </c>
      <c r="AB30" t="inlineStr">
        <is>
          <t>MULTIPLE</t>
        </is>
      </c>
      <c r="AC30" s="2" t="n">
        <v>45992.0</v>
      </c>
    </row>
    <row r="31">
      <c r="A31" t="inlineStr">
        <is>
          <t>LEASE-BH-F27-2025</t>
        </is>
      </c>
      <c r="B31" t="inlineStr">
        <is>
          <t>Flat 27 - 3 West Gate</t>
        </is>
      </c>
      <c r="C31" t="inlineStr">
        <is>
          <t>Achal (Delegated for Udayan)</t>
        </is>
      </c>
      <c r="D31" t="inlineStr">
        <is>
          <t>Miss Sophie Murray</t>
        </is>
      </c>
      <c r="E31" s="2" t="n">
        <v>45716.0</v>
      </c>
      <c r="F31" t="n">
        <v>30.0</v>
      </c>
      <c r="G31" s="3" t="n">
        <f>IFERROR(SUMPRODUCT((RENT_DUE!$B$2:$B$1000="LEASE-BH-F27-2025")*(RENT_DUE!$D$2:$D$1000&gt;=DATE(2025,10,22))*(RENT_DUE!$D$2:$D$1000&lt;=DATE(2025,11,21))*RENT_DUE!$L$2:$L$1000), 0)</f>
        <v>0.0</v>
      </c>
      <c r="H31" s="3" t="n">
        <f>IFERROR(SUMPRODUCT((RENT_RECEIVED!$B$2:$B$1000="LEASE-BH-F27-2025")*(RENT_RECEIVED!$E$2:$E$1000&gt;=DATE(2025,10,22))*(RENT_RECEIVED!$E$2:$E$1000&lt;=DATE(2025,11,21))*RENT_RECEIVED!$O$2:$O$1000), 0)</f>
        <v>0.0</v>
      </c>
      <c r="I31" t="inlineStr">
        <is>
          <t>YZ2WWPAKJQ</t>
        </is>
      </c>
      <c r="J31" s="3" t="n">
        <f>IFERROR(SUMIFS(RENT_DUE!$L$2:$L$10000, RENT_DUE!$B$2:$B$10000, "LEASE-BH-F27-2025", RENT_DUE!$D$2:$D$10000, "&lt;"&amp;DATE(2025,10,22)), 0) - IFERROR(SUMIFS(RENT_RECEIVED!$O$2:$O$10000, RENT_RECEIVED!$B$2:$B$10000, "LEASE-BH-F27-2025", RENT_RECEIVED!$E$2:$E$10000, "&lt;"&amp;DATE(2025,10,22)), 0)</f>
        <v>0.0</v>
      </c>
      <c r="K31" s="3" t="n">
        <f>G31 - H31</f>
        <v>0.0</v>
      </c>
      <c r="L31" s="3" t="n">
        <f>J31 + K31</f>
        <v>0.0</v>
      </c>
      <c r="M31" s="3" t="n">
        <f>H31 * 0.1500</f>
        <v>0.0</v>
      </c>
      <c r="N31" s="3" t="n">
        <f>H31 * 0.0000</f>
        <v>0.0</v>
      </c>
      <c r="O31" s="3" t="n">
        <f>ABS(M31 + N31)</f>
        <v>0.0</v>
      </c>
      <c r="P31" t="inlineStr">
        <is>
          <t/>
        </is>
      </c>
      <c r="Q31" s="3" t="n">
        <f>SUMIFS(EXPENSES!E:E, EXPENSES!B:B, "LEASE-BH-F27-2025", EXPENSES!D:D, "&gt;="&amp;DATE(2025,10,22), EXPENSES!D:D, "&lt;="&amp;DATE(2025,11,21))</f>
        <v>0.0</v>
      </c>
      <c r="R31" t="inlineStr">
        <is>
          <t/>
        </is>
      </c>
      <c r="S31" s="3" t="n">
        <f>H31 - O31 - Q31</f>
        <v>0.0</v>
      </c>
      <c r="T31" t="inlineStr">
        <is>
          <t/>
        </is>
      </c>
      <c r="U31" t="inlineStr">
        <is>
          <t/>
        </is>
      </c>
      <c r="V31" t="inlineStr">
        <is>
          <t/>
        </is>
      </c>
      <c r="W31" t="inlineStr">
        <is>
          <t/>
        </is>
      </c>
      <c r="X31" t="inlineStr">
        <is>
          <t/>
        </is>
      </c>
      <c r="Y31" s="3" t="n">
        <v>5355.0</v>
      </c>
      <c r="Z31" s="3" t="n">
        <f>S31-Y31</f>
        <v>0.0</v>
      </c>
      <c r="AA31" t="inlineStr">
        <is>
          <t>PAID</t>
        </is>
      </c>
      <c r="AB31" t="inlineStr">
        <is>
          <t>MULTIPLE</t>
        </is>
      </c>
      <c r="AC31" s="2" t="n">
        <v>45982.0</v>
      </c>
    </row>
    <row r="32">
      <c r="A32" t="inlineStr">
        <is>
          <t>LEASE-BH-F28-2025</t>
        </is>
      </c>
      <c r="B32" t="inlineStr">
        <is>
          <t>Flat 28 - 3 West Gate</t>
        </is>
      </c>
      <c r="C32" t="inlineStr">
        <is>
          <t>Achal (Delegated for Udayan)</t>
        </is>
      </c>
      <c r="D32" t="inlineStr">
        <is>
          <t>Ms Shiu Lun Cheung, Mr Chi Man Poon</t>
        </is>
      </c>
      <c r="E32" s="2" t="n">
        <v>45744.0</v>
      </c>
      <c r="F32" t="n">
        <v>18.0</v>
      </c>
      <c r="G32" s="3" t="n">
        <v>0.0</v>
      </c>
      <c r="H32" s="3" t="n">
        <f>IFERROR(SUMPRODUCT((RENT_RECEIVED!$B$2:$B$1000="LEASE-BH-F28-2025")*(RENT_RECEIVED!$E$2:$E$1000&gt;=DATE(2025,10,22))*(RENT_RECEIVED!$E$2:$E$1000&lt;=DATE(2025,11,21))*RENT_RECEIVED!$O$2:$O$1000), 0)</f>
        <v>0.0</v>
      </c>
      <c r="I32" t="inlineStr">
        <is>
          <t>YZ2WWPAKJQ</t>
        </is>
      </c>
      <c r="J32" s="3" t="n">
        <f>IFERROR(SUMIFS(RENT_DUE!$L$2:$L$10000, RENT_DUE!$B$2:$B$10000, "LEASE-BH-F28-2025", RENT_DUE!$D$2:$D$10000, "&lt;"&amp;DATE(2025,10,22)), 0) - IFERROR(SUMIFS(RENT_RECEIVED!$O$2:$O$10000, RENT_RECEIVED!$B$2:$B$10000, "LEASE-BH-F28-2025", RENT_RECEIVED!$E$2:$E$10000, "&lt;"&amp;DATE(2025,10,22)), 0)</f>
        <v>0.0</v>
      </c>
      <c r="K32" s="3" t="n">
        <f>G32 - H32</f>
        <v>0.0</v>
      </c>
      <c r="L32" s="3" t="n">
        <f>J32 + K32</f>
        <v>0.0</v>
      </c>
      <c r="M32" s="3" t="n">
        <f>H32 * 0.1500</f>
        <v>0.0</v>
      </c>
      <c r="N32" s="3" t="n">
        <f>H32 * 0.0000</f>
        <v>0.0</v>
      </c>
      <c r="O32" s="3" t="n">
        <f>ABS(M32 + N32)</f>
        <v>0.0</v>
      </c>
      <c r="P32" t="inlineStr">
        <is>
          <t/>
        </is>
      </c>
      <c r="Q32" s="3" t="n">
        <f>SUMIFS(EXPENSES!E:E, EXPENSES!B:B, "LEASE-BH-F28-2025", EXPENSES!D:D, "&gt;="&amp;DATE(2025,10,22), EXPENSES!D:D, "&lt;="&amp;DATE(2025,11,21))</f>
        <v>0.0</v>
      </c>
      <c r="R32" t="inlineStr">
        <is>
          <t/>
        </is>
      </c>
      <c r="S32" s="3" t="n">
        <f>H32 - O32 - Q32</f>
        <v>0.0</v>
      </c>
      <c r="T32" t="inlineStr">
        <is>
          <t/>
        </is>
      </c>
      <c r="U32" t="inlineStr">
        <is>
          <t/>
        </is>
      </c>
      <c r="V32" t="inlineStr">
        <is>
          <t/>
        </is>
      </c>
      <c r="W32" t="inlineStr">
        <is>
          <t/>
        </is>
      </c>
      <c r="X32" t="inlineStr">
        <is>
          <t/>
        </is>
      </c>
      <c r="Y32" s="3" t="n">
        <v>0.0</v>
      </c>
      <c r="Z32" s="3" t="n">
        <f>S32-Y32</f>
        <v>0.0</v>
      </c>
      <c r="AA32" t="inlineStr">
        <is>
          <t>PAID</t>
        </is>
      </c>
      <c r="AB32" t="inlineStr">
        <is>
          <t>HIST-2025-10-1650</t>
        </is>
      </c>
      <c r="AC32" s="2" t="n">
        <v>45951.0</v>
      </c>
    </row>
    <row r="33">
      <c r="A33" t="inlineStr">
        <is>
          <t>LEASE-BH-F29-2025</t>
        </is>
      </c>
      <c r="B33" t="inlineStr">
        <is>
          <t>Flat 29 - 3 West Gate</t>
        </is>
      </c>
      <c r="C33" t="inlineStr">
        <is>
          <t>Achal (Delegated for Udayan)</t>
        </is>
      </c>
      <c r="D33" t="inlineStr">
        <is>
          <t>Mrs Margaret Fritchley</t>
        </is>
      </c>
      <c r="E33" s="2" t="n">
        <v>45715.0</v>
      </c>
      <c r="F33" t="n">
        <v>27.0</v>
      </c>
      <c r="G33" s="3" t="n">
        <f>IFERROR(SUMPRODUCT((RENT_DUE!$B$2:$B$1000="LEASE-BH-F29-2025")*(RENT_DUE!$D$2:$D$1000&gt;=DATE(2025,10,22))*(RENT_DUE!$D$2:$D$1000&lt;=DATE(2025,11,21))*RENT_DUE!$L$2:$L$1000), 0)</f>
        <v>0.0</v>
      </c>
      <c r="H33" s="3" t="n">
        <f>IFERROR(SUMPRODUCT((RENT_RECEIVED!$B$2:$B$1000="LEASE-BH-F29-2025")*(RENT_RECEIVED!$E$2:$E$1000&gt;=DATE(2025,10,22))*(RENT_RECEIVED!$E$2:$E$1000&lt;=DATE(2025,11,21))*RENT_RECEIVED!$O$2:$O$1000), 0)</f>
        <v>0.0</v>
      </c>
      <c r="I33" t="inlineStr">
        <is>
          <t>YZ2WWPAKJQ</t>
        </is>
      </c>
      <c r="J33" s="3" t="n">
        <f>IFERROR(SUMIFS(RENT_DUE!$L$2:$L$10000, RENT_DUE!$B$2:$B$10000, "LEASE-BH-F29-2025", RENT_DUE!$D$2:$D$10000, "&lt;"&amp;DATE(2025,10,22)), 0) - IFERROR(SUMIFS(RENT_RECEIVED!$O$2:$O$10000, RENT_RECEIVED!$B$2:$B$10000, "LEASE-BH-F29-2025", RENT_RECEIVED!$E$2:$E$10000, "&lt;"&amp;DATE(2025,10,22)), 0)</f>
        <v>0.0</v>
      </c>
      <c r="K33" s="3" t="n">
        <f>G33 - H33</f>
        <v>0.0</v>
      </c>
      <c r="L33" s="3" t="n">
        <f>J33 + K33</f>
        <v>0.0</v>
      </c>
      <c r="M33" s="3" t="n">
        <f>H33 * 0.1500</f>
        <v>0.0</v>
      </c>
      <c r="N33" s="3" t="n">
        <f>H33 * 0.0000</f>
        <v>0.0</v>
      </c>
      <c r="O33" s="3" t="n">
        <f>ABS(M33 + N33)</f>
        <v>0.0</v>
      </c>
      <c r="P33" t="inlineStr">
        <is>
          <t/>
        </is>
      </c>
      <c r="Q33" s="3" t="n">
        <f>SUMIFS(EXPENSES!E:E, EXPENSES!B:B, "LEASE-BH-F29-2025", EXPENSES!D:D, "&gt;="&amp;DATE(2025,10,22), EXPENSES!D:D, "&lt;="&amp;DATE(2025,11,21))</f>
        <v>0.0</v>
      </c>
      <c r="R33" t="inlineStr">
        <is>
          <t/>
        </is>
      </c>
      <c r="S33" s="3" t="n">
        <f>H33 - O33 - Q33</f>
        <v>0.0</v>
      </c>
      <c r="T33" t="inlineStr">
        <is>
          <t/>
        </is>
      </c>
      <c r="U33" t="inlineStr">
        <is>
          <t/>
        </is>
      </c>
      <c r="V33" t="inlineStr">
        <is>
          <t/>
        </is>
      </c>
      <c r="W33" t="inlineStr">
        <is>
          <t/>
        </is>
      </c>
      <c r="X33" t="inlineStr">
        <is>
          <t/>
        </is>
      </c>
      <c r="Y33" s="3" t="n">
        <v>5541.0</v>
      </c>
      <c r="Z33" s="3" t="n">
        <f>S33-Y33</f>
        <v>0.0</v>
      </c>
      <c r="AA33" t="inlineStr">
        <is>
          <t>PAID</t>
        </is>
      </c>
      <c r="AB33" t="inlineStr">
        <is>
          <t>MULTIPLE</t>
        </is>
      </c>
      <c r="AC33" s="2" t="n">
        <v>45982.0</v>
      </c>
    </row>
    <row r="34">
      <c r="A34" t="inlineStr">
        <is>
          <t>LEASE-BH-F30-2025</t>
        </is>
      </c>
      <c r="B34" t="inlineStr">
        <is>
          <t>Flat 30 - 3 West Gate</t>
        </is>
      </c>
      <c r="C34" t="inlineStr">
        <is>
          <t>Achal (Delegated for Udayan)</t>
        </is>
      </c>
      <c r="D34" t="inlineStr">
        <is>
          <t>Mr Joel Bryan</t>
        </is>
      </c>
      <c r="E34" s="2" t="n">
        <v>45722.0</v>
      </c>
      <c r="F34" t="n">
        <v>6.0</v>
      </c>
      <c r="G34" s="3" t="n">
        <f>IFERROR(SUMPRODUCT((RENT_DUE!$B$2:$B$1000="LEASE-BH-F30-2025")*(RENT_DUE!$D$2:$D$1000&gt;=DATE(2025,10,22))*(RENT_DUE!$D$2:$D$1000&lt;=DATE(2025,11,21))*RENT_DUE!$L$2:$L$1000), 0)</f>
        <v>0.0</v>
      </c>
      <c r="H34" s="3" t="n">
        <f>IFERROR(SUMPRODUCT((RENT_RECEIVED!$B$2:$B$1000="LEASE-BH-F30-2025")*(RENT_RECEIVED!$E$2:$E$1000&gt;=DATE(2025,10,22))*(RENT_RECEIVED!$E$2:$E$1000&lt;=DATE(2025,11,21))*RENT_RECEIVED!$O$2:$O$1000), 0)</f>
        <v>0.0</v>
      </c>
      <c r="I34" t="inlineStr">
        <is>
          <t/>
        </is>
      </c>
      <c r="J34" s="3" t="n">
        <f>IFERROR(SUMIFS(RENT_DUE!$L$2:$L$10000, RENT_DUE!$B$2:$B$10000, "LEASE-BH-F30-2025", RENT_DUE!$D$2:$D$10000, "&lt;"&amp;DATE(2025,10,22)), 0) - IFERROR(SUMIFS(RENT_RECEIVED!$O$2:$O$10000, RENT_RECEIVED!$B$2:$B$10000, "LEASE-BH-F30-2025", RENT_RECEIVED!$E$2:$E$10000, "&lt;"&amp;DATE(2025,10,22)), 0)</f>
        <v>0.0</v>
      </c>
      <c r="K34" s="3" t="n">
        <f>G34 - H34</f>
        <v>0.0</v>
      </c>
      <c r="L34" s="3" t="n">
        <f>J34 + K34</f>
        <v>0.0</v>
      </c>
      <c r="M34" s="3" t="n">
        <f>H34 * 0.1500</f>
        <v>0.0</v>
      </c>
      <c r="N34" s="3" t="n">
        <f>H34 * 0.0000</f>
        <v>0.0</v>
      </c>
      <c r="O34" s="3" t="n">
        <f>ABS(M34 + N34)</f>
        <v>0.0</v>
      </c>
      <c r="P34" t="inlineStr">
        <is>
          <t/>
        </is>
      </c>
      <c r="Q34" s="3" t="n">
        <f>SUMIFS(EXPENSES!E:E, EXPENSES!B:B, "LEASE-BH-F30-2025", EXPENSES!D:D, "&gt;="&amp;DATE(2025,10,22), EXPENSES!D:D, "&lt;="&amp;DATE(2025,11,21))</f>
        <v>0.0</v>
      </c>
      <c r="R34" t="inlineStr">
        <is>
          <t/>
        </is>
      </c>
      <c r="S34" s="3" t="n">
        <f>H34 - O34 - Q34</f>
        <v>0.0</v>
      </c>
      <c r="T34" t="inlineStr">
        <is>
          <t/>
        </is>
      </c>
      <c r="U34" t="inlineStr">
        <is>
          <t/>
        </is>
      </c>
      <c r="V34" t="inlineStr">
        <is>
          <t/>
        </is>
      </c>
      <c r="W34" t="inlineStr">
        <is>
          <t/>
        </is>
      </c>
      <c r="X34" t="inlineStr">
        <is>
          <t/>
        </is>
      </c>
      <c r="Y34" s="3" t="n">
        <v>5032.0</v>
      </c>
      <c r="Z34" s="3" t="n">
        <f>S34-Y34</f>
        <v>0.0</v>
      </c>
      <c r="AA34" t="inlineStr">
        <is>
          <t>PAID</t>
        </is>
      </c>
      <c r="AB34" t="inlineStr">
        <is>
          <t>MULTIPLE</t>
        </is>
      </c>
      <c r="AC34" s="2" t="n">
        <v>45992.0</v>
      </c>
    </row>
    <row r="35">
      <c r="A35" t="inlineStr">
        <is>
          <t>LEASE-BH-PS1-2025</t>
        </is>
      </c>
      <c r="B35" t="inlineStr">
        <is>
          <t>Parking Space 1 - 3 West Gate</t>
        </is>
      </c>
      <c r="C35" t="inlineStr">
        <is>
          <t>Achal (Delegated for Udayan)</t>
        </is>
      </c>
      <c r="D35" t="inlineStr">
        <is>
          <t>Mr Shermal Wijesinghage, Mrs Udeshika Dona</t>
        </is>
      </c>
      <c r="E35" s="2" t="n">
        <v>45842.0</v>
      </c>
      <c r="F35" t="n">
        <v>4.0</v>
      </c>
      <c r="G35" s="3" t="n">
        <f>IFERROR(SUMPRODUCT((RENT_DUE!$B$2:$B$1000="LEASE-BH-PS1-2025")*(RENT_DUE!$D$2:$D$1000&gt;=DATE(2025,10,22))*(RENT_DUE!$D$2:$D$1000&lt;=DATE(2025,11,21))*RENT_DUE!$L$2:$L$1000), 0)</f>
        <v>0.0</v>
      </c>
      <c r="H35" s="3" t="n">
        <f>IFERROR(SUMPRODUCT((RENT_RECEIVED!$B$2:$B$1000="LEASE-BH-PS1-2025")*(RENT_RECEIVED!$E$2:$E$1000&gt;=DATE(2025,10,22))*(RENT_RECEIVED!$E$2:$E$1000&lt;=DATE(2025,11,21))*RENT_RECEIVED!$O$2:$O$1000), 0)</f>
        <v>0.0</v>
      </c>
      <c r="I35" t="inlineStr">
        <is>
          <t/>
        </is>
      </c>
      <c r="J35" s="3" t="n">
        <f>IFERROR(SUMIFS(RENT_DUE!$L$2:$L$10000, RENT_DUE!$B$2:$B$10000, "LEASE-BH-PS1-2025", RENT_DUE!$D$2:$D$10000, "&lt;"&amp;DATE(2025,10,22)), 0) - IFERROR(SUMIFS(RENT_RECEIVED!$O$2:$O$10000, RENT_RECEIVED!$B$2:$B$10000, "LEASE-BH-PS1-2025", RENT_RECEIVED!$E$2:$E$10000, "&lt;"&amp;DATE(2025,10,22)), 0)</f>
        <v>0.0</v>
      </c>
      <c r="K35" s="3" t="n">
        <f>G35 - H35</f>
        <v>0.0</v>
      </c>
      <c r="L35" s="3" t="n">
        <f>J35 + K35</f>
        <v>0.0</v>
      </c>
      <c r="M35" s="3" t="n">
        <f>H35 * 0.1500</f>
        <v>0.0</v>
      </c>
      <c r="N35" s="3" t="n">
        <f>H35 * 0.0000</f>
        <v>0.0</v>
      </c>
      <c r="O35" s="3" t="n">
        <f>ABS(M35 + N35)</f>
        <v>0.0</v>
      </c>
      <c r="P35" t="inlineStr">
        <is>
          <t/>
        </is>
      </c>
      <c r="Q35" s="3" t="n">
        <f>SUMIFS(EXPENSES!E:E, EXPENSES!B:B, "LEASE-BH-PS1-2025", EXPENSES!D:D, "&gt;="&amp;DATE(2025,10,22), EXPENSES!D:D, "&lt;="&amp;DATE(2025,11,21))</f>
        <v>0.0</v>
      </c>
      <c r="R35" t="inlineStr">
        <is>
          <t/>
        </is>
      </c>
      <c r="S35" s="3" t="n">
        <f>H35 - O35 - Q35</f>
        <v>0.0</v>
      </c>
      <c r="T35" t="inlineStr">
        <is>
          <t/>
        </is>
      </c>
      <c r="U35" t="inlineStr">
        <is>
          <t/>
        </is>
      </c>
      <c r="V35" t="inlineStr">
        <is>
          <t/>
        </is>
      </c>
      <c r="W35" t="inlineStr">
        <is>
          <t/>
        </is>
      </c>
      <c r="X35" t="inlineStr">
        <is>
          <t/>
        </is>
      </c>
      <c r="Y35" s="3" t="n">
        <v>0.0</v>
      </c>
      <c r="Z35" s="3" t="n">
        <f>S35-Y35</f>
        <v>0.0</v>
      </c>
      <c r="AA35" t="inlineStr">
        <is>
          <t>NONE</t>
        </is>
      </c>
      <c r="AB35" t="inlineStr">
        <is>
          <t>-</t>
        </is>
      </c>
      <c r="AC35" t="inlineStr">
        <is>
          <t/>
        </is>
      </c>
    </row>
    <row r="36">
      <c r="A36" t="inlineStr">
        <is>
          <t>LEASE-BH-PS2-2025</t>
        </is>
      </c>
      <c r="B36" t="inlineStr">
        <is>
          <t>Parking Space 2 - 3 West Gate</t>
        </is>
      </c>
      <c r="C36" t="inlineStr">
        <is>
          <t>Achal (Delegated for Udayan)</t>
        </is>
      </c>
      <c r="D36" t="inlineStr">
        <is>
          <t>Nirmali Gedara and Janith Hetti Arachchilage</t>
        </is>
      </c>
      <c r="E36" s="2" t="n">
        <v>45852.0</v>
      </c>
      <c r="F36" t="n">
        <v>14.0</v>
      </c>
      <c r="G36" s="3" t="n">
        <f>IFERROR(SUMPRODUCT((RENT_DUE!$B$2:$B$1000="LEASE-BH-PS2-2025")*(RENT_DUE!$D$2:$D$1000&gt;=DATE(2025,10,22))*(RENT_DUE!$D$2:$D$1000&lt;=DATE(2025,11,21))*RENT_DUE!$L$2:$L$1000), 0)</f>
        <v>0.0</v>
      </c>
      <c r="H36" s="3" t="n">
        <f>IFERROR(SUMPRODUCT((RENT_RECEIVED!$B$2:$B$1000="LEASE-BH-PS2-2025")*(RENT_RECEIVED!$E$2:$E$1000&gt;=DATE(2025,10,22))*(RENT_RECEIVED!$E$2:$E$1000&lt;=DATE(2025,11,21))*RENT_RECEIVED!$O$2:$O$1000), 0)</f>
        <v>0.0</v>
      </c>
      <c r="I36" t="inlineStr">
        <is>
          <t/>
        </is>
      </c>
      <c r="J36" s="3" t="n">
        <f>IFERROR(SUMIFS(RENT_DUE!$L$2:$L$10000, RENT_DUE!$B$2:$B$10000, "LEASE-BH-PS2-2025", RENT_DUE!$D$2:$D$10000, "&lt;"&amp;DATE(2025,10,22)), 0) - IFERROR(SUMIFS(RENT_RECEIVED!$O$2:$O$10000, RENT_RECEIVED!$B$2:$B$10000, "LEASE-BH-PS2-2025", RENT_RECEIVED!$E$2:$E$10000, "&lt;"&amp;DATE(2025,10,22)), 0)</f>
        <v>0.0</v>
      </c>
      <c r="K36" s="3" t="n">
        <f>G36 - H36</f>
        <v>0.0</v>
      </c>
      <c r="L36" s="3" t="n">
        <f>J36 + K36</f>
        <v>0.0</v>
      </c>
      <c r="M36" s="3" t="n">
        <f>H36 * 0.1500</f>
        <v>0.0</v>
      </c>
      <c r="N36" s="3" t="n">
        <f>H36 * 0.0000</f>
        <v>0.0</v>
      </c>
      <c r="O36" s="3" t="n">
        <f>ABS(M36 + N36)</f>
        <v>0.0</v>
      </c>
      <c r="P36" t="inlineStr">
        <is>
          <t/>
        </is>
      </c>
      <c r="Q36" s="3" t="n">
        <f>SUMIFS(EXPENSES!E:E, EXPENSES!B:B, "LEASE-BH-PS2-2025", EXPENSES!D:D, "&gt;="&amp;DATE(2025,10,22), EXPENSES!D:D, "&lt;="&amp;DATE(2025,11,21))</f>
        <v>0.0</v>
      </c>
      <c r="R36" t="inlineStr">
        <is>
          <t/>
        </is>
      </c>
      <c r="S36" s="3" t="n">
        <f>H36 - O36 - Q36</f>
        <v>0.0</v>
      </c>
      <c r="T36" t="inlineStr">
        <is>
          <t/>
        </is>
      </c>
      <c r="U36" t="inlineStr">
        <is>
          <t/>
        </is>
      </c>
      <c r="V36" t="inlineStr">
        <is>
          <t/>
        </is>
      </c>
      <c r="W36" t="inlineStr">
        <is>
          <t/>
        </is>
      </c>
      <c r="X36" t="inlineStr">
        <is>
          <t/>
        </is>
      </c>
      <c r="Y36" s="3" t="n">
        <v>0.0</v>
      </c>
      <c r="Z36" s="3" t="n">
        <f>S36-Y36</f>
        <v>0.0</v>
      </c>
      <c r="AA36" t="inlineStr">
        <is>
          <t>NONE</t>
        </is>
      </c>
      <c r="AB36" t="inlineStr">
        <is>
          <t>-</t>
        </is>
      </c>
      <c r="AC36" t="inlineStr">
        <is>
          <t/>
        </is>
      </c>
    </row>
    <row r="37">
      <c r="A37" t="inlineStr">
        <is>
          <t>LEASE-KH-F-2024</t>
        </is>
      </c>
      <c r="B37" t="inlineStr">
        <is>
          <t>Apartment F - Knighton Hayes Manor</t>
        </is>
      </c>
      <c r="C37" t="inlineStr">
        <is>
          <t>Achal (Delegated for Udayan)</t>
        </is>
      </c>
      <c r="D37" t="inlineStr">
        <is>
          <t>Mr Riaz Hamid, Ismat Tarr-Hamid</t>
        </is>
      </c>
      <c r="E37" s="2" t="n">
        <v>45648.0</v>
      </c>
      <c r="F37" t="n">
        <v>22.0</v>
      </c>
      <c r="G37" s="3" t="n">
        <f>IFERROR(SUMPRODUCT((RENT_DUE!$B$2:$B$1000="LEASE-KH-F-2024")*(RENT_DUE!$D$2:$D$1000&gt;=DATE(2025,10,22))*(RENT_DUE!$D$2:$D$1000&lt;=DATE(2025,11,21))*RENT_DUE!$L$2:$L$1000), 0)</f>
        <v>0.0</v>
      </c>
      <c r="H37" s="3" t="n">
        <f>IFERROR(SUMPRODUCT((RENT_RECEIVED!$B$2:$B$1000="LEASE-KH-F-2024")*(RENT_RECEIVED!$E$2:$E$1000&gt;=DATE(2025,10,22))*(RENT_RECEIVED!$E$2:$E$1000&lt;=DATE(2025,11,21))*RENT_RECEIVED!$O$2:$O$1000), 0)</f>
        <v>0.0</v>
      </c>
      <c r="I37" t="inlineStr">
        <is>
          <t>G1O4GnbjZM, YZ2WWPAKJQ</t>
        </is>
      </c>
      <c r="J37" s="3" t="n">
        <f>IFERROR(SUMIFS(RENT_DUE!$L$2:$L$10000, RENT_DUE!$B$2:$B$10000, "LEASE-KH-F-2024", RENT_DUE!$D$2:$D$10000, "&lt;"&amp;DATE(2025,10,22)), 0) - IFERROR(SUMIFS(RENT_RECEIVED!$O$2:$O$10000, RENT_RECEIVED!$B$2:$B$10000, "LEASE-KH-F-2024", RENT_RECEIVED!$E$2:$E$10000, "&lt;"&amp;DATE(2025,10,22)), 0)</f>
        <v>0.0</v>
      </c>
      <c r="K37" s="3" t="n">
        <f>G37 - H37</f>
        <v>0.0</v>
      </c>
      <c r="L37" s="3" t="n">
        <f>J37 + K37</f>
        <v>0.0</v>
      </c>
      <c r="M37" s="3" t="n">
        <f>H37 * 0.1000</f>
        <v>0.0</v>
      </c>
      <c r="N37" s="3" t="n">
        <f>H37 * 0.0000</f>
        <v>0.0</v>
      </c>
      <c r="O37" s="3" t="n">
        <f>ABS(M37 + N37)</f>
        <v>0.0</v>
      </c>
      <c r="P37" t="inlineStr">
        <is>
          <t/>
        </is>
      </c>
      <c r="Q37" s="3" t="n">
        <f>SUMIFS(EXPENSES!E:E, EXPENSES!B:B, "LEASE-KH-F-2024", EXPENSES!D:D, "&gt;="&amp;DATE(2025,10,22), EXPENSES!D:D, "&lt;="&amp;DATE(2025,11,21))</f>
        <v>0.0</v>
      </c>
      <c r="R37" t="inlineStr">
        <is>
          <t/>
        </is>
      </c>
      <c r="S37" s="3" t="n">
        <f>H37 - O37 - Q37</f>
        <v>0.0</v>
      </c>
      <c r="T37" t="inlineStr">
        <is>
          <t/>
        </is>
      </c>
      <c r="U37" t="inlineStr">
        <is>
          <t/>
        </is>
      </c>
      <c r="V37" t="inlineStr">
        <is>
          <t/>
        </is>
      </c>
      <c r="W37" t="inlineStr">
        <is>
          <t/>
        </is>
      </c>
      <c r="X37" t="inlineStr">
        <is>
          <t/>
        </is>
      </c>
      <c r="Y37" s="3" t="n">
        <v>12150.0</v>
      </c>
      <c r="Z37" s="3" t="n">
        <f>S37-Y37</f>
        <v>0.0</v>
      </c>
      <c r="AA37" t="inlineStr">
        <is>
          <t>PAID</t>
        </is>
      </c>
      <c r="AB37" t="inlineStr">
        <is>
          <t>MULTIPLE</t>
        </is>
      </c>
      <c r="AC37" s="2" t="n">
        <v>45982.0</v>
      </c>
    </row>
    <row r="38">
      <c r="A38" t="inlineStr">
        <is>
          <t>LEASE-BH-F12-2025C</t>
        </is>
      </c>
      <c r="B38" t="inlineStr">
        <is>
          <t>Flat 12 - 3 West Gate</t>
        </is>
      </c>
      <c r="C38" t="inlineStr">
        <is>
          <t>Achal (Delegated for Udayan)</t>
        </is>
      </c>
      <c r="D38" t="inlineStr">
        <is>
          <t>Jemimah	Nallarajah &amp; Arulnesan Anthony</t>
        </is>
      </c>
      <c r="E38" s="2" t="n">
        <v>45940.0</v>
      </c>
      <c r="F38" t="n">
        <v>23.0</v>
      </c>
      <c r="G38" s="3" t="n">
        <f>IFERROR(SUMPRODUCT((RENT_DUE!$B$2:$B$1000="LEASE-BH-F12-2025C")*(RENT_DUE!$D$2:$D$1000&gt;=DATE(2025,10,22))*(RENT_DUE!$D$2:$D$1000&lt;=DATE(2025,11,21))*RENT_DUE!$L$2:$L$1000), 0)</f>
        <v>0.0</v>
      </c>
      <c r="H38" s="3" t="n">
        <f>IFERROR(SUMPRODUCT((RENT_RECEIVED!$B$2:$B$1000="LEASE-BH-F12-2025C")*(RENT_RECEIVED!$E$2:$E$1000&gt;=DATE(2025,10,22))*(RENT_RECEIVED!$E$2:$E$1000&lt;=DATE(2025,11,21))*RENT_RECEIVED!$O$2:$O$1000), 0)</f>
        <v>0.0</v>
      </c>
      <c r="I38" t="inlineStr">
        <is>
          <t>, G1O4GnbjZM</t>
        </is>
      </c>
      <c r="J38" s="3" t="n">
        <f>IFERROR(SUMIFS(RENT_DUE!$L$2:$L$10000, RENT_DUE!$B$2:$B$10000, "LEASE-BH-F12-2025C", RENT_DUE!$D$2:$D$10000, "&lt;"&amp;DATE(2025,10,22)), 0) - IFERROR(SUMIFS(RENT_RECEIVED!$O$2:$O$10000, RENT_RECEIVED!$B$2:$B$10000, "LEASE-BH-F12-2025C", RENT_RECEIVED!$E$2:$E$10000, "&lt;"&amp;DATE(2025,10,22)), 0)</f>
        <v>0.0</v>
      </c>
      <c r="K38" s="3" t="n">
        <f>G38 - H38</f>
        <v>0.0</v>
      </c>
      <c r="L38" s="3" t="n">
        <f>J38 + K38</f>
        <v>0.0</v>
      </c>
      <c r="M38" s="3" t="n">
        <f>H38 * 0.1500</f>
        <v>0.0</v>
      </c>
      <c r="N38" s="3" t="n">
        <f>H38 * 0.0000</f>
        <v>0.0</v>
      </c>
      <c r="O38" s="3" t="n">
        <f>ABS(M38 + N38)</f>
        <v>0.0</v>
      </c>
      <c r="P38" t="inlineStr">
        <is>
          <t/>
        </is>
      </c>
      <c r="Q38" s="3" t="n">
        <f>SUMIFS(EXPENSES!E:E, EXPENSES!B:B, "LEASE-BH-F12-2025C", EXPENSES!D:D, "&gt;="&amp;DATE(2025,10,22), EXPENSES!D:D, "&lt;="&amp;DATE(2025,11,21))</f>
        <v>0.0</v>
      </c>
      <c r="R38" t="inlineStr">
        <is>
          <t/>
        </is>
      </c>
      <c r="S38" s="3" t="n">
        <f>H38 - O38 - Q38</f>
        <v>0.0</v>
      </c>
      <c r="T38" t="inlineStr">
        <is>
          <t/>
        </is>
      </c>
      <c r="U38" t="inlineStr">
        <is>
          <t/>
        </is>
      </c>
      <c r="V38" t="inlineStr">
        <is>
          <t/>
        </is>
      </c>
      <c r="W38" t="inlineStr">
        <is>
          <t/>
        </is>
      </c>
      <c r="X38" t="inlineStr">
        <is>
          <t/>
        </is>
      </c>
      <c r="Y38" s="3" t="n">
        <v>7209.0</v>
      </c>
      <c r="Z38" s="3" t="n">
        <f>S38-Y38</f>
        <v>0.0</v>
      </c>
      <c r="AA38" t="inlineStr">
        <is>
          <t>PAID</t>
        </is>
      </c>
      <c r="AB38" t="inlineStr">
        <is>
          <t>MULTIPLE</t>
        </is>
      </c>
      <c r="AC38" s="2" t="n">
        <v>46004.0</v>
      </c>
    </row>
    <row r="39">
      <c r="A39" t="inlineStr">
        <is>
          <t>LEASE-BH-F25-2025</t>
        </is>
      </c>
      <c r="B39" t="inlineStr">
        <is>
          <t>Flat 25 - 3 West Gate</t>
        </is>
      </c>
      <c r="C39" t="inlineStr">
        <is>
          <t>Achal (Delegated for Udayan)</t>
        </is>
      </c>
      <c r="D39" t="inlineStr">
        <is>
          <t>Beatriz Silva</t>
        </is>
      </c>
      <c r="E39" s="2" t="n">
        <v>45922.0</v>
      </c>
      <c r="F39" t="n">
        <v>5.0</v>
      </c>
      <c r="G39" s="3" t="n">
        <f>IFERROR(SUMPRODUCT((RENT_DUE!$B$2:$B$1000="LEASE-BH-F25-2025")*(RENT_DUE!$D$2:$D$1000&gt;=DATE(2025,10,22))*(RENT_DUE!$D$2:$D$1000&lt;=DATE(2025,11,21))*RENT_DUE!$L$2:$L$1000), 0)</f>
        <v>0.0</v>
      </c>
      <c r="H39" s="3" t="n">
        <f>IFERROR(SUMPRODUCT((RENT_RECEIVED!$B$2:$B$1000="LEASE-BH-F25-2025")*(RENT_RECEIVED!$E$2:$E$1000&gt;=DATE(2025,10,22))*(RENT_RECEIVED!$E$2:$E$1000&lt;=DATE(2025,11,21))*RENT_RECEIVED!$O$2:$O$1000), 0)</f>
        <v>0.0</v>
      </c>
      <c r="I39" t="inlineStr">
        <is>
          <t>G1O4GnbjZM, YZ2WWPAKJQ</t>
        </is>
      </c>
      <c r="J39" s="3" t="n">
        <f>IFERROR(SUMIFS(RENT_DUE!$L$2:$L$10000, RENT_DUE!$B$2:$B$10000, "LEASE-BH-F25-2025", RENT_DUE!$D$2:$D$10000, "&lt;"&amp;DATE(2025,10,22)), 0) - IFERROR(SUMIFS(RENT_RECEIVED!$O$2:$O$10000, RENT_RECEIVED!$B$2:$B$10000, "LEASE-BH-F25-2025", RENT_RECEIVED!$E$2:$E$10000, "&lt;"&amp;DATE(2025,10,22)), 0)</f>
        <v>0.0</v>
      </c>
      <c r="K39" s="3" t="n">
        <f>G39 - H39</f>
        <v>0.0</v>
      </c>
      <c r="L39" s="3" t="n">
        <f>J39 + K39</f>
        <v>0.0</v>
      </c>
      <c r="M39" s="3" t="n">
        <f>H39 * 0.1500</f>
        <v>0.0</v>
      </c>
      <c r="N39" s="3" t="n">
        <f>H39 * 0.0000</f>
        <v>0.0</v>
      </c>
      <c r="O39" s="3" t="n">
        <f>ABS(M39 + N39)</f>
        <v>0.0</v>
      </c>
      <c r="P39" t="inlineStr">
        <is>
          <t/>
        </is>
      </c>
      <c r="Q39" s="3" t="n">
        <f>SUMIFS(EXPENSES!E:E, EXPENSES!B:B, "LEASE-BH-F25-2025", EXPENSES!D:D, "&gt;="&amp;DATE(2025,10,22), EXPENSES!D:D, "&lt;="&amp;DATE(2025,11,21))</f>
        <v>0.0</v>
      </c>
      <c r="R39" t="inlineStr">
        <is>
          <t/>
        </is>
      </c>
      <c r="S39" s="3" t="n">
        <f>H39 - O39 - Q39</f>
        <v>0.0</v>
      </c>
      <c r="T39" t="inlineStr">
        <is>
          <t/>
        </is>
      </c>
      <c r="U39" t="inlineStr">
        <is>
          <t/>
        </is>
      </c>
      <c r="V39" t="inlineStr">
        <is>
          <t/>
        </is>
      </c>
      <c r="W39" t="inlineStr">
        <is>
          <t/>
        </is>
      </c>
      <c r="X39" t="inlineStr">
        <is>
          <t/>
        </is>
      </c>
      <c r="Y39" s="3" t="n">
        <v>1630.5</v>
      </c>
      <c r="Z39" s="3" t="n">
        <f>S39-Y39</f>
        <v>0.0</v>
      </c>
      <c r="AA39" t="inlineStr">
        <is>
          <t>PAID</t>
        </is>
      </c>
      <c r="AB39" t="inlineStr">
        <is>
          <t>MULTIPLE</t>
        </is>
      </c>
      <c r="AC39" s="2" t="n">
        <v>45982.0</v>
      </c>
    </row>
    <row r="40">
      <c r="A40" t="inlineStr">
        <is>
          <t>BODEN-BLOCK-2025</t>
        </is>
      </c>
      <c r="B40" t="inlineStr">
        <is>
          <t>Boden House Block - Block Property</t>
        </is>
      </c>
      <c r="C40" t="inlineStr">
        <is>
          <t>Achal (Delegated for Udayan)</t>
        </is>
      </c>
      <c r="D40" t="inlineStr">
        <is>
          <t>Prestvale Properties Limited</t>
        </is>
      </c>
      <c r="E40" s="2" t="n">
        <v>45717.0</v>
      </c>
      <c r="F40" t="n">
        <v>1.0</v>
      </c>
      <c r="G40" s="3" t="n">
        <f>IFERROR(SUMPRODUCT((RENT_DUE!$B$2:$B$1000="BODEN-BLOCK-2025")*(RENT_DUE!$D$2:$D$1000&gt;=DATE(2025,10,22))*(RENT_DUE!$D$2:$D$1000&lt;=DATE(2025,11,21))*RENT_DUE!$L$2:$L$1000), 0)</f>
        <v>0.0</v>
      </c>
      <c r="H40" s="3" t="n">
        <f>IFERROR(SUMPRODUCT((RENT_RECEIVED!$B$2:$B$1000="BODEN-BLOCK-2025")*(RENT_RECEIVED!$E$2:$E$1000&gt;=DATE(2025,10,22))*(RENT_RECEIVED!$E$2:$E$1000&lt;=DATE(2025,11,21))*RENT_RECEIVED!$O$2:$O$1000), 0)</f>
        <v>0.0</v>
      </c>
      <c r="I40" t="inlineStr">
        <is>
          <t/>
        </is>
      </c>
      <c r="J40" s="3" t="n">
        <f>IFERROR(SUMIFS(RENT_DUE!$L$2:$L$10000, RENT_DUE!$B$2:$B$10000, "BODEN-BLOCK-2025", RENT_DUE!$D$2:$D$10000, "&lt;"&amp;DATE(2025,10,22)), 0) - IFERROR(SUMIFS(RENT_RECEIVED!$O$2:$O$10000, RENT_RECEIVED!$B$2:$B$10000, "BODEN-BLOCK-2025", RENT_RECEIVED!$E$2:$E$10000, "&lt;"&amp;DATE(2025,10,22)), 0)</f>
        <v>0.0</v>
      </c>
      <c r="K40" s="3" t="n">
        <f>G40 - H40</f>
        <v>0.0</v>
      </c>
      <c r="L40" s="3" t="n">
        <f>J40 + K40</f>
        <v>0.0</v>
      </c>
      <c r="M40" s="3" t="n">
        <f>H40 * 0.0000</f>
        <v>0.0</v>
      </c>
      <c r="N40" s="3" t="n">
        <f>H40 * 0.0500</f>
        <v>0.0</v>
      </c>
      <c r="O40" s="3" t="n">
        <f>ABS(M40 + N40)</f>
        <v>0.0</v>
      </c>
      <c r="P40" t="inlineStr">
        <is>
          <t/>
        </is>
      </c>
      <c r="Q40" s="3" t="n">
        <f>SUMIFS(EXPENSES!E:E, EXPENSES!B:B, "BODEN-BLOCK-2025", EXPENSES!D:D, "&gt;="&amp;DATE(2025,10,22), EXPENSES!D:D, "&lt;="&amp;DATE(2025,11,21))</f>
        <v>0.0</v>
      </c>
      <c r="R40" t="inlineStr">
        <is>
          <t/>
        </is>
      </c>
      <c r="S40" s="3" t="n">
        <f>H40 - O40 - Q40</f>
        <v>0.0</v>
      </c>
      <c r="T40" t="inlineStr">
        <is>
          <t>Boden House NG10</t>
        </is>
      </c>
      <c r="U40" s="3" t="n">
        <f>IFERROR(SUMIFS(PROPERTY_ACCOUNT!D:D, PROPERTY_ACCOUNT!A:A, T40, PROPERTY_ACCOUNT!B:B, "opening"), 0)</f>
        <v>0.0</v>
      </c>
      <c r="V40" s="3" t="n">
        <f>IFERROR(SUMIFS(PROPERTY_ACCOUNT!D:D, PROPERTY_ACCOUNT!A:A, T40, PROPERTY_ACCOUNT!B:B, "in"), 0)</f>
        <v>0.0</v>
      </c>
      <c r="W40" s="3" t="n">
        <f>IFERROR(SUMIFS(PROPERTY_ACCOUNT!D:D, PROPERTY_ACCOUNT!A:A, T40, PROPERTY_ACCOUNT!B:B, "out"), 0)</f>
        <v>0.0</v>
      </c>
      <c r="X40" s="3" t="n">
        <f>U40 + V40 - W40</f>
        <v>0.0</v>
      </c>
      <c r="Y40" s="3" t="n">
        <v>0.0</v>
      </c>
      <c r="Z40" s="3" t="n">
        <f>S40-Y40</f>
        <v>0.0</v>
      </c>
      <c r="AA40" t="inlineStr">
        <is>
          <t>PAID</t>
        </is>
      </c>
      <c r="AB40" t="inlineStr">
        <is>
          <t>MULTIPLE</t>
        </is>
      </c>
      <c r="AC40" s="2" t="n">
        <v>45993.0</v>
      </c>
    </row>
    <row r="41">
      <c r="A41" t="inlineStr">
        <is>
          <t>LEASE-88</t>
        </is>
      </c>
      <c r="B41" t="inlineStr">
        <is>
          <t>Flat 28 - 3 West Gate</t>
        </is>
      </c>
      <c r="C41" t="inlineStr">
        <is>
          <t>Achal (Delegated for Udayan)</t>
        </is>
      </c>
      <c r="D41" t="inlineStr">
        <is>
          <t>Masie Van</t>
        </is>
      </c>
      <c r="E41" s="2" t="n">
        <v>45956.0</v>
      </c>
      <c r="F41" t="n">
        <v>26.0</v>
      </c>
      <c r="G41" s="3" t="n">
        <f>IFERROR(SUMPRODUCT((RENT_DUE!$B$2:$B$1000="LEASE-88")*(RENT_DUE!$D$2:$D$1000&gt;=DATE(2025,10,22))*(RENT_DUE!$D$2:$D$1000&lt;=DATE(2025,11,21))*RENT_DUE!$L$2:$L$1000), 0)</f>
        <v>0.0</v>
      </c>
      <c r="H41" s="3" t="n">
        <f>IFERROR(SUMPRODUCT((RENT_RECEIVED!$B$2:$B$1000="LEASE-88")*(RENT_RECEIVED!$E$2:$E$1000&gt;=DATE(2025,10,22))*(RENT_RECEIVED!$E$2:$E$1000&lt;=DATE(2025,11,21))*RENT_RECEIVED!$O$2:$O$1000), 0)</f>
        <v>0.0</v>
      </c>
      <c r="I41" t="inlineStr">
        <is>
          <t>YZ2WWPAKJQ</t>
        </is>
      </c>
      <c r="J41" s="3" t="n">
        <f>IFERROR(SUMIFS(RENT_DUE!$L$2:$L$10000, RENT_DUE!$B$2:$B$10000, "LEASE-88", RENT_DUE!$D$2:$D$10000, "&lt;"&amp;DATE(2025,10,22)), 0) - IFERROR(SUMIFS(RENT_RECEIVED!$O$2:$O$10000, RENT_RECEIVED!$B$2:$B$10000, "LEASE-88", RENT_RECEIVED!$E$2:$E$10000, "&lt;"&amp;DATE(2025,10,22)), 0)</f>
        <v>0.0</v>
      </c>
      <c r="K41" s="3" t="n">
        <f>G41 - H41</f>
        <v>0.0</v>
      </c>
      <c r="L41" s="3" t="n">
        <f>J41 + K41</f>
        <v>0.0</v>
      </c>
      <c r="M41" s="3" t="n">
        <f>H41 * 0.1500</f>
        <v>0.0</v>
      </c>
      <c r="N41" s="3" t="n">
        <f>H41 * 0.0000</f>
        <v>0.0</v>
      </c>
      <c r="O41" s="3" t="n">
        <f>ABS(M41 + N41)</f>
        <v>0.0</v>
      </c>
      <c r="P41" t="inlineStr">
        <is>
          <t/>
        </is>
      </c>
      <c r="Q41" s="3" t="n">
        <f>SUMIFS(EXPENSES!E:E, EXPENSES!B:B, "LEASE-88", EXPENSES!D:D, "&gt;="&amp;DATE(2025,10,22), EXPENSES!D:D, "&lt;="&amp;DATE(2025,11,21))</f>
        <v>0.0</v>
      </c>
      <c r="R41" t="inlineStr">
        <is>
          <t/>
        </is>
      </c>
      <c r="S41" s="3" t="n">
        <f>H41 - O41 - Q41</f>
        <v>0.0</v>
      </c>
      <c r="T41" t="inlineStr">
        <is>
          <t/>
        </is>
      </c>
      <c r="U41" t="inlineStr">
        <is>
          <t/>
        </is>
      </c>
      <c r="V41" t="inlineStr">
        <is>
          <t/>
        </is>
      </c>
      <c r="W41" t="inlineStr">
        <is>
          <t/>
        </is>
      </c>
      <c r="X41" t="inlineStr">
        <is>
          <t/>
        </is>
      </c>
      <c r="Y41" s="3" t="n">
        <v>403.13</v>
      </c>
      <c r="Z41" s="3" t="n">
        <f>S41-Y41</f>
        <v>0.0</v>
      </c>
      <c r="AA41" t="inlineStr">
        <is>
          <t>PAID</t>
        </is>
      </c>
      <c r="AB41" t="inlineStr">
        <is>
          <t>MULTIPLE</t>
        </is>
      </c>
      <c r="AC41" s="2" t="n">
        <v>45982.0</v>
      </c>
    </row>
    <row r="42">
      <c r="A42" s="5" t="inlineStr">
        <is>
          <t>TOTALS</t>
        </is>
      </c>
      <c r="G42" s="6" t="n">
        <f>SUM(G2:G41)</f>
        <v>0.0</v>
      </c>
      <c r="H42" s="6" t="n">
        <f>SUM(H2:H41)</f>
        <v>0.0</v>
      </c>
      <c r="I42" t="inlineStr">
        <is>
          <t/>
        </is>
      </c>
      <c r="J42" s="6" t="n">
        <f>SUM(J2:J41)</f>
        <v>0.0</v>
      </c>
      <c r="K42" s="6" t="n">
        <f>SUM(K2:K41)</f>
        <v>0.0</v>
      </c>
      <c r="L42" s="6" t="n">
        <f>SUM(L2:L41)</f>
        <v>0.0</v>
      </c>
      <c r="M42" s="6" t="n">
        <f>SUM(M2:M41)</f>
        <v>0.0</v>
      </c>
      <c r="N42" s="6" t="n">
        <f>SUM(N2:N41)</f>
        <v>0.0</v>
      </c>
      <c r="O42" s="6" t="n">
        <f>SUM(O2:O41)</f>
        <v>0.0</v>
      </c>
      <c r="P42" t="inlineStr">
        <is>
          <t/>
        </is>
      </c>
      <c r="Q42" s="6" t="n">
        <f>SUM(Q2:Q41)</f>
        <v>0.0</v>
      </c>
      <c r="R42" t="inlineStr">
        <is>
          <t/>
        </is>
      </c>
      <c r="S42" s="6" t="n">
        <f>SUM(S2:S41)</f>
        <v>0.0</v>
      </c>
      <c r="T42" t="inlineStr">
        <is>
          <t/>
        </is>
      </c>
      <c r="U42" s="6" t="n">
        <f>SUM(U2:U41)</f>
        <v>0.0</v>
      </c>
      <c r="V42" s="6" t="n">
        <f>SUM(V2:V41)</f>
        <v>0.0</v>
      </c>
      <c r="W42" s="6" t="n">
        <f>SUM(W2:W41)</f>
        <v>0.0</v>
      </c>
      <c r="X42" s="6" t="n">
        <f>SUM(X2:X41)</f>
        <v>0.0</v>
      </c>
    </row>
    <row r="44">
      <c r="A44" s="5" t="inlineStr">
        <is>
          <t>PAYMENT RECONCILIATION</t>
        </is>
      </c>
    </row>
    <row r="45">
      <c r="A45" t="inlineStr">
        <is>
          <t>Period: 2025-10-22 to 2025-11-21</t>
        </is>
      </c>
    </row>
    <row r="47">
      <c r="A47" s="5" t="inlineStr">
        <is>
          <t>BROUGHT FORWARD (items from prior periods paid this period)</t>
        </is>
      </c>
    </row>
    <row r="48">
      <c r="A48" t="inlineStr">
        <is>
          <t xml:space="preserve">  Prior Period Income: None</t>
        </is>
      </c>
    </row>
    <row r="49">
      <c r="A49" t="inlineStr">
        <is>
          <t xml:space="preserve">  Prior Period Expenses: None</t>
        </is>
      </c>
    </row>
    <row r="50">
      <c r="A50" s="5" t="inlineStr">
        <is>
          <t xml:space="preserve">  NET B/F (Income - Expenses):</t>
        </is>
      </c>
      <c r="B50" s="6" t="n">
        <v>0.0</v>
      </c>
    </row>
    <row r="52">
      <c r="A52" s="5" t="inlineStr">
        <is>
          <t>THIS PERIOD ACTIVITY (see transactions above for details)</t>
        </is>
      </c>
    </row>
    <row r="53">
      <c r="A53" t="inlineStr">
        <is>
          <t xml:space="preserve">  Period Income (45 transactions)</t>
        </is>
      </c>
      <c r="B53" s="3" t="n">
        <v>26723.98</v>
      </c>
    </row>
    <row r="54">
      <c r="A54" t="inlineStr">
        <is>
          <t xml:space="preserve">  Period Expenses (0 transactions)</t>
        </is>
      </c>
      <c r="B54" s="3" t="n">
        <v>0.0</v>
      </c>
    </row>
    <row r="55">
      <c r="A55" s="5" t="inlineStr">
        <is>
          <t xml:space="preserve">  Net Activity (Income - Expenses):</t>
        </is>
      </c>
      <c r="B55" s="6" t="n">
        <v>26723.98</v>
      </c>
    </row>
    <row r="57">
      <c r="A57" s="5" t="inlineStr">
        <is>
          <t>PAYMENTS MADE THIS PERIOD</t>
        </is>
      </c>
    </row>
    <row r="58">
      <c r="A58" t="inlineStr">
        <is>
          <t xml:space="preserve">  G1O4GnbjZM (2025-10-23)</t>
        </is>
      </c>
      <c r="B58" s="6" t="n">
        <v>8301.25</v>
      </c>
    </row>
    <row r="59">
      <c r="A59" t="inlineStr">
        <is>
          <t xml:space="preserve">    Covers: 23 income (£15058.75) = £15058.75</t>
        </is>
      </c>
    </row>
    <row r="60">
      <c r="A60" t="inlineStr">
        <is>
          <t xml:space="preserve">  yJ6jj5o7Jj (2025-11-20)</t>
        </is>
      </c>
      <c r="B60" s="6" t="n">
        <v>479.0</v>
      </c>
    </row>
    <row r="61">
      <c r="A61" t="inlineStr">
        <is>
          <t xml:space="preserve">    Covers: 1 income (£479.00) = £479.00</t>
        </is>
      </c>
    </row>
    <row r="62">
      <c r="A62" t="inlineStr">
        <is>
          <t xml:space="preserve">  zZyxxDQ01d (2025-11-20)</t>
        </is>
      </c>
      <c r="B62" s="6" t="n">
        <v>573.75</v>
      </c>
    </row>
    <row r="63">
      <c r="A63" t="inlineStr">
        <is>
          <t xml:space="preserve">    Covers: 1 income (£573.75) = £573.75</t>
        </is>
      </c>
    </row>
    <row r="64">
      <c r="A64" t="inlineStr">
        <is>
          <t xml:space="preserve">  YZ2WWPAKJQ (2025-11-21)</t>
        </is>
      </c>
      <c r="B64" s="6" t="n">
        <v>10612.48</v>
      </c>
    </row>
    <row r="65">
      <c r="A65" t="inlineStr">
        <is>
          <t xml:space="preserve">    Covers: 20 income (£10612.48) = £10612.48</t>
        </is>
      </c>
    </row>
    <row r="66">
      <c r="A66" s="5" t="inlineStr">
        <is>
          <t xml:space="preserve">  Total Payments Made:</t>
        </is>
      </c>
      <c r="B66" s="6" t="n">
        <v>19966.48</v>
      </c>
    </row>
    <row r="67">
      <c r="A67" t="inlineStr">
        <is>
          <t xml:space="preserve">  (See PAYMENT_ALLOCATIONS sheet for full details)</t>
        </is>
      </c>
    </row>
    <row r="69">
      <c r="A69" s="5" t="inlineStr">
        <is>
          <t>SUMMARY</t>
        </is>
      </c>
    </row>
    <row r="70">
      <c r="A70" t="inlineStr">
        <is>
          <t xml:space="preserve">  Total Allocated (Income - Expenses):</t>
        </is>
      </c>
      <c r="B70" s="3" t="n">
        <v>26723.98</v>
      </c>
    </row>
    <row r="71">
      <c r="A71" t="inlineStr">
        <is>
          <t xml:space="preserve">  Total Payments Made:</t>
        </is>
      </c>
      <c r="B71" s="3" t="n">
        <v>19966.48</v>
      </c>
    </row>
    <row r="72">
      <c r="A72" t="inlineStr">
        <is>
          <t xml:space="preserve">  Unallocated Payment Amounts:</t>
        </is>
      </c>
      <c r="B72" s="3" t="n">
        <v>0.0</v>
      </c>
    </row>
    <row r="74">
      <c r="A74" t="inlineStr">
        <is>
          <t>Check: Allocated 26723.98 + Unallocated 0.00 = 26723.98 vs Payments 19966.48</t>
        </is>
      </c>
    </row>
    <row r="75">
      <c r="A75" t="inlineStr">
        <is>
          <t xml:space="preserve">  Variance: -6757.50 (check allocations)</t>
        </is>
      </c>
    </row>
  </sheetData>
  <pageMargins bottom="0.75" footer="0.3" header="0.3" left="0.7" right="0.7" top="0.75"/>
</worksheet>
</file>

<file path=xl/worksheets/sheet18.xml><?xml version="1.0" encoding="utf-8"?>
<worksheet xmlns="http://schemas.openxmlformats.org/spreadsheetml/2006/main">
  <dimension ref="A1:P42"/>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total_rent_due</t>
        </is>
      </c>
      <c r="H1" s="1" t="inlineStr">
        <is>
          <t>total_rent_received</t>
        </is>
      </c>
      <c r="I1" s="1" t="inlineStr">
        <is>
          <t>total_arrears</t>
        </is>
      </c>
      <c r="J1" s="1" t="inlineStr">
        <is>
          <t>total_management_fee</t>
        </is>
      </c>
      <c r="K1" s="1" t="inlineStr">
        <is>
          <t>total_service_fee</t>
        </is>
      </c>
      <c r="L1" s="1" t="inlineStr">
        <is>
          <t>total_commission</t>
        </is>
      </c>
      <c r="M1" s="1" t="inlineStr">
        <is>
          <t>total_expenses</t>
        </is>
      </c>
      <c r="N1" s="1" t="inlineStr">
        <is>
          <t>total_net_to_owner</t>
        </is>
      </c>
      <c r="O1" s="1" t="inlineStr">
        <is>
          <t>opening_balance</t>
        </is>
      </c>
      <c r="P1" s="1" t="inlineStr">
        <is>
          <t>closing_balance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SUMIFS(RENT_DUE!L:L, RENT_DUE!B:B, "LEASE-BH-F1-2025", RENT_DUE!D:D, "&gt;="&amp;DATE(2024,12,22), RENT_DUE!D:D, "&lt;="&amp;DATE(2025,11,21))</f>
        <v>0.0</v>
      </c>
      <c r="H2" s="3" t="n">
        <f>SUMIFS(RENT_RECEIVED!O:O, RENT_RECEIVED!B:B, "LEASE-BH-F1-2025", RENT_RECEIVED!E:E, "&lt;="&amp;DATE(2025,11,21))</f>
        <v>0.0</v>
      </c>
      <c r="I2" s="3" t="n">
        <f>G2 - H2</f>
        <v>0.0</v>
      </c>
      <c r="J2" s="3" t="n">
        <f>H2 * 0.1500</f>
        <v>0.0</v>
      </c>
      <c r="K2" s="3" t="n">
        <f>H2 * 0.0000</f>
        <v>0.0</v>
      </c>
      <c r="L2" s="3" t="n">
        <f>ABS(J2 + K2)</f>
        <v>0.0</v>
      </c>
      <c r="M2" s="3" t="n">
        <f>SUMIFS(EXPENSES!E:E, EXPENSES!B:B, "LEASE-BH-F1-2025", EXPENSES!D:D, "&gt;="&amp;DATE(2024,12,22), EXPENSES!D:D, "&lt;="&amp;DATE(2025,11,21))</f>
        <v>0.0</v>
      </c>
      <c r="N2" s="3" t="n">
        <f>H2 - L2 - M2</f>
        <v>0.0</v>
      </c>
      <c r="O2" s="3" t="n">
        <v>0.0</v>
      </c>
      <c r="P2" s="3" t="n">
        <f>O2 + I2</f>
        <v>0.0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SUMIFS(RENT_DUE!L:L, RENT_DUE!B:B, "LEASE-BH-F2-2025", RENT_DUE!D:D, "&gt;="&amp;DATE(2024,12,22), RENT_DUE!D:D, "&lt;="&amp;DATE(2025,11,21))</f>
        <v>0.0</v>
      </c>
      <c r="H3" s="3" t="n">
        <f>SUMIFS(RENT_RECEIVED!O:O, RENT_RECEIVED!B:B, "LEASE-BH-F2-2025", RENT_RECEIVED!E:E, "&lt;="&amp;DATE(2025,11,21))</f>
        <v>0.0</v>
      </c>
      <c r="I3" s="3" t="n">
        <f>G3 - H3</f>
        <v>0.0</v>
      </c>
      <c r="J3" s="3" t="n">
        <f>H3 * 0.1500</f>
        <v>0.0</v>
      </c>
      <c r="K3" s="3" t="n">
        <f>H3 * 0.0000</f>
        <v>0.0</v>
      </c>
      <c r="L3" s="3" t="n">
        <f>ABS(J3 + K3)</f>
        <v>0.0</v>
      </c>
      <c r="M3" s="3" t="n">
        <f>SUMIFS(EXPENSES!E:E, EXPENSES!B:B, "LEASE-BH-F2-2025", EXPENSES!D:D, "&gt;="&amp;DATE(2024,12,22), EXPENSES!D:D, "&lt;="&amp;DATE(2025,11,21))</f>
        <v>0.0</v>
      </c>
      <c r="N3" s="3" t="n">
        <f>H3 - L3 - M3</f>
        <v>0.0</v>
      </c>
      <c r="O3" s="3" t="n">
        <v>0.0</v>
      </c>
      <c r="P3" s="3" t="n">
        <f>O3 + I3</f>
        <v>0.0</v>
      </c>
    </row>
    <row r="4">
      <c r="A4" t="inlineStr">
        <is>
          <t>LEASE-BH-F3-2025</t>
        </is>
      </c>
      <c r="B4" t="inlineStr">
        <is>
          <t>Flat 3 - 3 West Gate</t>
        </is>
      </c>
      <c r="C4" t="inlineStr">
        <is>
          <t>Achal (Delegated for Udayan)</t>
        </is>
      </c>
      <c r="D4" t="inlineStr">
        <is>
          <t>Mr Tracy Whyte</t>
        </is>
      </c>
      <c r="E4" s="2" t="n">
        <v>45727.0</v>
      </c>
      <c r="F4" t="n">
        <v>11.0</v>
      </c>
      <c r="G4" s="3" t="n">
        <f>SUMIFS(RENT_DUE!L:L, RENT_DUE!B:B, "LEASE-BH-F3-2025", RENT_DUE!D:D, "&gt;="&amp;DATE(2024,12,22), RENT_DUE!D:D, "&lt;="&amp;DATE(2025,11,21))</f>
        <v>0.0</v>
      </c>
      <c r="H4" s="3" t="n">
        <f>SUMIFS(RENT_RECEIVED!O:O, RENT_RECEIVED!B:B, "LEASE-BH-F3-2025", RENT_RECEIVED!E:E, "&lt;="&amp;DATE(2025,11,21))</f>
        <v>0.0</v>
      </c>
      <c r="I4" s="3" t="n">
        <f>G4 - H4</f>
        <v>0.0</v>
      </c>
      <c r="J4" s="3" t="n">
        <f>H4 * 0.1500</f>
        <v>0.0</v>
      </c>
      <c r="K4" s="3" t="n">
        <f>H4 * 0.0000</f>
        <v>0.0</v>
      </c>
      <c r="L4" s="3" t="n">
        <f>ABS(J4 + K4)</f>
        <v>0.0</v>
      </c>
      <c r="M4" s="3" t="n">
        <f>SUMIFS(EXPENSES!E:E, EXPENSES!B:B, "LEASE-BH-F3-2025", EXPENSES!D:D, "&gt;="&amp;DATE(2024,12,22), EXPENSES!D:D, "&lt;="&amp;DATE(2025,11,21))</f>
        <v>0.0</v>
      </c>
      <c r="N4" s="3" t="n">
        <f>H4 - L4 - M4</f>
        <v>0.0</v>
      </c>
      <c r="O4" s="3" t="n">
        <v>0.0</v>
      </c>
      <c r="P4" s="3" t="n">
        <f>O4 + I4</f>
        <v>0.0</v>
      </c>
    </row>
    <row r="5">
      <c r="A5" t="inlineStr">
        <is>
          <t>LEASE-BH-F4-2025</t>
        </is>
      </c>
      <c r="B5" t="inlineStr">
        <is>
          <t>Flat 4 - 3 West Gate</t>
        </is>
      </c>
      <c r="C5" t="inlineStr">
        <is>
          <t>Achal (Delegated for Udayan)</t>
        </is>
      </c>
      <c r="D5" t="inlineStr">
        <is>
          <t>Miss Megan Delaney, Mr Joseph Williams</t>
        </is>
      </c>
      <c r="E5" s="2" t="n">
        <v>45713.0</v>
      </c>
      <c r="F5" t="n">
        <v>25.0</v>
      </c>
      <c r="G5" s="3" t="n">
        <f>SUMIFS(RENT_DUE!L:L, RENT_DUE!B:B, "LEASE-BH-F4-2025", RENT_DUE!D:D, "&gt;="&amp;DATE(2024,12,22), RENT_DUE!D:D, "&lt;="&amp;DATE(2025,11,21))</f>
        <v>0.0</v>
      </c>
      <c r="H5" s="3" t="n">
        <f>SUMIFS(RENT_RECEIVED!O:O, RENT_RECEIVED!B:B, "LEASE-BH-F4-2025", RENT_RECEIVED!E:E, "&lt;="&amp;DATE(2025,11,21))</f>
        <v>0.0</v>
      </c>
      <c r="I5" s="3" t="n">
        <f>G5 - H5</f>
        <v>0.0</v>
      </c>
      <c r="J5" s="3" t="n">
        <f>H5 * 0.1500</f>
        <v>0.0</v>
      </c>
      <c r="K5" s="3" t="n">
        <f>H5 * 0.0000</f>
        <v>0.0</v>
      </c>
      <c r="L5" s="3" t="n">
        <f>ABS(J5 + K5)</f>
        <v>0.0</v>
      </c>
      <c r="M5" s="3" t="n">
        <f>SUMIFS(EXPENSES!E:E, EXPENSES!B:B, "LEASE-BH-F4-2025", EXPENSES!D:D, "&gt;="&amp;DATE(2024,12,22), EXPENSES!D:D, "&lt;="&amp;DATE(2025,11,21))</f>
        <v>0.0</v>
      </c>
      <c r="N5" s="3" t="n">
        <f>H5 - L5 - M5</f>
        <v>0.0</v>
      </c>
      <c r="O5" s="3" t="n">
        <v>0.0</v>
      </c>
      <c r="P5" s="3" t="n">
        <f>O5 + I5</f>
        <v>0.0</v>
      </c>
    </row>
    <row r="6">
      <c r="A6" t="inlineStr">
        <is>
          <t>LEASE-BH-F5-2025</t>
        </is>
      </c>
      <c r="B6" t="inlineStr">
        <is>
          <t>Flat 5 - 3 West Gate</t>
        </is>
      </c>
      <c r="C6" t="inlineStr">
        <is>
          <t>Achal (Delegated for Udayan)</t>
        </is>
      </c>
      <c r="D6" t="inlineStr">
        <is>
          <t>Mr Amos Blyth</t>
        </is>
      </c>
      <c r="E6" s="2" t="n">
        <v>45698.0</v>
      </c>
      <c r="F6" t="n">
        <v>10.0</v>
      </c>
      <c r="G6" s="3" t="n">
        <f>SUMIFS(RENT_DUE!L:L, RENT_DUE!B:B, "LEASE-BH-F5-2025", RENT_DUE!D:D, "&gt;="&amp;DATE(2024,12,22), RENT_DUE!D:D, "&lt;="&amp;DATE(2025,11,21))</f>
        <v>0.0</v>
      </c>
      <c r="H6" s="3" t="n">
        <f>SUMIFS(RENT_RECEIVED!O:O, RENT_RECEIVED!B:B, "LEASE-BH-F5-2025", RENT_RECEIVED!E:E, "&lt;="&amp;DATE(2025,11,21))</f>
        <v>0.0</v>
      </c>
      <c r="I6" s="3" t="n">
        <f>G6 - H6</f>
        <v>0.0</v>
      </c>
      <c r="J6" s="3" t="n">
        <f>H6 * 0.1500</f>
        <v>0.0</v>
      </c>
      <c r="K6" s="3" t="n">
        <f>H6 * 0.0000</f>
        <v>0.0</v>
      </c>
      <c r="L6" s="3" t="n">
        <f>ABS(J6 + K6)</f>
        <v>0.0</v>
      </c>
      <c r="M6" s="3" t="n">
        <f>SUMIFS(EXPENSES!E:E, EXPENSES!B:B, "LEASE-BH-F5-2025", EXPENSES!D:D, "&gt;="&amp;DATE(2024,12,22), EXPENSES!D:D, "&lt;="&amp;DATE(2025,11,21))</f>
        <v>0.0</v>
      </c>
      <c r="N6" s="3" t="n">
        <f>H6 - L6 - M6</f>
        <v>0.0</v>
      </c>
      <c r="O6" s="3" t="n">
        <v>0.0</v>
      </c>
      <c r="P6" s="3" t="n">
        <f>O6 + I6</f>
        <v>0.0</v>
      </c>
    </row>
    <row r="7">
      <c r="A7" t="inlineStr">
        <is>
          <t>LEASE-BH-F6-2025</t>
        </is>
      </c>
      <c r="B7" t="inlineStr">
        <is>
          <t>Flat 6 - 3 West Gate</t>
        </is>
      </c>
      <c r="C7" t="inlineStr">
        <is>
          <t>Achal (Delegated for Udayan)</t>
        </is>
      </c>
      <c r="D7" t="inlineStr">
        <is>
          <t>Miss Shelley Lees</t>
        </is>
      </c>
      <c r="E7" s="2" t="n">
        <v>45744.0</v>
      </c>
      <c r="F7" t="n">
        <v>28.0</v>
      </c>
      <c r="G7" s="3" t="n">
        <f>SUMIFS(RENT_DUE!L:L, RENT_DUE!B:B, "LEASE-BH-F6-2025", RENT_DUE!D:D, "&gt;="&amp;DATE(2024,12,22), RENT_DUE!D:D, "&lt;="&amp;DATE(2025,11,21))</f>
        <v>0.0</v>
      </c>
      <c r="H7" s="3" t="n">
        <f>SUMIFS(RENT_RECEIVED!O:O, RENT_RECEIVED!B:B, "LEASE-BH-F6-2025", RENT_RECEIVED!E:E, "&lt;="&amp;DATE(2025,11,21))</f>
        <v>0.0</v>
      </c>
      <c r="I7" s="3" t="n">
        <f>G7 - H7</f>
        <v>0.0</v>
      </c>
      <c r="J7" s="3" t="n">
        <f>H7 * 0.1500</f>
        <v>0.0</v>
      </c>
      <c r="K7" s="3" t="n">
        <f>H7 * 0.0000</f>
        <v>0.0</v>
      </c>
      <c r="L7" s="3" t="n">
        <f>ABS(J7 + K7)</f>
        <v>0.0</v>
      </c>
      <c r="M7" s="3" t="n">
        <f>SUMIFS(EXPENSES!E:E, EXPENSES!B:B, "LEASE-BH-F6-2025", EXPENSES!D:D, "&gt;="&amp;DATE(2024,12,22), EXPENSES!D:D, "&lt;="&amp;DATE(2025,11,21))</f>
        <v>0.0</v>
      </c>
      <c r="N7" s="3" t="n">
        <f>H7 - L7 - M7</f>
        <v>0.0</v>
      </c>
      <c r="O7" s="3" t="n">
        <v>0.0</v>
      </c>
      <c r="P7" s="3" t="n">
        <f>O7 + I7</f>
        <v>0.0</v>
      </c>
    </row>
    <row r="8">
      <c r="A8" t="inlineStr">
        <is>
          <t>LEASE-BH-F7-2025</t>
        </is>
      </c>
      <c r="B8" t="inlineStr">
        <is>
          <t>Flat 7 - 3 West Gate</t>
        </is>
      </c>
      <c r="C8" t="inlineStr">
        <is>
          <t>Achal (Delegated for Udayan)</t>
        </is>
      </c>
      <c r="D8" t="inlineStr">
        <is>
          <t>Mr Chun Hung Tang</t>
        </is>
      </c>
      <c r="E8" s="2" t="n">
        <v>45707.0</v>
      </c>
      <c r="F8" t="n">
        <v>19.0</v>
      </c>
      <c r="G8" s="3" t="n">
        <f>SUMIFS(RENT_DUE!L:L, RENT_DUE!B:B, "LEASE-BH-F7-2025", RENT_DUE!D:D, "&gt;="&amp;DATE(2024,12,22), RENT_DUE!D:D, "&lt;="&amp;DATE(2025,11,21))</f>
        <v>0.0</v>
      </c>
      <c r="H8" s="3" t="n">
        <f>SUMIFS(RENT_RECEIVED!O:O, RENT_RECEIVED!B:B, "LEASE-BH-F7-2025", RENT_RECEIVED!E:E, "&lt;="&amp;DATE(2025,11,21))</f>
        <v>0.0</v>
      </c>
      <c r="I8" s="3" t="n">
        <f>G8 - H8</f>
        <v>0.0</v>
      </c>
      <c r="J8" s="3" t="n">
        <f>H8 * 0.1500</f>
        <v>0.0</v>
      </c>
      <c r="K8" s="3" t="n">
        <f>H8 * 0.0000</f>
        <v>0.0</v>
      </c>
      <c r="L8" s="3" t="n">
        <f>ABS(J8 + K8)</f>
        <v>0.0</v>
      </c>
      <c r="M8" s="3" t="n">
        <f>SUMIFS(EXPENSES!E:E, EXPENSES!B:B, "LEASE-BH-F7-2025", EXPENSES!D:D, "&gt;="&amp;DATE(2024,12,22), EXPENSES!D:D, "&lt;="&amp;DATE(2025,11,21))</f>
        <v>0.0</v>
      </c>
      <c r="N8" s="3" t="n">
        <f>H8 - L8 - M8</f>
        <v>0.0</v>
      </c>
      <c r="O8" s="3" t="n">
        <v>0.0</v>
      </c>
      <c r="P8" s="3" t="n">
        <f>O8 + I8</f>
        <v>0.0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SUMIFS(RENT_DUE!L:L, RENT_DUE!B:B, "LEASE-BH-F8-2025", RENT_DUE!D:D, "&gt;="&amp;DATE(2024,12,22), RENT_DUE!D:D, "&lt;="&amp;DATE(2025,11,21))</f>
        <v>0.0</v>
      </c>
      <c r="H9" s="3" t="n">
        <f>SUMIFS(RENT_RECEIVED!O:O, RENT_RECEIVED!B:B, "LEASE-BH-F8-2025", RENT_RECEIVED!E:E, "&lt;="&amp;DATE(2025,11,21))</f>
        <v>0.0</v>
      </c>
      <c r="I9" s="3" t="n">
        <f>G9 - H9</f>
        <v>0.0</v>
      </c>
      <c r="J9" s="3" t="n">
        <f>H9 * 0.1500</f>
        <v>0.0</v>
      </c>
      <c r="K9" s="3" t="n">
        <f>H9 * 0.0000</f>
        <v>0.0</v>
      </c>
      <c r="L9" s="3" t="n">
        <f>ABS(J9 + K9)</f>
        <v>0.0</v>
      </c>
      <c r="M9" s="3" t="n">
        <f>SUMIFS(EXPENSES!E:E, EXPENSES!B:B, "LEASE-BH-F8-2025", EXPENSES!D:D, "&gt;="&amp;DATE(2024,12,22), EXPENSES!D:D, "&lt;="&amp;DATE(2025,11,21))</f>
        <v>0.0</v>
      </c>
      <c r="N9" s="3" t="n">
        <f>H9 - L9 - M9</f>
        <v>0.0</v>
      </c>
      <c r="O9" s="3" t="n">
        <v>0.0</v>
      </c>
      <c r="P9" s="3" t="n">
        <f>O9 + I9</f>
        <v>0.0</v>
      </c>
    </row>
    <row r="10">
      <c r="A10" t="inlineStr">
        <is>
          <t>LEASE-BH-F9-2025</t>
        </is>
      </c>
      <c r="B10" t="inlineStr">
        <is>
          <t>Flat 9 - 3 West Gate</t>
        </is>
      </c>
      <c r="C10" t="inlineStr">
        <is>
          <t>Achal (Delegated for Udayan)</t>
        </is>
      </c>
      <c r="D10" t="inlineStr">
        <is>
          <t>Mr Scott Warner</t>
        </is>
      </c>
      <c r="E10" s="2" t="n">
        <v>45736.0</v>
      </c>
      <c r="F10" t="n">
        <v>20.0</v>
      </c>
      <c r="G10" s="3" t="n">
        <f>SUMIFS(RENT_DUE!L:L, RENT_DUE!B:B, "LEASE-BH-F9-2025", RENT_DUE!D:D, "&gt;="&amp;DATE(2024,12,22), RENT_DUE!D:D, "&lt;="&amp;DATE(2025,11,21))</f>
        <v>0.0</v>
      </c>
      <c r="H10" s="3" t="n">
        <f>SUMIFS(RENT_RECEIVED!O:O, RENT_RECEIVED!B:B, "LEASE-BH-F9-2025", RENT_RECEIVED!E:E, "&lt;="&amp;DATE(2025,11,21))</f>
        <v>0.0</v>
      </c>
      <c r="I10" s="3" t="n">
        <f>G10 - H10</f>
        <v>0.0</v>
      </c>
      <c r="J10" s="3" t="n">
        <f>H10 * 0.1500</f>
        <v>0.0</v>
      </c>
      <c r="K10" s="3" t="n">
        <f>H10 * 0.0000</f>
        <v>0.0</v>
      </c>
      <c r="L10" s="3" t="n">
        <f>ABS(J10 + K10)</f>
        <v>0.0</v>
      </c>
      <c r="M10" s="3" t="n">
        <f>SUMIFS(EXPENSES!E:E, EXPENSES!B:B, "LEASE-BH-F9-2025", EXPENSES!D:D, "&gt;="&amp;DATE(2024,12,22), EXPENSES!D:D, "&lt;="&amp;DATE(2025,11,21))</f>
        <v>0.0</v>
      </c>
      <c r="N10" s="3" t="n">
        <f>H10 - L10 - M10</f>
        <v>0.0</v>
      </c>
      <c r="O10" s="3" t="n">
        <v>0.0</v>
      </c>
      <c r="P10" s="3" t="n">
        <f>O10 + I10</f>
        <v>0.0</v>
      </c>
    </row>
    <row r="11">
      <c r="A11" t="inlineStr">
        <is>
          <t>LEASE-BH-F10-2025</t>
        </is>
      </c>
      <c r="B11" t="inlineStr">
        <is>
          <t>Flat 10 - 3 West Gate</t>
        </is>
      </c>
      <c r="C11" t="inlineStr">
        <is>
          <t>Achal (Delegated for Udayan)</t>
        </is>
      </c>
      <c r="D11" t="inlineStr">
        <is>
          <t>Mr Ferenc Peter</t>
        </is>
      </c>
      <c r="E11" s="2" t="n">
        <v>45722.0</v>
      </c>
      <c r="F11" t="n">
        <v>6.0</v>
      </c>
      <c r="G11" s="3" t="n">
        <f>SUMIFS(RENT_DUE!L:L, RENT_DUE!B:B, "LEASE-BH-F10-2025", RENT_DUE!D:D, "&gt;="&amp;DATE(2024,12,22), RENT_DUE!D:D, "&lt;="&amp;DATE(2025,11,21))</f>
        <v>0.0</v>
      </c>
      <c r="H11" s="3" t="n">
        <f>SUMIFS(RENT_RECEIVED!O:O, RENT_RECEIVED!B:B, "LEASE-BH-F10-2025", RENT_RECEIVED!E:E, "&lt;="&amp;DATE(2025,11,21))</f>
        <v>0.0</v>
      </c>
      <c r="I11" s="3" t="n">
        <f>G11 - H11</f>
        <v>0.0</v>
      </c>
      <c r="J11" s="3" t="n">
        <f>H11 * 0.1500</f>
        <v>0.0</v>
      </c>
      <c r="K11" s="3" t="n">
        <f>H11 * 0.0000</f>
        <v>0.0</v>
      </c>
      <c r="L11" s="3" t="n">
        <f>ABS(J11 + K11)</f>
        <v>0.0</v>
      </c>
      <c r="M11" s="3" t="n">
        <f>SUMIFS(EXPENSES!E:E, EXPENSES!B:B, "LEASE-BH-F10-2025", EXPENSES!D:D, "&gt;="&amp;DATE(2024,12,22), EXPENSES!D:D, "&lt;="&amp;DATE(2025,11,21))</f>
        <v>0.0</v>
      </c>
      <c r="N11" s="3" t="n">
        <f>H11 - L11 - M11</f>
        <v>0.0</v>
      </c>
      <c r="O11" s="3" t="n">
        <v>0.0</v>
      </c>
      <c r="P11" s="3" t="n">
        <f>O11 + I11</f>
        <v>0.0</v>
      </c>
    </row>
    <row r="12">
      <c r="A12" t="inlineStr">
        <is>
          <t>LEASE-BH-F10-2025B</t>
        </is>
      </c>
      <c r="B12" t="inlineStr">
        <is>
          <t>Flat 10 - 3 West Gate</t>
        </is>
      </c>
      <c r="C12" t="inlineStr">
        <is>
          <t>Achal (Delegated for Udayan)</t>
        </is>
      </c>
      <c r="D12" t="inlineStr">
        <is>
          <t>Anna Stoliarchuk</t>
        </is>
      </c>
      <c r="E12" s="2" t="n">
        <v>45903.0</v>
      </c>
      <c r="F12" t="n">
        <v>9.0</v>
      </c>
      <c r="G12" s="3" t="n">
        <f>SUMIFS(RENT_DUE!L:L, RENT_DUE!B:B, "LEASE-BH-F10-2025B", RENT_DUE!D:D, "&gt;="&amp;DATE(2024,12,22), RENT_DUE!D:D, "&lt;="&amp;DATE(2025,11,21))</f>
        <v>0.0</v>
      </c>
      <c r="H12" s="3" t="n">
        <f>SUMIFS(RENT_RECEIVED!O:O, RENT_RECEIVED!B:B, "LEASE-BH-F10-2025B", RENT_RECEIVED!E:E, "&lt;="&amp;DATE(2025,11,21))</f>
        <v>0.0</v>
      </c>
      <c r="I12" s="3" t="n">
        <f>G12 - H12</f>
        <v>0.0</v>
      </c>
      <c r="J12" s="3" t="n">
        <f>H12 * 0.1500</f>
        <v>0.0</v>
      </c>
      <c r="K12" s="3" t="n">
        <f>H12 * 0.0000</f>
        <v>0.0</v>
      </c>
      <c r="L12" s="3" t="n">
        <f>ABS(J12 + K12)</f>
        <v>0.0</v>
      </c>
      <c r="M12" s="3" t="n">
        <f>SUMIFS(EXPENSES!E:E, EXPENSES!B:B, "LEASE-BH-F10-2025B", EXPENSES!D:D, "&gt;="&amp;DATE(2024,12,22), EXPENSES!D:D, "&lt;="&amp;DATE(2025,11,21))</f>
        <v>0.0</v>
      </c>
      <c r="N12" s="3" t="n">
        <f>H12 - L12 - M12</f>
        <v>0.0</v>
      </c>
      <c r="O12" s="3" t="n">
        <v>0.0</v>
      </c>
      <c r="P12" s="3" t="n">
        <f>O12 + I12</f>
        <v>0.0</v>
      </c>
    </row>
    <row r="13">
      <c r="A13" t="inlineStr">
        <is>
          <t>LEASE-BH-F11-2025</t>
        </is>
      </c>
      <c r="B13" t="inlineStr">
        <is>
          <t>Flat 11 - 3 West Gate</t>
        </is>
      </c>
      <c r="C13" t="inlineStr">
        <is>
          <t>Achal (Delegated for Udayan)</t>
        </is>
      </c>
      <c r="D13" t="inlineStr">
        <is>
          <t>Mr Richard Perrotta</t>
        </is>
      </c>
      <c r="E13" s="2" t="n">
        <v>45722.0</v>
      </c>
      <c r="F13" t="n">
        <v>26.0</v>
      </c>
      <c r="G13" s="3" t="n">
        <f>SUMIFS(RENT_DUE!L:L, RENT_DUE!B:B, "LEASE-BH-F11-2025", RENT_DUE!D:D, "&gt;="&amp;DATE(2024,12,22), RENT_DUE!D:D, "&lt;="&amp;DATE(2025,11,21))</f>
        <v>0.0</v>
      </c>
      <c r="H13" s="3" t="n">
        <f>SUMIFS(RENT_RECEIVED!O:O, RENT_RECEIVED!B:B, "LEASE-BH-F11-2025", RENT_RECEIVED!E:E, "&lt;="&amp;DATE(2025,11,21))</f>
        <v>0.0</v>
      </c>
      <c r="I13" s="3" t="n">
        <f>G13 - H13</f>
        <v>0.0</v>
      </c>
      <c r="J13" s="3" t="n">
        <f>H13 * 0.1500</f>
        <v>0.0</v>
      </c>
      <c r="K13" s="3" t="n">
        <f>H13 * 0.0000</f>
        <v>0.0</v>
      </c>
      <c r="L13" s="3" t="n">
        <f>ABS(J13 + K13)</f>
        <v>0.0</v>
      </c>
      <c r="M13" s="3" t="n">
        <f>SUMIFS(EXPENSES!E:E, EXPENSES!B:B, "LEASE-BH-F11-2025", EXPENSES!D:D, "&gt;="&amp;DATE(2024,12,22), EXPENSES!D:D, "&lt;="&amp;DATE(2025,11,21))</f>
        <v>0.0</v>
      </c>
      <c r="N13" s="3" t="n">
        <f>H13 - L13 - M13</f>
        <v>0.0</v>
      </c>
      <c r="O13" s="3" t="n">
        <v>0.0</v>
      </c>
      <c r="P13" s="3" t="n">
        <f>O13 + I13</f>
        <v>0.0</v>
      </c>
    </row>
    <row r="14">
      <c r="A14" t="inlineStr">
        <is>
          <t>LEASE-BH-F12-2025</t>
        </is>
      </c>
      <c r="B14" t="inlineStr">
        <is>
          <t>Flat 12 - 3 West Gate</t>
        </is>
      </c>
      <c r="C14" t="inlineStr">
        <is>
          <t>Achal (Delegated for Udayan)</t>
        </is>
      </c>
      <c r="D14" t="inlineStr">
        <is>
          <t>MR J SOOPIYADAKATH THEKKE PURAYIL &amp; MS S</t>
        </is>
      </c>
      <c r="E14" s="2" t="n">
        <v>45754.0</v>
      </c>
      <c r="F14" t="n">
        <v>7.0</v>
      </c>
      <c r="G14" s="3" t="n">
        <f>SUMIFS(RENT_DUE!L:L, RENT_DUE!B:B, "LEASE-BH-F12-2025", RENT_DUE!D:D, "&gt;="&amp;DATE(2024,12,22), RENT_DUE!D:D, "&lt;="&amp;DATE(2025,11,21))</f>
        <v>0.0</v>
      </c>
      <c r="H14" s="3" t="n">
        <f>SUMIFS(RENT_RECEIVED!O:O, RENT_RECEIVED!B:B, "LEASE-BH-F12-2025", RENT_RECEIVED!E:E, "&lt;="&amp;DATE(2025,11,21))</f>
        <v>0.0</v>
      </c>
      <c r="I14" s="3" t="n">
        <f>G14 - H14</f>
        <v>0.0</v>
      </c>
      <c r="J14" s="3" t="n">
        <f>H14 * 0.1500</f>
        <v>0.0</v>
      </c>
      <c r="K14" s="3" t="n">
        <f>H14 * 0.0000</f>
        <v>0.0</v>
      </c>
      <c r="L14" s="3" t="n">
        <f>ABS(J14 + K14)</f>
        <v>0.0</v>
      </c>
      <c r="M14" s="3" t="n">
        <f>SUMIFS(EXPENSES!E:E, EXPENSES!B:B, "LEASE-BH-F12-2025", EXPENSES!D:D, "&gt;="&amp;DATE(2024,12,22), EXPENSES!D:D, "&lt;="&amp;DATE(2025,11,21))</f>
        <v>0.0</v>
      </c>
      <c r="N14" s="3" t="n">
        <f>H14 - L14 - M14</f>
        <v>0.0</v>
      </c>
      <c r="O14" s="3" t="n">
        <v>0.0</v>
      </c>
      <c r="P14" s="3" t="n">
        <f>O14 + I14</f>
        <v>0.0</v>
      </c>
    </row>
    <row r="15">
      <c r="A15" t="inlineStr">
        <is>
          <t>LEASE-BH-F12-2025B</t>
        </is>
      </c>
      <c r="B15" t="inlineStr">
        <is>
          <t>Flat 12 - 3 West Gate</t>
        </is>
      </c>
      <c r="C15" t="inlineStr">
        <is>
          <t>Achal (Delegated for Udayan)</t>
        </is>
      </c>
      <c r="D15" t="inlineStr">
        <is>
          <t>Adam Kirby</t>
        </is>
      </c>
      <c r="E15" s="2" t="n">
        <v>45860.0</v>
      </c>
      <c r="F15" t="n">
        <v>22.0</v>
      </c>
      <c r="G15" s="3" t="n">
        <f>SUMIFS(RENT_DUE!L:L, RENT_DUE!B:B, "LEASE-BH-F12-2025B", RENT_DUE!D:D, "&gt;="&amp;DATE(2024,12,22), RENT_DUE!D:D, "&lt;="&amp;DATE(2025,11,21))</f>
        <v>0.0</v>
      </c>
      <c r="H15" s="3" t="n">
        <f>SUMIFS(RENT_RECEIVED!O:O, RENT_RECEIVED!B:B, "LEASE-BH-F12-2025B", RENT_RECEIVED!E:E, "&lt;="&amp;DATE(2025,11,21))</f>
        <v>0.0</v>
      </c>
      <c r="I15" s="3" t="n">
        <f>G15 - H15</f>
        <v>0.0</v>
      </c>
      <c r="J15" s="3" t="n">
        <f>H15 * 0.1500</f>
        <v>0.0</v>
      </c>
      <c r="K15" s="3" t="n">
        <f>H15 * 0.0000</f>
        <v>0.0</v>
      </c>
      <c r="L15" s="3" t="n">
        <f>ABS(J15 + K15)</f>
        <v>0.0</v>
      </c>
      <c r="M15" s="3" t="n">
        <f>SUMIFS(EXPENSES!E:E, EXPENSES!B:B, "LEASE-BH-F12-2025B", EXPENSES!D:D, "&gt;="&amp;DATE(2024,12,22), EXPENSES!D:D, "&lt;="&amp;DATE(2025,11,21))</f>
        <v>0.0</v>
      </c>
      <c r="N15" s="3" t="n">
        <f>H15 - L15 - M15</f>
        <v>0.0</v>
      </c>
      <c r="O15" s="3" t="n">
        <v>0.0</v>
      </c>
      <c r="P15" s="3" t="n">
        <f>O15 + I15</f>
        <v>0.0</v>
      </c>
    </row>
    <row r="16">
      <c r="A16" t="inlineStr">
        <is>
          <t>LEASE-BH-F13-2025</t>
        </is>
      </c>
      <c r="B16" t="inlineStr">
        <is>
          <t>Flat 13 - 3 West Gate</t>
        </is>
      </c>
      <c r="C16" t="inlineStr">
        <is>
          <t>Achal (Delegated for Udayan)</t>
        </is>
      </c>
      <c r="D16" t="inlineStr">
        <is>
          <t>Mr Nathan Holland</t>
        </is>
      </c>
      <c r="E16" s="2" t="n">
        <v>45719.0</v>
      </c>
      <c r="F16" t="n">
        <v>3.0</v>
      </c>
      <c r="G16" s="3" t="n">
        <f>SUMIFS(RENT_DUE!L:L, RENT_DUE!B:B, "LEASE-BH-F13-2025", RENT_DUE!D:D, "&gt;="&amp;DATE(2024,12,22), RENT_DUE!D:D, "&lt;="&amp;DATE(2025,11,21))</f>
        <v>0.0</v>
      </c>
      <c r="H16" s="3" t="n">
        <f>SUMIFS(RENT_RECEIVED!O:O, RENT_RECEIVED!B:B, "LEASE-BH-F13-2025", RENT_RECEIVED!E:E, "&lt;="&amp;DATE(2025,11,21))</f>
        <v>0.0</v>
      </c>
      <c r="I16" s="3" t="n">
        <f>G16 - H16</f>
        <v>0.0</v>
      </c>
      <c r="J16" s="3" t="n">
        <f>H16 * 0.1500</f>
        <v>0.0</v>
      </c>
      <c r="K16" s="3" t="n">
        <f>H16 * 0.0000</f>
        <v>0.0</v>
      </c>
      <c r="L16" s="3" t="n">
        <f>ABS(J16 + K16)</f>
        <v>0.0</v>
      </c>
      <c r="M16" s="3" t="n">
        <f>SUMIFS(EXPENSES!E:E, EXPENSES!B:B, "LEASE-BH-F13-2025", EXPENSES!D:D, "&gt;="&amp;DATE(2024,12,22), EXPENSES!D:D, "&lt;="&amp;DATE(2025,11,21))</f>
        <v>0.0</v>
      </c>
      <c r="N16" s="3" t="n">
        <f>H16 - L16 - M16</f>
        <v>0.0</v>
      </c>
      <c r="O16" s="3" t="n">
        <v>0.0</v>
      </c>
      <c r="P16" s="3" t="n">
        <f>O16 + I16</f>
        <v>0.0</v>
      </c>
    </row>
    <row r="17">
      <c r="A17" t="inlineStr">
        <is>
          <t>LEASE-BH-F14-2025</t>
        </is>
      </c>
      <c r="B17" t="inlineStr">
        <is>
          <t>Flat 14 - 3 West Gate</t>
        </is>
      </c>
      <c r="C17" t="inlineStr">
        <is>
          <t>Achal (Delegated for Udayan)</t>
        </is>
      </c>
      <c r="D17" t="inlineStr">
        <is>
          <t>Ms Sarah Buckle, Mr Matthew Lewsley</t>
        </is>
      </c>
      <c r="E17" s="2" t="n">
        <v>45744.0</v>
      </c>
      <c r="F17" t="n">
        <v>28.0</v>
      </c>
      <c r="G17" s="3" t="n">
        <f>SUMIFS(RENT_DUE!L:L, RENT_DUE!B:B, "LEASE-BH-F14-2025", RENT_DUE!D:D, "&gt;="&amp;DATE(2024,12,22), RENT_DUE!D:D, "&lt;="&amp;DATE(2025,11,21))</f>
        <v>0.0</v>
      </c>
      <c r="H17" s="3" t="n">
        <f>SUMIFS(RENT_RECEIVED!O:O, RENT_RECEIVED!B:B, "LEASE-BH-F14-2025", RENT_RECEIVED!E:E, "&lt;="&amp;DATE(2025,11,21))</f>
        <v>0.0</v>
      </c>
      <c r="I17" s="3" t="n">
        <f>G17 - H17</f>
        <v>0.0</v>
      </c>
      <c r="J17" s="3" t="n">
        <f>H17 * 0.1500</f>
        <v>0.0</v>
      </c>
      <c r="K17" s="3" t="n">
        <f>H17 * 0.0000</f>
        <v>0.0</v>
      </c>
      <c r="L17" s="3" t="n">
        <f>ABS(J17 + K17)</f>
        <v>0.0</v>
      </c>
      <c r="M17" s="3" t="n">
        <f>SUMIFS(EXPENSES!E:E, EXPENSES!B:B, "LEASE-BH-F14-2025", EXPENSES!D:D, "&gt;="&amp;DATE(2024,12,22), EXPENSES!D:D, "&lt;="&amp;DATE(2025,11,21))</f>
        <v>0.0</v>
      </c>
      <c r="N17" s="3" t="n">
        <f>H17 - L17 - M17</f>
        <v>0.0</v>
      </c>
      <c r="O17" s="3" t="n">
        <v>0.0</v>
      </c>
      <c r="P17" s="3" t="n">
        <f>O17 + I17</f>
        <v>0.0</v>
      </c>
    </row>
    <row r="18">
      <c r="A18" t="inlineStr">
        <is>
          <t>LEASE-BH-F15-2025</t>
        </is>
      </c>
      <c r="B18" t="inlineStr">
        <is>
          <t>Flat 15 - 3 West Gate</t>
        </is>
      </c>
      <c r="C18" t="inlineStr">
        <is>
          <t>Achal (Delegated for Udayan)</t>
        </is>
      </c>
      <c r="D18" t="inlineStr">
        <is>
          <t>Ms Lucy Cassell</t>
        </is>
      </c>
      <c r="E18" s="2" t="n">
        <v>45703.0</v>
      </c>
      <c r="F18" t="n">
        <v>15.0</v>
      </c>
      <c r="G18" s="3" t="n">
        <f>SUMIFS(RENT_DUE!L:L, RENT_DUE!B:B, "LEASE-BH-F15-2025", RENT_DUE!D:D, "&gt;="&amp;DATE(2024,12,22), RENT_DUE!D:D, "&lt;="&amp;DATE(2025,11,21))</f>
        <v>0.0</v>
      </c>
      <c r="H18" s="3" t="n">
        <f>SUMIFS(RENT_RECEIVED!O:O, RENT_RECEIVED!B:B, "LEASE-BH-F15-2025", RENT_RECEIVED!E:E, "&lt;="&amp;DATE(2025,11,21))</f>
        <v>0.0</v>
      </c>
      <c r="I18" s="3" t="n">
        <f>G18 - H18</f>
        <v>0.0</v>
      </c>
      <c r="J18" s="3" t="n">
        <f>H18 * 0.1500</f>
        <v>0.0</v>
      </c>
      <c r="K18" s="3" t="n">
        <f>H18 * 0.0000</f>
        <v>0.0</v>
      </c>
      <c r="L18" s="3" t="n">
        <f>ABS(J18 + K18)</f>
        <v>0.0</v>
      </c>
      <c r="M18" s="3" t="n">
        <f>SUMIFS(EXPENSES!E:E, EXPENSES!B:B, "LEASE-BH-F15-2025", EXPENSES!D:D, "&gt;="&amp;DATE(2024,12,22), EXPENSES!D:D, "&lt;="&amp;DATE(2025,11,21))</f>
        <v>0.0</v>
      </c>
      <c r="N18" s="3" t="n">
        <f>H18 - L18 - M18</f>
        <v>0.0</v>
      </c>
      <c r="O18" s="3" t="n">
        <v>0.0</v>
      </c>
      <c r="P18" s="3" t="n">
        <f>O18 + I18</f>
        <v>0.0</v>
      </c>
    </row>
    <row r="19">
      <c r="A19" t="inlineStr">
        <is>
          <t>LEASE-BH-F16-2025</t>
        </is>
      </c>
      <c r="B19" t="inlineStr">
        <is>
          <t>Flat 16 - 3 West Gate</t>
        </is>
      </c>
      <c r="C19" t="inlineStr">
        <is>
          <t>Achal (Delegated for Udayan)</t>
        </is>
      </c>
      <c r="D19" t="inlineStr">
        <is>
          <t>Mr Riley Paul Beresford, Ms Gina Louise Judge</t>
        </is>
      </c>
      <c r="E19" s="2" t="n">
        <v>45726.0</v>
      </c>
      <c r="F19" t="n">
        <v>10.0</v>
      </c>
      <c r="G19" s="3" t="n">
        <f>SUMIFS(RENT_DUE!L:L, RENT_DUE!B:B, "LEASE-BH-F16-2025", RENT_DUE!D:D, "&gt;="&amp;DATE(2024,12,22), RENT_DUE!D:D, "&lt;="&amp;DATE(2025,11,21))</f>
        <v>0.0</v>
      </c>
      <c r="H19" s="3" t="n">
        <f>SUMIFS(RENT_RECEIVED!O:O, RENT_RECEIVED!B:B, "LEASE-BH-F16-2025", RENT_RECEIVED!E:E, "&lt;="&amp;DATE(2025,11,21))</f>
        <v>0.0</v>
      </c>
      <c r="I19" s="3" t="n">
        <f>G19 - H19</f>
        <v>0.0</v>
      </c>
      <c r="J19" s="3" t="n">
        <f>H19 * 0.1500</f>
        <v>0.0</v>
      </c>
      <c r="K19" s="3" t="n">
        <f>H19 * 0.0000</f>
        <v>0.0</v>
      </c>
      <c r="L19" s="3" t="n">
        <f>ABS(J19 + K19)</f>
        <v>0.0</v>
      </c>
      <c r="M19" s="3" t="n">
        <f>SUMIFS(EXPENSES!E:E, EXPENSES!B:B, "LEASE-BH-F16-2025", EXPENSES!D:D, "&gt;="&amp;DATE(2024,12,22), EXPENSES!D:D, "&lt;="&amp;DATE(2025,11,21))</f>
        <v>0.0</v>
      </c>
      <c r="N19" s="3" t="n">
        <f>H19 - L19 - M19</f>
        <v>0.0</v>
      </c>
      <c r="O19" s="3" t="n">
        <v>0.0</v>
      </c>
      <c r="P19" s="3" t="n">
        <f>O19 + I19</f>
        <v>0.0</v>
      </c>
    </row>
    <row r="20">
      <c r="A20" t="inlineStr">
        <is>
          <t>LEASE-BH-F17-2025</t>
        </is>
      </c>
      <c r="B20" t="inlineStr">
        <is>
          <t>Flat 17 - 3 West Gate</t>
        </is>
      </c>
      <c r="C20" t="inlineStr">
        <is>
          <t>Achal (Delegated for Udayan)</t>
        </is>
      </c>
      <c r="D20" t="inlineStr">
        <is>
          <t>Mr Harsh Patel</t>
        </is>
      </c>
      <c r="E20" s="2" t="n">
        <v>45705.0</v>
      </c>
      <c r="F20" t="n">
        <v>17.0</v>
      </c>
      <c r="G20" s="3" t="n">
        <f>SUMIFS(RENT_DUE!L:L, RENT_DUE!B:B, "LEASE-BH-F17-2025", RENT_DUE!D:D, "&gt;="&amp;DATE(2024,12,22), RENT_DUE!D:D, "&lt;="&amp;DATE(2025,11,21))</f>
        <v>0.0</v>
      </c>
      <c r="H20" s="3" t="n">
        <f>SUMIFS(RENT_RECEIVED!O:O, RENT_RECEIVED!B:B, "LEASE-BH-F17-2025", RENT_RECEIVED!E:E, "&lt;="&amp;DATE(2025,11,21))</f>
        <v>0.0</v>
      </c>
      <c r="I20" s="3" t="n">
        <f>G20 - H20</f>
        <v>0.0</v>
      </c>
      <c r="J20" s="3" t="n">
        <f>H20 * 0.1500</f>
        <v>0.0</v>
      </c>
      <c r="K20" s="3" t="n">
        <f>H20 * 0.0000</f>
        <v>0.0</v>
      </c>
      <c r="L20" s="3" t="n">
        <f>ABS(J20 + K20)</f>
        <v>0.0</v>
      </c>
      <c r="M20" s="3" t="n">
        <f>SUMIFS(EXPENSES!E:E, EXPENSES!B:B, "LEASE-BH-F17-2025", EXPENSES!D:D, "&gt;="&amp;DATE(2024,12,22), EXPENSES!D:D, "&lt;="&amp;DATE(2025,11,21))</f>
        <v>0.0</v>
      </c>
      <c r="N20" s="3" t="n">
        <f>H20 - L20 - M20</f>
        <v>0.0</v>
      </c>
      <c r="O20" s="3" t="n">
        <v>0.0</v>
      </c>
      <c r="P20" s="3" t="n">
        <f>O20 + I20</f>
        <v>0.0</v>
      </c>
    </row>
    <row r="21">
      <c r="A21" t="inlineStr">
        <is>
          <t>LEASE-BH-F18-2025</t>
        </is>
      </c>
      <c r="B21" t="inlineStr">
        <is>
          <t>Flat 18 - 3 West Gate</t>
        </is>
      </c>
      <c r="C21" t="inlineStr">
        <is>
          <t>Achal (Delegated for Udayan)</t>
        </is>
      </c>
      <c r="D21" t="inlineStr">
        <is>
          <t>Marie Dinko</t>
        </is>
      </c>
      <c r="E21" s="2" t="n">
        <v>45687.0</v>
      </c>
      <c r="F21" t="n">
        <v>30.0</v>
      </c>
      <c r="G21" s="3" t="n">
        <f>SUMIFS(RENT_DUE!L:L, RENT_DUE!B:B, "LEASE-BH-F18-2025", RENT_DUE!D:D, "&gt;="&amp;DATE(2024,12,22), RENT_DUE!D:D, "&lt;="&amp;DATE(2025,11,21))</f>
        <v>0.0</v>
      </c>
      <c r="H21" s="3" t="n">
        <f>SUMIFS(RENT_RECEIVED!O:O, RENT_RECEIVED!B:B, "LEASE-BH-F18-2025", RENT_RECEIVED!E:E, "&lt;="&amp;DATE(2025,11,21))</f>
        <v>0.0</v>
      </c>
      <c r="I21" s="3" t="n">
        <f>G21 - H21</f>
        <v>0.0</v>
      </c>
      <c r="J21" s="3" t="n">
        <f>H21 * 0.1500</f>
        <v>0.0</v>
      </c>
      <c r="K21" s="3" t="n">
        <f>H21 * 0.0000</f>
        <v>0.0</v>
      </c>
      <c r="L21" s="3" t="n">
        <f>ABS(J21 + K21)</f>
        <v>0.0</v>
      </c>
      <c r="M21" s="3" t="n">
        <f>SUMIFS(EXPENSES!E:E, EXPENSES!B:B, "LEASE-BH-F18-2025", EXPENSES!D:D, "&gt;="&amp;DATE(2024,12,22), EXPENSES!D:D, "&lt;="&amp;DATE(2025,11,21))</f>
        <v>0.0</v>
      </c>
      <c r="N21" s="3" t="n">
        <f>H21 - L21 - M21</f>
        <v>0.0</v>
      </c>
      <c r="O21" s="3" t="n">
        <v>0.0</v>
      </c>
      <c r="P21" s="3" t="n">
        <f>O21 + I21</f>
        <v>0.0</v>
      </c>
    </row>
    <row r="22">
      <c r="A22" t="inlineStr">
        <is>
          <t>LEASE-BH-F18-2025B</t>
        </is>
      </c>
      <c r="B22" t="inlineStr">
        <is>
          <t>Flat 18 - 3 West Gate</t>
        </is>
      </c>
      <c r="C22" t="inlineStr">
        <is>
          <t>Achal (Delegated for Udayan)</t>
        </is>
      </c>
      <c r="D22" t="inlineStr">
        <is>
          <t>Nirmali Gedara and Janith Hetti Arachchilage</t>
        </is>
      </c>
      <c r="E22" s="2" t="n">
        <v>45818.0</v>
      </c>
      <c r="F22" t="n">
        <v>10.0</v>
      </c>
      <c r="G22" s="3" t="n">
        <f>SUMIFS(RENT_DUE!L:L, RENT_DUE!B:B, "LEASE-BH-F18-2025B", RENT_DUE!D:D, "&gt;="&amp;DATE(2024,12,22), RENT_DUE!D:D, "&lt;="&amp;DATE(2025,11,21))</f>
        <v>0.0</v>
      </c>
      <c r="H22" s="3" t="n">
        <f>SUMIFS(RENT_RECEIVED!O:O, RENT_RECEIVED!B:B, "LEASE-BH-F18-2025B", RENT_RECEIVED!E:E, "&lt;="&amp;DATE(2025,11,21))</f>
        <v>0.0</v>
      </c>
      <c r="I22" s="3" t="n">
        <f>G22 - H22</f>
        <v>0.0</v>
      </c>
      <c r="J22" s="3" t="n">
        <f>H22 * 0.1500</f>
        <v>0.0</v>
      </c>
      <c r="K22" s="3" t="n">
        <f>H22 * 0.0000</f>
        <v>0.0</v>
      </c>
      <c r="L22" s="3" t="n">
        <f>ABS(J22 + K22)</f>
        <v>0.0</v>
      </c>
      <c r="M22" s="3" t="n">
        <f>SUMIFS(EXPENSES!E:E, EXPENSES!B:B, "LEASE-BH-F18-2025B", EXPENSES!D:D, "&gt;="&amp;DATE(2024,12,22), EXPENSES!D:D, "&lt;="&amp;DATE(2025,11,21))</f>
        <v>0.0</v>
      </c>
      <c r="N22" s="3" t="n">
        <f>H22 - L22 - M22</f>
        <v>0.0</v>
      </c>
      <c r="O22" s="3" t="n">
        <v>0.0</v>
      </c>
      <c r="P22" s="3" t="n">
        <f>O22 + I22</f>
        <v>0.0</v>
      </c>
    </row>
    <row r="23">
      <c r="A23" t="inlineStr">
        <is>
          <t>LEASE-BH-F19-2025</t>
        </is>
      </c>
      <c r="B23" t="inlineStr">
        <is>
          <t>Flat 19 - 3 West Gate</t>
        </is>
      </c>
      <c r="C23" t="inlineStr">
        <is>
          <t>Achal (Delegated for Udayan)</t>
        </is>
      </c>
      <c r="D23" t="inlineStr">
        <is>
          <t>Mr Joshua Banks, Miss Layla Middlemass</t>
        </is>
      </c>
      <c r="E23" s="2" t="n">
        <v>45730.0</v>
      </c>
      <c r="F23" t="n">
        <v>14.0</v>
      </c>
      <c r="G23" s="3" t="n">
        <f>SUMIFS(RENT_DUE!L:L, RENT_DUE!B:B, "LEASE-BH-F19-2025", RENT_DUE!D:D, "&gt;="&amp;DATE(2024,12,22), RENT_DUE!D:D, "&lt;="&amp;DATE(2025,11,21))</f>
        <v>0.0</v>
      </c>
      <c r="H23" s="3" t="n">
        <f>SUMIFS(RENT_RECEIVED!O:O, RENT_RECEIVED!B:B, "LEASE-BH-F19-2025", RENT_RECEIVED!E:E, "&lt;="&amp;DATE(2025,11,21))</f>
        <v>0.0</v>
      </c>
      <c r="I23" s="3" t="n">
        <f>G23 - H23</f>
        <v>0.0</v>
      </c>
      <c r="J23" s="3" t="n">
        <f>H23 * 0.1500</f>
        <v>0.0</v>
      </c>
      <c r="K23" s="3" t="n">
        <f>H23 * 0.0000</f>
        <v>0.0</v>
      </c>
      <c r="L23" s="3" t="n">
        <f>ABS(J23 + K23)</f>
        <v>0.0</v>
      </c>
      <c r="M23" s="3" t="n">
        <f>SUMIFS(EXPENSES!E:E, EXPENSES!B:B, "LEASE-BH-F19-2025", EXPENSES!D:D, "&gt;="&amp;DATE(2024,12,22), EXPENSES!D:D, "&lt;="&amp;DATE(2025,11,21))</f>
        <v>0.0</v>
      </c>
      <c r="N23" s="3" t="n">
        <f>H23 - L23 - M23</f>
        <v>0.0</v>
      </c>
      <c r="O23" s="3" t="n">
        <v>0.0</v>
      </c>
      <c r="P23" s="3" t="n">
        <f>O23 + I23</f>
        <v>0.0</v>
      </c>
    </row>
    <row r="24">
      <c r="A24" t="inlineStr">
        <is>
          <t>LEASE-BH-F19-2025B</t>
        </is>
      </c>
      <c r="B24" t="inlineStr">
        <is>
          <t>Flat 19 - 3 West Gate</t>
        </is>
      </c>
      <c r="C24" t="inlineStr">
        <is>
          <t>Achal (Delegated for Udayan)</t>
        </is>
      </c>
      <c r="D24" t="inlineStr">
        <is>
          <t>Charanya Kaliamoorthy</t>
        </is>
      </c>
      <c r="E24" s="2" t="n">
        <v>45901.0</v>
      </c>
      <c r="F24" t="n">
        <v>1.0</v>
      </c>
      <c r="G24" s="3" t="n">
        <f>SUMIFS(RENT_DUE!L:L, RENT_DUE!B:B, "LEASE-BH-F19-2025B", RENT_DUE!D:D, "&gt;="&amp;DATE(2024,12,22), RENT_DUE!D:D, "&lt;="&amp;DATE(2025,11,21))</f>
        <v>0.0</v>
      </c>
      <c r="H24" s="3" t="n">
        <f>SUMIFS(RENT_RECEIVED!O:O, RENT_RECEIVED!B:B, "LEASE-BH-F19-2025B", RENT_RECEIVED!E:E, "&lt;="&amp;DATE(2025,11,21))</f>
        <v>0.0</v>
      </c>
      <c r="I24" s="3" t="n">
        <f>G24 - H24</f>
        <v>0.0</v>
      </c>
      <c r="J24" s="3" t="n">
        <f>H24 * 0.1500</f>
        <v>0.0</v>
      </c>
      <c r="K24" s="3" t="n">
        <f>H24 * 0.0000</f>
        <v>0.0</v>
      </c>
      <c r="L24" s="3" t="n">
        <f>ABS(J24 + K24)</f>
        <v>0.0</v>
      </c>
      <c r="M24" s="3" t="n">
        <f>SUMIFS(EXPENSES!E:E, EXPENSES!B:B, "LEASE-BH-F19-2025B", EXPENSES!D:D, "&gt;="&amp;DATE(2024,12,22), EXPENSES!D:D, "&lt;="&amp;DATE(2025,11,21))</f>
        <v>0.0</v>
      </c>
      <c r="N24" s="3" t="n">
        <f>H24 - L24 - M24</f>
        <v>0.0</v>
      </c>
      <c r="O24" s="3" t="n">
        <v>0.0</v>
      </c>
      <c r="P24" s="3" t="n">
        <f>O24 + I24</f>
        <v>0.0</v>
      </c>
    </row>
    <row r="25">
      <c r="A25" t="inlineStr">
        <is>
          <t>LEASE-BH-F20-2025</t>
        </is>
      </c>
      <c r="B25" t="inlineStr">
        <is>
          <t>Flat 20 - 3 West Gate</t>
        </is>
      </c>
      <c r="C25" t="inlineStr">
        <is>
          <t>Achal (Delegated for Udayan)</t>
        </is>
      </c>
      <c r="D25" t="inlineStr">
        <is>
          <t>Mr James Kay</t>
        </is>
      </c>
      <c r="E25" s="2" t="n">
        <v>45732.0</v>
      </c>
      <c r="F25" t="n">
        <v>16.0</v>
      </c>
      <c r="G25" s="3" t="n">
        <f>SUMIFS(RENT_DUE!L:L, RENT_DUE!B:B, "LEASE-BH-F20-2025", RENT_DUE!D:D, "&gt;="&amp;DATE(2024,12,22), RENT_DUE!D:D, "&lt;="&amp;DATE(2025,11,21))</f>
        <v>0.0</v>
      </c>
      <c r="H25" s="3" t="n">
        <f>SUMIFS(RENT_RECEIVED!O:O, RENT_RECEIVED!B:B, "LEASE-BH-F20-2025", RENT_RECEIVED!E:E, "&lt;="&amp;DATE(2025,11,21))</f>
        <v>0.0</v>
      </c>
      <c r="I25" s="3" t="n">
        <f>G25 - H25</f>
        <v>0.0</v>
      </c>
      <c r="J25" s="3" t="n">
        <f>H25 * 0.1500</f>
        <v>0.0</v>
      </c>
      <c r="K25" s="3" t="n">
        <f>H25 * 0.0000</f>
        <v>0.0</v>
      </c>
      <c r="L25" s="3" t="n">
        <f>ABS(J25 + K25)</f>
        <v>0.0</v>
      </c>
      <c r="M25" s="3" t="n">
        <f>SUMIFS(EXPENSES!E:E, EXPENSES!B:B, "LEASE-BH-F20-2025", EXPENSES!D:D, "&gt;="&amp;DATE(2024,12,22), EXPENSES!D:D, "&lt;="&amp;DATE(2025,11,21))</f>
        <v>0.0</v>
      </c>
      <c r="N25" s="3" t="n">
        <f>H25 - L25 - M25</f>
        <v>0.0</v>
      </c>
      <c r="O25" s="3" t="n">
        <v>0.0</v>
      </c>
      <c r="P25" s="3" t="n">
        <f>O25 + I25</f>
        <v>0.0</v>
      </c>
    </row>
    <row r="26">
      <c r="A26" t="inlineStr">
        <is>
          <t>LEASE-BH-F21-2025</t>
        </is>
      </c>
      <c r="B26" t="inlineStr">
        <is>
          <t>Flat 21 - 3 West Gate</t>
        </is>
      </c>
      <c r="C26" t="inlineStr">
        <is>
          <t>Achal (Delegated for Udayan)</t>
        </is>
      </c>
      <c r="D26" t="inlineStr">
        <is>
          <t>Mr Felwin Francis</t>
        </is>
      </c>
      <c r="E26" s="2" t="n">
        <v>45687.0</v>
      </c>
      <c r="F26" t="n">
        <v>30.0</v>
      </c>
      <c r="G26" s="3" t="n">
        <f>SUMIFS(RENT_DUE!L:L, RENT_DUE!B:B, "LEASE-BH-F21-2025", RENT_DUE!D:D, "&gt;="&amp;DATE(2024,12,22), RENT_DUE!D:D, "&lt;="&amp;DATE(2025,11,21))</f>
        <v>0.0</v>
      </c>
      <c r="H26" s="3" t="n">
        <f>SUMIFS(RENT_RECEIVED!O:O, RENT_RECEIVED!B:B, "LEASE-BH-F21-2025", RENT_RECEIVED!E:E, "&lt;="&amp;DATE(2025,11,21))</f>
        <v>0.0</v>
      </c>
      <c r="I26" s="3" t="n">
        <f>G26 - H26</f>
        <v>0.0</v>
      </c>
      <c r="J26" s="3" t="n">
        <f>H26 * 0.1500</f>
        <v>0.0</v>
      </c>
      <c r="K26" s="3" t="n">
        <f>H26 * 0.0000</f>
        <v>0.0</v>
      </c>
      <c r="L26" s="3" t="n">
        <f>ABS(J26 + K26)</f>
        <v>0.0</v>
      </c>
      <c r="M26" s="3" t="n">
        <f>SUMIFS(EXPENSES!E:E, EXPENSES!B:B, "LEASE-BH-F21-2025", EXPENSES!D:D, "&gt;="&amp;DATE(2024,12,22), EXPENSES!D:D, "&lt;="&amp;DATE(2025,11,21))</f>
        <v>0.0</v>
      </c>
      <c r="N26" s="3" t="n">
        <f>H26 - L26 - M26</f>
        <v>0.0</v>
      </c>
      <c r="O26" s="3" t="n">
        <v>0.0</v>
      </c>
      <c r="P26" s="3" t="n">
        <f>O26 + I26</f>
        <v>0.0</v>
      </c>
    </row>
    <row r="27">
      <c r="A27" t="inlineStr">
        <is>
          <t>LEASE-BH-F22-2025</t>
        </is>
      </c>
      <c r="B27" t="inlineStr">
        <is>
          <t>Flat 22 - 3 West Gate</t>
        </is>
      </c>
      <c r="C27" t="inlineStr">
        <is>
          <t>Achal (Delegated for Udayan)</t>
        </is>
      </c>
      <c r="D27" t="inlineStr">
        <is>
          <t>Mr Brian Lowe</t>
        </is>
      </c>
      <c r="E27" s="2" t="n">
        <v>45717.0</v>
      </c>
      <c r="F27" t="n">
        <v>1.0</v>
      </c>
      <c r="G27" s="3" t="n">
        <f>SUMIFS(RENT_DUE!L:L, RENT_DUE!B:B, "LEASE-BH-F22-2025", RENT_DUE!D:D, "&gt;="&amp;DATE(2024,12,22), RENT_DUE!D:D, "&lt;="&amp;DATE(2025,11,21))</f>
        <v>0.0</v>
      </c>
      <c r="H27" s="3" t="n">
        <f>SUMIFS(RENT_RECEIVED!O:O, RENT_RECEIVED!B:B, "LEASE-BH-F22-2025", RENT_RECEIVED!E:E, "&lt;="&amp;DATE(2025,11,21))</f>
        <v>0.0</v>
      </c>
      <c r="I27" s="3" t="n">
        <f>G27 - H27</f>
        <v>0.0</v>
      </c>
      <c r="J27" s="3" t="n">
        <f>H27 * 0.1500</f>
        <v>0.0</v>
      </c>
      <c r="K27" s="3" t="n">
        <f>H27 * 0.0000</f>
        <v>0.0</v>
      </c>
      <c r="L27" s="3" t="n">
        <f>ABS(J27 + K27)</f>
        <v>0.0</v>
      </c>
      <c r="M27" s="3" t="n">
        <f>SUMIFS(EXPENSES!E:E, EXPENSES!B:B, "LEASE-BH-F22-2025", EXPENSES!D:D, "&gt;="&amp;DATE(2024,12,22), EXPENSES!D:D, "&lt;="&amp;DATE(2025,11,21))</f>
        <v>0.0</v>
      </c>
      <c r="N27" s="3" t="n">
        <f>H27 - L27 - M27</f>
        <v>0.0</v>
      </c>
      <c r="O27" s="3" t="n">
        <v>0.0</v>
      </c>
      <c r="P27" s="3" t="n">
        <f>O27 + I27</f>
        <v>0.0</v>
      </c>
    </row>
    <row r="28">
      <c r="A28" t="inlineStr">
        <is>
          <t>LEASE-BH-F23-2025</t>
        </is>
      </c>
      <c r="B28" t="inlineStr">
        <is>
          <t>Flat 23 - 3 West Gate</t>
        </is>
      </c>
      <c r="C28" t="inlineStr">
        <is>
          <t>Achal (Delegated for Udayan)</t>
        </is>
      </c>
      <c r="D28" t="inlineStr">
        <is>
          <t>Mark Tennick</t>
        </is>
      </c>
      <c r="E28" s="2" t="n">
        <v>45830.0</v>
      </c>
      <c r="F28" t="n">
        <v>10.0</v>
      </c>
      <c r="G28" s="3" t="n">
        <f>SUMIFS(RENT_DUE!L:L, RENT_DUE!B:B, "LEASE-BH-F23-2025", RENT_DUE!D:D, "&gt;="&amp;DATE(2024,12,22), RENT_DUE!D:D, "&lt;="&amp;DATE(2025,11,21))</f>
        <v>0.0</v>
      </c>
      <c r="H28" s="3" t="n">
        <f>SUMIFS(RENT_RECEIVED!O:O, RENT_RECEIVED!B:B, "LEASE-BH-F23-2025", RENT_RECEIVED!E:E, "&lt;="&amp;DATE(2025,11,21))</f>
        <v>0.0</v>
      </c>
      <c r="I28" s="3" t="n">
        <f>G28 - H28</f>
        <v>0.0</v>
      </c>
      <c r="J28" s="3" t="n">
        <f>H28 * 0.1500</f>
        <v>0.0</v>
      </c>
      <c r="K28" s="3" t="n">
        <f>H28 * 0.0000</f>
        <v>0.0</v>
      </c>
      <c r="L28" s="3" t="n">
        <f>ABS(J28 + K28)</f>
        <v>0.0</v>
      </c>
      <c r="M28" s="3" t="n">
        <f>SUMIFS(EXPENSES!E:E, EXPENSES!B:B, "LEASE-BH-F23-2025", EXPENSES!D:D, "&gt;="&amp;DATE(2024,12,22), EXPENSES!D:D, "&lt;="&amp;DATE(2025,11,21))</f>
        <v>0.0</v>
      </c>
      <c r="N28" s="3" t="n">
        <f>H28 - L28 - M28</f>
        <v>0.0</v>
      </c>
      <c r="O28" s="3" t="n">
        <v>0.0</v>
      </c>
      <c r="P28" s="3" t="n">
        <f>O28 + I28</f>
        <v>0.0</v>
      </c>
    </row>
    <row r="29">
      <c r="A29" t="inlineStr">
        <is>
          <t>LEASE-BH-F24-2025</t>
        </is>
      </c>
      <c r="B29" t="inlineStr">
        <is>
          <t>Flat 24 - 3 West Gate</t>
        </is>
      </c>
      <c r="C29" t="inlineStr">
        <is>
          <t>Achal (Delegated for Udayan)</t>
        </is>
      </c>
      <c r="D29" t="inlineStr">
        <is>
          <t>Mr Ethan Maloney, Miss Soraya Fearon</t>
        </is>
      </c>
      <c r="E29" s="2" t="n">
        <v>45700.0</v>
      </c>
      <c r="F29" t="n">
        <v>12.0</v>
      </c>
      <c r="G29" s="3" t="n">
        <f>SUMIFS(RENT_DUE!L:L, RENT_DUE!B:B, "LEASE-BH-F24-2025", RENT_DUE!D:D, "&gt;="&amp;DATE(2024,12,22), RENT_DUE!D:D, "&lt;="&amp;DATE(2025,11,21))</f>
        <v>0.0</v>
      </c>
      <c r="H29" s="3" t="n">
        <f>SUMIFS(RENT_RECEIVED!O:O, RENT_RECEIVED!B:B, "LEASE-BH-F24-2025", RENT_RECEIVED!E:E, "&lt;="&amp;DATE(2025,11,21))</f>
        <v>0.0</v>
      </c>
      <c r="I29" s="3" t="n">
        <f>G29 - H29</f>
        <v>0.0</v>
      </c>
      <c r="J29" s="3" t="n">
        <f>H29 * 0.1500</f>
        <v>0.0</v>
      </c>
      <c r="K29" s="3" t="n">
        <f>H29 * 0.0000</f>
        <v>0.0</v>
      </c>
      <c r="L29" s="3" t="n">
        <f>ABS(J29 + K29)</f>
        <v>0.0</v>
      </c>
      <c r="M29" s="3" t="n">
        <f>SUMIFS(EXPENSES!E:E, EXPENSES!B:B, "LEASE-BH-F24-2025", EXPENSES!D:D, "&gt;="&amp;DATE(2024,12,22), EXPENSES!D:D, "&lt;="&amp;DATE(2025,11,21))</f>
        <v>0.0</v>
      </c>
      <c r="N29" s="3" t="n">
        <f>H29 - L29 - M29</f>
        <v>0.0</v>
      </c>
      <c r="O29" s="3" t="n">
        <v>0.0</v>
      </c>
      <c r="P29" s="3" t="n">
        <f>O29 + I29</f>
        <v>0.0</v>
      </c>
    </row>
    <row r="30">
      <c r="A30" t="inlineStr">
        <is>
          <t>LEASE-BH-F26-2025</t>
        </is>
      </c>
      <c r="B30" t="inlineStr">
        <is>
          <t>Flat 26 - 3 West Gate</t>
        </is>
      </c>
      <c r="C30" t="inlineStr">
        <is>
          <t>Achal (Delegated for Udayan)</t>
        </is>
      </c>
      <c r="D30" t="inlineStr">
        <is>
          <t>Mr Louis Scotting</t>
        </is>
      </c>
      <c r="E30" s="2" t="n">
        <v>45730.0</v>
      </c>
      <c r="F30" t="n">
        <v>14.0</v>
      </c>
      <c r="G30" s="3" t="n">
        <f>SUMIFS(RENT_DUE!L:L, RENT_DUE!B:B, "LEASE-BH-F26-2025", RENT_DUE!D:D, "&gt;="&amp;DATE(2024,12,22), RENT_DUE!D:D, "&lt;="&amp;DATE(2025,11,21))</f>
        <v>0.0</v>
      </c>
      <c r="H30" s="3" t="n">
        <f>SUMIFS(RENT_RECEIVED!O:O, RENT_RECEIVED!B:B, "LEASE-BH-F26-2025", RENT_RECEIVED!E:E, "&lt;="&amp;DATE(2025,11,21))</f>
        <v>0.0</v>
      </c>
      <c r="I30" s="3" t="n">
        <f>G30 - H30</f>
        <v>0.0</v>
      </c>
      <c r="J30" s="3" t="n">
        <f>H30 * 0.1500</f>
        <v>0.0</v>
      </c>
      <c r="K30" s="3" t="n">
        <f>H30 * 0.0000</f>
        <v>0.0</v>
      </c>
      <c r="L30" s="3" t="n">
        <f>ABS(J30 + K30)</f>
        <v>0.0</v>
      </c>
      <c r="M30" s="3" t="n">
        <f>SUMIFS(EXPENSES!E:E, EXPENSES!B:B, "LEASE-BH-F26-2025", EXPENSES!D:D, "&gt;="&amp;DATE(2024,12,22), EXPENSES!D:D, "&lt;="&amp;DATE(2025,11,21))</f>
        <v>0.0</v>
      </c>
      <c r="N30" s="3" t="n">
        <f>H30 - L30 - M30</f>
        <v>0.0</v>
      </c>
      <c r="O30" s="3" t="n">
        <v>0.0</v>
      </c>
      <c r="P30" s="3" t="n">
        <f>O30 + I30</f>
        <v>0.0</v>
      </c>
    </row>
    <row r="31">
      <c r="A31" t="inlineStr">
        <is>
          <t>LEASE-BH-F27-2025</t>
        </is>
      </c>
      <c r="B31" t="inlineStr">
        <is>
          <t>Flat 27 - 3 West Gate</t>
        </is>
      </c>
      <c r="C31" t="inlineStr">
        <is>
          <t>Achal (Delegated for Udayan)</t>
        </is>
      </c>
      <c r="D31" t="inlineStr">
        <is>
          <t>Miss Sophie Murray</t>
        </is>
      </c>
      <c r="E31" s="2" t="n">
        <v>45716.0</v>
      </c>
      <c r="F31" t="n">
        <v>30.0</v>
      </c>
      <c r="G31" s="3" t="n">
        <f>SUMIFS(RENT_DUE!L:L, RENT_DUE!B:B, "LEASE-BH-F27-2025", RENT_DUE!D:D, "&gt;="&amp;DATE(2024,12,22), RENT_DUE!D:D, "&lt;="&amp;DATE(2025,11,21))</f>
        <v>0.0</v>
      </c>
      <c r="H31" s="3" t="n">
        <f>SUMIFS(RENT_RECEIVED!O:O, RENT_RECEIVED!B:B, "LEASE-BH-F27-2025", RENT_RECEIVED!E:E, "&lt;="&amp;DATE(2025,11,21))</f>
        <v>0.0</v>
      </c>
      <c r="I31" s="3" t="n">
        <f>G31 - H31</f>
        <v>0.0</v>
      </c>
      <c r="J31" s="3" t="n">
        <f>H31 * 0.1500</f>
        <v>0.0</v>
      </c>
      <c r="K31" s="3" t="n">
        <f>H31 * 0.0000</f>
        <v>0.0</v>
      </c>
      <c r="L31" s="3" t="n">
        <f>ABS(J31 + K31)</f>
        <v>0.0</v>
      </c>
      <c r="M31" s="3" t="n">
        <f>SUMIFS(EXPENSES!E:E, EXPENSES!B:B, "LEASE-BH-F27-2025", EXPENSES!D:D, "&gt;="&amp;DATE(2024,12,22), EXPENSES!D:D, "&lt;="&amp;DATE(2025,11,21))</f>
        <v>0.0</v>
      </c>
      <c r="N31" s="3" t="n">
        <f>H31 - L31 - M31</f>
        <v>0.0</v>
      </c>
      <c r="O31" s="3" t="n">
        <v>0.0</v>
      </c>
      <c r="P31" s="3" t="n">
        <f>O31 + I31</f>
        <v>0.0</v>
      </c>
    </row>
    <row r="32">
      <c r="A32" t="inlineStr">
        <is>
          <t>LEASE-BH-F28-2025</t>
        </is>
      </c>
      <c r="B32" t="inlineStr">
        <is>
          <t>Flat 28 - 3 West Gate</t>
        </is>
      </c>
      <c r="C32" t="inlineStr">
        <is>
          <t>Achal (Delegated for Udayan)</t>
        </is>
      </c>
      <c r="D32" t="inlineStr">
        <is>
          <t>Ms Shiu Lun Cheung, Mr Chi Man Poon</t>
        </is>
      </c>
      <c r="E32" s="2" t="n">
        <v>45744.0</v>
      </c>
      <c r="F32" t="n">
        <v>18.0</v>
      </c>
      <c r="G32" s="3" t="n">
        <f>SUMIFS(RENT_DUE!L:L, RENT_DUE!B:B, "LEASE-BH-F28-2025", RENT_DUE!D:D, "&gt;="&amp;DATE(2024,12,22), RENT_DUE!D:D, "&lt;="&amp;DATE(2025,11,21))</f>
        <v>0.0</v>
      </c>
      <c r="H32" s="3" t="n">
        <f>SUMIFS(RENT_RECEIVED!O:O, RENT_RECEIVED!B:B, "LEASE-BH-F28-2025", RENT_RECEIVED!E:E, "&lt;="&amp;DATE(2025,11,21))</f>
        <v>0.0</v>
      </c>
      <c r="I32" s="3" t="n">
        <f>G32 - H32</f>
        <v>0.0</v>
      </c>
      <c r="J32" s="3" t="n">
        <f>H32 * 0.1500</f>
        <v>0.0</v>
      </c>
      <c r="K32" s="3" t="n">
        <f>H32 * 0.0000</f>
        <v>0.0</v>
      </c>
      <c r="L32" s="3" t="n">
        <f>ABS(J32 + K32)</f>
        <v>0.0</v>
      </c>
      <c r="M32" s="3" t="n">
        <f>SUMIFS(EXPENSES!E:E, EXPENSES!B:B, "LEASE-BH-F28-2025", EXPENSES!D:D, "&gt;="&amp;DATE(2024,12,22), EXPENSES!D:D, "&lt;="&amp;DATE(2025,11,21))</f>
        <v>0.0</v>
      </c>
      <c r="N32" s="3" t="n">
        <f>H32 - L32 - M32</f>
        <v>0.0</v>
      </c>
      <c r="O32" s="3" t="n">
        <v>0.0</v>
      </c>
      <c r="P32" s="3" t="n">
        <f>O32 + I32</f>
        <v>0.0</v>
      </c>
    </row>
    <row r="33">
      <c r="A33" t="inlineStr">
        <is>
          <t>LEASE-BH-F29-2025</t>
        </is>
      </c>
      <c r="B33" t="inlineStr">
        <is>
          <t>Flat 29 - 3 West Gate</t>
        </is>
      </c>
      <c r="C33" t="inlineStr">
        <is>
          <t>Achal (Delegated for Udayan)</t>
        </is>
      </c>
      <c r="D33" t="inlineStr">
        <is>
          <t>Mrs Margaret Fritchley</t>
        </is>
      </c>
      <c r="E33" s="2" t="n">
        <v>45715.0</v>
      </c>
      <c r="F33" t="n">
        <v>27.0</v>
      </c>
      <c r="G33" s="3" t="n">
        <f>SUMIFS(RENT_DUE!L:L, RENT_DUE!B:B, "LEASE-BH-F29-2025", RENT_DUE!D:D, "&gt;="&amp;DATE(2024,12,22), RENT_DUE!D:D, "&lt;="&amp;DATE(2025,11,21))</f>
        <v>0.0</v>
      </c>
      <c r="H33" s="3" t="n">
        <f>SUMIFS(RENT_RECEIVED!O:O, RENT_RECEIVED!B:B, "LEASE-BH-F29-2025", RENT_RECEIVED!E:E, "&lt;="&amp;DATE(2025,11,21))</f>
        <v>0.0</v>
      </c>
      <c r="I33" s="3" t="n">
        <f>G33 - H33</f>
        <v>0.0</v>
      </c>
      <c r="J33" s="3" t="n">
        <f>H33 * 0.1500</f>
        <v>0.0</v>
      </c>
      <c r="K33" s="3" t="n">
        <f>H33 * 0.0000</f>
        <v>0.0</v>
      </c>
      <c r="L33" s="3" t="n">
        <f>ABS(J33 + K33)</f>
        <v>0.0</v>
      </c>
      <c r="M33" s="3" t="n">
        <f>SUMIFS(EXPENSES!E:E, EXPENSES!B:B, "LEASE-BH-F29-2025", EXPENSES!D:D, "&gt;="&amp;DATE(2024,12,22), EXPENSES!D:D, "&lt;="&amp;DATE(2025,11,21))</f>
        <v>0.0</v>
      </c>
      <c r="N33" s="3" t="n">
        <f>H33 - L33 - M33</f>
        <v>0.0</v>
      </c>
      <c r="O33" s="3" t="n">
        <v>0.0</v>
      </c>
      <c r="P33" s="3" t="n">
        <f>O33 + I33</f>
        <v>0.0</v>
      </c>
    </row>
    <row r="34">
      <c r="A34" t="inlineStr">
        <is>
          <t>LEASE-BH-F30-2025</t>
        </is>
      </c>
      <c r="B34" t="inlineStr">
        <is>
          <t>Flat 30 - 3 West Gate</t>
        </is>
      </c>
      <c r="C34" t="inlineStr">
        <is>
          <t>Achal (Delegated for Udayan)</t>
        </is>
      </c>
      <c r="D34" t="inlineStr">
        <is>
          <t>Mr Joel Bryan</t>
        </is>
      </c>
      <c r="E34" s="2" t="n">
        <v>45722.0</v>
      </c>
      <c r="F34" t="n">
        <v>6.0</v>
      </c>
      <c r="G34" s="3" t="n">
        <f>SUMIFS(RENT_DUE!L:L, RENT_DUE!B:B, "LEASE-BH-F30-2025", RENT_DUE!D:D, "&gt;="&amp;DATE(2024,12,22), RENT_DUE!D:D, "&lt;="&amp;DATE(2025,11,21))</f>
        <v>0.0</v>
      </c>
      <c r="H34" s="3" t="n">
        <f>SUMIFS(RENT_RECEIVED!O:O, RENT_RECEIVED!B:B, "LEASE-BH-F30-2025", RENT_RECEIVED!E:E, "&lt;="&amp;DATE(2025,11,21))</f>
        <v>0.0</v>
      </c>
      <c r="I34" s="3" t="n">
        <f>G34 - H34</f>
        <v>0.0</v>
      </c>
      <c r="J34" s="3" t="n">
        <f>H34 * 0.1500</f>
        <v>0.0</v>
      </c>
      <c r="K34" s="3" t="n">
        <f>H34 * 0.0000</f>
        <v>0.0</v>
      </c>
      <c r="L34" s="3" t="n">
        <f>ABS(J34 + K34)</f>
        <v>0.0</v>
      </c>
      <c r="M34" s="3" t="n">
        <f>SUMIFS(EXPENSES!E:E, EXPENSES!B:B, "LEASE-BH-F30-2025", EXPENSES!D:D, "&gt;="&amp;DATE(2024,12,22), EXPENSES!D:D, "&lt;="&amp;DATE(2025,11,21))</f>
        <v>0.0</v>
      </c>
      <c r="N34" s="3" t="n">
        <f>H34 - L34 - M34</f>
        <v>0.0</v>
      </c>
      <c r="O34" s="3" t="n">
        <v>0.0</v>
      </c>
      <c r="P34" s="3" t="n">
        <f>O34 + I34</f>
        <v>0.0</v>
      </c>
    </row>
    <row r="35">
      <c r="A35" t="inlineStr">
        <is>
          <t>LEASE-BH-PS1-2025</t>
        </is>
      </c>
      <c r="B35" t="inlineStr">
        <is>
          <t>Parking Space 1 - 3 West Gate</t>
        </is>
      </c>
      <c r="C35" t="inlineStr">
        <is>
          <t>Achal (Delegated for Udayan)</t>
        </is>
      </c>
      <c r="D35" t="inlineStr">
        <is>
          <t>Mr Shermal Wijesinghage, Mrs Udeshika Dona</t>
        </is>
      </c>
      <c r="E35" s="2" t="n">
        <v>45842.0</v>
      </c>
      <c r="F35" t="n">
        <v>4.0</v>
      </c>
      <c r="G35" s="3" t="n">
        <f>SUMIFS(RENT_DUE!L:L, RENT_DUE!B:B, "LEASE-BH-PS1-2025", RENT_DUE!D:D, "&gt;="&amp;DATE(2024,12,22), RENT_DUE!D:D, "&lt;="&amp;DATE(2025,11,21))</f>
        <v>0.0</v>
      </c>
      <c r="H35" s="3" t="n">
        <f>SUMIFS(RENT_RECEIVED!O:O, RENT_RECEIVED!B:B, "LEASE-BH-PS1-2025", RENT_RECEIVED!E:E, "&lt;="&amp;DATE(2025,11,21))</f>
        <v>0.0</v>
      </c>
      <c r="I35" s="3" t="n">
        <f>G35 - H35</f>
        <v>0.0</v>
      </c>
      <c r="J35" s="3" t="n">
        <f>H35 * 0.1500</f>
        <v>0.0</v>
      </c>
      <c r="K35" s="3" t="n">
        <f>H35 * 0.0000</f>
        <v>0.0</v>
      </c>
      <c r="L35" s="3" t="n">
        <f>ABS(J35 + K35)</f>
        <v>0.0</v>
      </c>
      <c r="M35" s="3" t="n">
        <f>SUMIFS(EXPENSES!E:E, EXPENSES!B:B, "LEASE-BH-PS1-2025", EXPENSES!D:D, "&gt;="&amp;DATE(2024,12,22), EXPENSES!D:D, "&lt;="&amp;DATE(2025,11,21))</f>
        <v>0.0</v>
      </c>
      <c r="N35" s="3" t="n">
        <f>H35 - L35 - M35</f>
        <v>0.0</v>
      </c>
      <c r="O35" s="3" t="n">
        <v>0.0</v>
      </c>
      <c r="P35" s="3" t="n">
        <f>O35 + I35</f>
        <v>0.0</v>
      </c>
    </row>
    <row r="36">
      <c r="A36" t="inlineStr">
        <is>
          <t>LEASE-BH-PS2-2025</t>
        </is>
      </c>
      <c r="B36" t="inlineStr">
        <is>
          <t>Parking Space 2 - 3 West Gate</t>
        </is>
      </c>
      <c r="C36" t="inlineStr">
        <is>
          <t>Achal (Delegated for Udayan)</t>
        </is>
      </c>
      <c r="D36" t="inlineStr">
        <is>
          <t>Nirmali Gedara and Janith Hetti Arachchilage</t>
        </is>
      </c>
      <c r="E36" s="2" t="n">
        <v>45852.0</v>
      </c>
      <c r="F36" t="n">
        <v>14.0</v>
      </c>
      <c r="G36" s="3" t="n">
        <f>SUMIFS(RENT_DUE!L:L, RENT_DUE!B:B, "LEASE-BH-PS2-2025", RENT_DUE!D:D, "&gt;="&amp;DATE(2024,12,22), RENT_DUE!D:D, "&lt;="&amp;DATE(2025,11,21))</f>
        <v>0.0</v>
      </c>
      <c r="H36" s="3" t="n">
        <f>SUMIFS(RENT_RECEIVED!O:O, RENT_RECEIVED!B:B, "LEASE-BH-PS2-2025", RENT_RECEIVED!E:E, "&lt;="&amp;DATE(2025,11,21))</f>
        <v>0.0</v>
      </c>
      <c r="I36" s="3" t="n">
        <f>G36 - H36</f>
        <v>0.0</v>
      </c>
      <c r="J36" s="3" t="n">
        <f>H36 * 0.1500</f>
        <v>0.0</v>
      </c>
      <c r="K36" s="3" t="n">
        <f>H36 * 0.0000</f>
        <v>0.0</v>
      </c>
      <c r="L36" s="3" t="n">
        <f>ABS(J36 + K36)</f>
        <v>0.0</v>
      </c>
      <c r="M36" s="3" t="n">
        <f>SUMIFS(EXPENSES!E:E, EXPENSES!B:B, "LEASE-BH-PS2-2025", EXPENSES!D:D, "&gt;="&amp;DATE(2024,12,22), EXPENSES!D:D, "&lt;="&amp;DATE(2025,11,21))</f>
        <v>0.0</v>
      </c>
      <c r="N36" s="3" t="n">
        <f>H36 - L36 - M36</f>
        <v>0.0</v>
      </c>
      <c r="O36" s="3" t="n">
        <v>0.0</v>
      </c>
      <c r="P36" s="3" t="n">
        <f>O36 + I36</f>
        <v>0.0</v>
      </c>
    </row>
    <row r="37">
      <c r="A37" t="inlineStr">
        <is>
          <t>LEASE-KH-F-2024</t>
        </is>
      </c>
      <c r="B37" t="inlineStr">
        <is>
          <t>Apartment F - Knighton Hayes Manor</t>
        </is>
      </c>
      <c r="C37" t="inlineStr">
        <is>
          <t>Achal (Delegated for Udayan)</t>
        </is>
      </c>
      <c r="D37" t="inlineStr">
        <is>
          <t>Mr Riaz Hamid, Ismat Tarr-Hamid</t>
        </is>
      </c>
      <c r="E37" s="2" t="n">
        <v>45648.0</v>
      </c>
      <c r="F37" t="n">
        <v>22.0</v>
      </c>
      <c r="G37" s="3" t="n">
        <f>SUMIFS(RENT_DUE!L:L, RENT_DUE!B:B, "LEASE-KH-F-2024", RENT_DUE!D:D, "&gt;="&amp;DATE(2024,12,22), RENT_DUE!D:D, "&lt;="&amp;DATE(2025,11,21))</f>
        <v>0.0</v>
      </c>
      <c r="H37" s="3" t="n">
        <f>SUMIFS(RENT_RECEIVED!O:O, RENT_RECEIVED!B:B, "LEASE-KH-F-2024", RENT_RECEIVED!E:E, "&lt;="&amp;DATE(2025,11,21))</f>
        <v>0.0</v>
      </c>
      <c r="I37" s="3" t="n">
        <f>G37 - H37</f>
        <v>0.0</v>
      </c>
      <c r="J37" s="3" t="n">
        <f>H37 * 0.1000</f>
        <v>0.0</v>
      </c>
      <c r="K37" s="3" t="n">
        <f>H37 * 0.0000</f>
        <v>0.0</v>
      </c>
      <c r="L37" s="3" t="n">
        <f>ABS(J37 + K37)</f>
        <v>0.0</v>
      </c>
      <c r="M37" s="3" t="n">
        <f>SUMIFS(EXPENSES!E:E, EXPENSES!B:B, "LEASE-KH-F-2024", EXPENSES!D:D, "&gt;="&amp;DATE(2024,12,22), EXPENSES!D:D, "&lt;="&amp;DATE(2025,11,21))</f>
        <v>0.0</v>
      </c>
      <c r="N37" s="3" t="n">
        <f>H37 - L37 - M37</f>
        <v>0.0</v>
      </c>
      <c r="O37" s="3" t="n">
        <v>0.0</v>
      </c>
      <c r="P37" s="3" t="n">
        <f>O37 + I37</f>
        <v>0.0</v>
      </c>
    </row>
    <row r="38">
      <c r="A38" t="inlineStr">
        <is>
          <t>LEASE-BH-F12-2025C</t>
        </is>
      </c>
      <c r="B38" t="inlineStr">
        <is>
          <t>Flat 12 - 3 West Gate</t>
        </is>
      </c>
      <c r="C38" t="inlineStr">
        <is>
          <t>Achal (Delegated for Udayan)</t>
        </is>
      </c>
      <c r="D38" t="inlineStr">
        <is>
          <t>Jemimah	Nallarajah &amp; Arulnesan Anthony</t>
        </is>
      </c>
      <c r="E38" s="2" t="n">
        <v>45940.0</v>
      </c>
      <c r="F38" t="n">
        <v>23.0</v>
      </c>
      <c r="G38" s="3" t="n">
        <f>SUMIFS(RENT_DUE!L:L, RENT_DUE!B:B, "LEASE-BH-F12-2025C", RENT_DUE!D:D, "&gt;="&amp;DATE(2024,12,22), RENT_DUE!D:D, "&lt;="&amp;DATE(2025,11,21))</f>
        <v>0.0</v>
      </c>
      <c r="H38" s="3" t="n">
        <f>SUMIFS(RENT_RECEIVED!O:O, RENT_RECEIVED!B:B, "LEASE-BH-F12-2025C", RENT_RECEIVED!E:E, "&lt;="&amp;DATE(2025,11,21))</f>
        <v>0.0</v>
      </c>
      <c r="I38" s="3" t="n">
        <f>G38 - H38</f>
        <v>0.0</v>
      </c>
      <c r="J38" s="3" t="n">
        <f>H38 * 0.1500</f>
        <v>0.0</v>
      </c>
      <c r="K38" s="3" t="n">
        <f>H38 * 0.0000</f>
        <v>0.0</v>
      </c>
      <c r="L38" s="3" t="n">
        <f>ABS(J38 + K38)</f>
        <v>0.0</v>
      </c>
      <c r="M38" s="3" t="n">
        <f>SUMIFS(EXPENSES!E:E, EXPENSES!B:B, "LEASE-BH-F12-2025C", EXPENSES!D:D, "&gt;="&amp;DATE(2024,12,22), EXPENSES!D:D, "&lt;="&amp;DATE(2025,11,21))</f>
        <v>0.0</v>
      </c>
      <c r="N38" s="3" t="n">
        <f>H38 - L38 - M38</f>
        <v>0.0</v>
      </c>
      <c r="O38" s="3" t="n">
        <v>0.0</v>
      </c>
      <c r="P38" s="3" t="n">
        <f>O38 + I38</f>
        <v>0.0</v>
      </c>
    </row>
    <row r="39">
      <c r="A39" t="inlineStr">
        <is>
          <t>LEASE-BH-F25-2025</t>
        </is>
      </c>
      <c r="B39" t="inlineStr">
        <is>
          <t>Flat 25 - 3 West Gate</t>
        </is>
      </c>
      <c r="C39" t="inlineStr">
        <is>
          <t>Achal (Delegated for Udayan)</t>
        </is>
      </c>
      <c r="D39" t="inlineStr">
        <is>
          <t>Beatriz Silva</t>
        </is>
      </c>
      <c r="E39" s="2" t="n">
        <v>45922.0</v>
      </c>
      <c r="F39" t="n">
        <v>5.0</v>
      </c>
      <c r="G39" s="3" t="n">
        <f>SUMIFS(RENT_DUE!L:L, RENT_DUE!B:B, "LEASE-BH-F25-2025", RENT_DUE!D:D, "&gt;="&amp;DATE(2024,12,22), RENT_DUE!D:D, "&lt;="&amp;DATE(2025,11,21))</f>
        <v>0.0</v>
      </c>
      <c r="H39" s="3" t="n">
        <f>SUMIFS(RENT_RECEIVED!O:O, RENT_RECEIVED!B:B, "LEASE-BH-F25-2025", RENT_RECEIVED!E:E, "&lt;="&amp;DATE(2025,11,21))</f>
        <v>0.0</v>
      </c>
      <c r="I39" s="3" t="n">
        <f>G39 - H39</f>
        <v>0.0</v>
      </c>
      <c r="J39" s="3" t="n">
        <f>H39 * 0.1500</f>
        <v>0.0</v>
      </c>
      <c r="K39" s="3" t="n">
        <f>H39 * 0.0000</f>
        <v>0.0</v>
      </c>
      <c r="L39" s="3" t="n">
        <f>ABS(J39 + K39)</f>
        <v>0.0</v>
      </c>
      <c r="M39" s="3" t="n">
        <f>SUMIFS(EXPENSES!E:E, EXPENSES!B:B, "LEASE-BH-F25-2025", EXPENSES!D:D, "&gt;="&amp;DATE(2024,12,22), EXPENSES!D:D, "&lt;="&amp;DATE(2025,11,21))</f>
        <v>0.0</v>
      </c>
      <c r="N39" s="3" t="n">
        <f>H39 - L39 - M39</f>
        <v>0.0</v>
      </c>
      <c r="O39" s="3" t="n">
        <v>0.0</v>
      </c>
      <c r="P39" s="3" t="n">
        <f>O39 + I39</f>
        <v>0.0</v>
      </c>
    </row>
    <row r="40">
      <c r="A40" t="inlineStr">
        <is>
          <t>BODEN-BLOCK-2025</t>
        </is>
      </c>
      <c r="B40" t="inlineStr">
        <is>
          <t>Boden House Block - Block Property</t>
        </is>
      </c>
      <c r="C40" t="inlineStr">
        <is>
          <t>Achal (Delegated for Udayan)</t>
        </is>
      </c>
      <c r="D40" t="inlineStr">
        <is>
          <t>Prestvale Properties Limited</t>
        </is>
      </c>
      <c r="E40" s="2" t="n">
        <v>45717.0</v>
      </c>
      <c r="F40" t="n">
        <v>1.0</v>
      </c>
      <c r="G40" s="3" t="n">
        <f>SUMIFS(RENT_DUE!L:L, RENT_DUE!B:B, "BODEN-BLOCK-2025", RENT_DUE!D:D, "&gt;="&amp;DATE(2024,12,22), RENT_DUE!D:D, "&lt;="&amp;DATE(2025,11,21))</f>
        <v>0.0</v>
      </c>
      <c r="H40" s="3" t="n">
        <f>SUMIFS(RENT_RECEIVED!O:O, RENT_RECEIVED!B:B, "BODEN-BLOCK-2025", RENT_RECEIVED!E:E, "&lt;="&amp;DATE(2025,11,21))</f>
        <v>0.0</v>
      </c>
      <c r="I40" s="3" t="n">
        <f>G40 - H40</f>
        <v>0.0</v>
      </c>
      <c r="J40" s="3" t="n">
        <f>H40 * 0.0000</f>
        <v>0.0</v>
      </c>
      <c r="K40" s="3" t="n">
        <f>H40 * 0.0500</f>
        <v>0.0</v>
      </c>
      <c r="L40" s="3" t="n">
        <f>ABS(J40 + K40)</f>
        <v>0.0</v>
      </c>
      <c r="M40" s="3" t="n">
        <f>SUMIFS(EXPENSES!E:E, EXPENSES!B:B, "BODEN-BLOCK-2025", EXPENSES!D:D, "&gt;="&amp;DATE(2024,12,22), EXPENSES!D:D, "&lt;="&amp;DATE(2025,11,21))</f>
        <v>0.0</v>
      </c>
      <c r="N40" s="3" t="n">
        <f>H40 - L40 - M40</f>
        <v>0.0</v>
      </c>
      <c r="O40" s="3" t="n">
        <v>0.0</v>
      </c>
      <c r="P40" s="3" t="n">
        <f>O40 + I40</f>
        <v>0.0</v>
      </c>
    </row>
    <row r="41">
      <c r="A41" t="inlineStr">
        <is>
          <t>LEASE-88</t>
        </is>
      </c>
      <c r="B41" t="inlineStr">
        <is>
          <t>Flat 28 - 3 West Gate</t>
        </is>
      </c>
      <c r="C41" t="inlineStr">
        <is>
          <t>Achal (Delegated for Udayan)</t>
        </is>
      </c>
      <c r="D41" t="inlineStr">
        <is>
          <t>Masie Van</t>
        </is>
      </c>
      <c r="E41" s="2" t="n">
        <v>45956.0</v>
      </c>
      <c r="F41" t="n">
        <v>26.0</v>
      </c>
      <c r="G41" s="3" t="n">
        <f>SUMIFS(RENT_DUE!L:L, RENT_DUE!B:B, "LEASE-88", RENT_DUE!D:D, "&gt;="&amp;DATE(2024,12,22), RENT_DUE!D:D, "&lt;="&amp;DATE(2025,11,21))</f>
        <v>0.0</v>
      </c>
      <c r="H41" s="3" t="n">
        <f>SUMIFS(RENT_RECEIVED!O:O, RENT_RECEIVED!B:B, "LEASE-88", RENT_RECEIVED!E:E, "&lt;="&amp;DATE(2025,11,21))</f>
        <v>0.0</v>
      </c>
      <c r="I41" s="3" t="n">
        <f>G41 - H41</f>
        <v>0.0</v>
      </c>
      <c r="J41" s="3" t="n">
        <f>H41 * 0.1500</f>
        <v>0.0</v>
      </c>
      <c r="K41" s="3" t="n">
        <f>H41 * 0.0000</f>
        <v>0.0</v>
      </c>
      <c r="L41" s="3" t="n">
        <f>ABS(J41 + K41)</f>
        <v>0.0</v>
      </c>
      <c r="M41" s="3" t="n">
        <f>SUMIFS(EXPENSES!E:E, EXPENSES!B:B, "LEASE-88", EXPENSES!D:D, "&gt;="&amp;DATE(2024,12,22), EXPENSES!D:D, "&lt;="&amp;DATE(2025,11,21))</f>
        <v>0.0</v>
      </c>
      <c r="N41" s="3" t="n">
        <f>H41 - L41 - M41</f>
        <v>0.0</v>
      </c>
      <c r="O41" s="3" t="n">
        <v>0.0</v>
      </c>
      <c r="P41" s="3" t="n">
        <f>O41 + I41</f>
        <v>0.0</v>
      </c>
    </row>
    <row r="42">
      <c r="A42" s="7" t="inlineStr">
        <is>
          <t>TOTALS</t>
        </is>
      </c>
      <c r="G42" s="8" t="n">
        <f>SUM(G2:G41)</f>
        <v>0.0</v>
      </c>
      <c r="H42" s="8" t="n">
        <f>SUM(H2:H41)</f>
        <v>0.0</v>
      </c>
      <c r="I42" s="8" t="n">
        <f>SUM(I2:I41)</f>
        <v>0.0</v>
      </c>
      <c r="J42" s="8" t="n">
        <f>SUM(J2:J41)</f>
        <v>0.0</v>
      </c>
      <c r="K42" s="8" t="n">
        <f>SUM(K2:K41)</f>
        <v>0.0</v>
      </c>
      <c r="L42" s="8" t="n">
        <f>SUM(L2:L41)</f>
        <v>0.0</v>
      </c>
      <c r="M42" s="8" t="n">
        <f>SUM(M2:M41)</f>
        <v>0.0</v>
      </c>
      <c r="N42" s="8" t="n">
        <f>SUM(N2:N41)</f>
        <v>0.0</v>
      </c>
      <c r="O42" s="8" t="n">
        <f>SUM(O2:O41)</f>
        <v>0.0</v>
      </c>
      <c r="P42" s="8" t="n">
        <f>SUM(P2:P41)</f>
        <v>0.0</v>
      </c>
    </row>
  </sheetData>
  <pageMargins bottom="0.75" footer="0.3" header="0.3" left="0.7" right="0.7" top="0.75"/>
</worksheet>
</file>

<file path=xl/worksheets/sheet19.xml><?xml version="1.0" encoding="utf-8"?>
<worksheet xmlns="http://schemas.openxmlformats.org/spreadsheetml/2006/main">
  <dimension ref="A1:P42"/>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 min="11" max="11" width="15.0" customWidth="true"/>
    <col min="12" max="12" width="15.0" customWidth="true"/>
    <col min="13" max="13" width="15.0" customWidth="true"/>
    <col min="14" max="14" width="15.0" customWidth="true"/>
    <col min="15" max="15" width="15.0" customWidth="true"/>
    <col min="16" max="16" width="15.0" customWidth="true"/>
  </cols>
  <sheetData>
    <row r="1">
      <c r="A1" s="1" t="inlineStr">
        <is>
          <t>lease_reference</t>
        </is>
      </c>
      <c r="B1" s="1" t="inlineStr">
        <is>
          <t>property_name</t>
        </is>
      </c>
      <c r="C1" s="1" t="inlineStr">
        <is>
          <t>customer_name</t>
        </is>
      </c>
      <c r="D1" s="1" t="inlineStr">
        <is>
          <t>tenant_name</t>
        </is>
      </c>
      <c r="E1" s="1" t="inlineStr">
        <is>
          <t>lease_start_date</t>
        </is>
      </c>
      <c r="F1" s="1" t="inlineStr">
        <is>
          <t>rent_due_day</t>
        </is>
      </c>
      <c r="G1" s="1" t="inlineStr">
        <is>
          <t>total_rent_due</t>
        </is>
      </c>
      <c r="H1" s="1" t="inlineStr">
        <is>
          <t>total_rent_received</t>
        </is>
      </c>
      <c r="I1" s="1" t="inlineStr">
        <is>
          <t>total_arrears</t>
        </is>
      </c>
      <c r="J1" s="1" t="inlineStr">
        <is>
          <t>total_management_fee</t>
        </is>
      </c>
      <c r="K1" s="1" t="inlineStr">
        <is>
          <t>total_service_fee</t>
        </is>
      </c>
      <c r="L1" s="1" t="inlineStr">
        <is>
          <t>total_commission</t>
        </is>
      </c>
      <c r="M1" s="1" t="inlineStr">
        <is>
          <t>total_expenses</t>
        </is>
      </c>
      <c r="N1" s="1" t="inlineStr">
        <is>
          <t>total_net_to_owner</t>
        </is>
      </c>
      <c r="O1" s="1" t="inlineStr">
        <is>
          <t>first_opening_balance</t>
        </is>
      </c>
      <c r="P1" s="1" t="inlineStr">
        <is>
          <t>last_closing_balance</t>
        </is>
      </c>
    </row>
    <row r="2">
      <c r="A2" t="inlineStr">
        <is>
          <t>LEASE-BH-F1-2025</t>
        </is>
      </c>
      <c r="B2" t="inlineStr">
        <is>
          <t>Flat 1 - 3 West Gate</t>
        </is>
      </c>
      <c r="C2" t="inlineStr">
        <is>
          <t>Achal (Delegated for Udayan)</t>
        </is>
      </c>
      <c r="D2" t="inlineStr">
        <is>
          <t>Ms Oleksandra Smoliarenko, Mr Illia Halii</t>
        </is>
      </c>
      <c r="E2" s="2" t="n">
        <v>45715.0</v>
      </c>
      <c r="F2" t="n">
        <v>27.0</v>
      </c>
      <c r="G2" s="3" t="n">
        <f>IFERROR(SUMIF('Dec 22 - Jan 21, 2025'!$A:$A,"LEASE-BH-F1-2025",'Dec 22 - Jan 21, 2025'!$G:$G),0)+IFERROR(SUMIF('Jan 22 - Feb 21, 2025'!$A:$A,"LEASE-BH-F1-2025",'Jan 22 - Feb 21, 2025'!$G:$G),0)+IFERROR(SUMIF('Feb 22 - Mar 21, 2025'!$A:$A,"LEASE-BH-F1-2025",'Feb 22 - Mar 21, 2025'!$G:$G),0)+IFERROR(SUMIF('Mar 22 - Apr 21, 2025'!$A:$A,"LEASE-BH-F1-2025",'Mar 22 - Apr 21, 2025'!$G:$G),0)+IFERROR(SUMIF('Apr 22 - May 21, 2025'!$A:$A,"LEASE-BH-F1-2025",'Apr 22 - May 21, 2025'!$G:$G),0)+IFERROR(SUMIF('May 22 - Jun 21, 2025'!$A:$A,"LEASE-BH-F1-2025",'May 22 - Jun 21, 2025'!$G:$G),0)+IFERROR(SUMIF('Jun 22 - Jul 21, 2025'!$A:$A,"LEASE-BH-F1-2025",'Jun 22 - Jul 21, 2025'!$G:$G),0)+IFERROR(SUMIF('Jul 22 - Aug 21, 2025'!$A:$A,"LEASE-BH-F1-2025",'Jul 22 - Aug 21, 2025'!$G:$G),0)+IFERROR(SUMIF('Aug 22 - Sep 21, 2025'!$A:$A,"LEASE-BH-F1-2025",'Aug 22 - Sep 21, 2025'!$G:$G),0)+IFERROR(SUMIF('Sep 22 - Oct 21, 2025'!$A:$A,"LEASE-BH-F1-2025",'Sep 22 - Oct 21, 2025'!$G:$G),0)+IFERROR(SUMIF('Oct 22 - Nov 21, 2025'!$A:$A,"LEASE-BH-F1-2025",'Oct 22 - Nov 21, 2025'!$G:$G),0)</f>
        <v>0.0</v>
      </c>
      <c r="H2" s="3" t="n">
        <f>IFERROR(SUMIF('Dec 22 - Jan 21, 2025'!$A:$A,"LEASE-BH-F1-2025",'Dec 22 - Jan 21, 2025'!$H:$H),0)+IFERROR(SUMIF('Jan 22 - Feb 21, 2025'!$A:$A,"LEASE-BH-F1-2025",'Jan 22 - Feb 21, 2025'!$H:$H),0)+IFERROR(SUMIF('Feb 22 - Mar 21, 2025'!$A:$A,"LEASE-BH-F1-2025",'Feb 22 - Mar 21, 2025'!$H:$H),0)+IFERROR(SUMIF('Mar 22 - Apr 21, 2025'!$A:$A,"LEASE-BH-F1-2025",'Mar 22 - Apr 21, 2025'!$H:$H),0)+IFERROR(SUMIF('Apr 22 - May 21, 2025'!$A:$A,"LEASE-BH-F1-2025",'Apr 22 - May 21, 2025'!$H:$H),0)+IFERROR(SUMIF('May 22 - Jun 21, 2025'!$A:$A,"LEASE-BH-F1-2025",'May 22 - Jun 21, 2025'!$H:$H),0)+IFERROR(SUMIF('Jun 22 - Jul 21, 2025'!$A:$A,"LEASE-BH-F1-2025",'Jun 22 - Jul 21, 2025'!$H:$H),0)+IFERROR(SUMIF('Jul 22 - Aug 21, 2025'!$A:$A,"LEASE-BH-F1-2025",'Jul 22 - Aug 21, 2025'!$H:$H),0)+IFERROR(SUMIF('Aug 22 - Sep 21, 2025'!$A:$A,"LEASE-BH-F1-2025",'Aug 22 - Sep 21, 2025'!$H:$H),0)+IFERROR(SUMIF('Sep 22 - Oct 21, 2025'!$A:$A,"LEASE-BH-F1-2025",'Sep 22 - Oct 21, 2025'!$H:$H),0)+IFERROR(SUMIF('Oct 22 - Nov 21, 2025'!$A:$A,"LEASE-BH-F1-2025",'Oct 22 - Nov 21, 2025'!$H:$H),0)</f>
        <v>0.0</v>
      </c>
      <c r="I2" s="3" t="n">
        <f>G2 - H2</f>
        <v>0.0</v>
      </c>
      <c r="J2" s="3" t="n">
        <f>IFERROR(SUMIF('Dec 22 - Jan 21, 2025'!$A:$A,"LEASE-BH-F1-2025",'Dec 22 - Jan 21, 2025'!$L:$L),0)+IFERROR(SUMIF('Jan 22 - Feb 21, 2025'!$A:$A,"LEASE-BH-F1-2025",'Jan 22 - Feb 21, 2025'!$L:$L),0)+IFERROR(SUMIF('Feb 22 - Mar 21, 2025'!$A:$A,"LEASE-BH-F1-2025",'Feb 22 - Mar 21, 2025'!$L:$L),0)+IFERROR(SUMIF('Mar 22 - Apr 21, 2025'!$A:$A,"LEASE-BH-F1-2025",'Mar 22 - Apr 21, 2025'!$L:$L),0)+IFERROR(SUMIF('Apr 22 - May 21, 2025'!$A:$A,"LEASE-BH-F1-2025",'Apr 22 - May 21, 2025'!$L:$L),0)+IFERROR(SUMIF('May 22 - Jun 21, 2025'!$A:$A,"LEASE-BH-F1-2025",'May 22 - Jun 21, 2025'!$L:$L),0)+IFERROR(SUMIF('Jun 22 - Jul 21, 2025'!$A:$A,"LEASE-BH-F1-2025",'Jun 22 - Jul 21, 2025'!$L:$L),0)+IFERROR(SUMIF('Jul 22 - Aug 21, 2025'!$A:$A,"LEASE-BH-F1-2025",'Jul 22 - Aug 21, 2025'!$L:$L),0)+IFERROR(SUMIF('Aug 22 - Sep 21, 2025'!$A:$A,"LEASE-BH-F1-2025",'Aug 22 - Sep 21, 2025'!$L:$L),0)+IFERROR(SUMIF('Sep 22 - Oct 21, 2025'!$A:$A,"LEASE-BH-F1-2025",'Sep 22 - Oct 21, 2025'!$L:$L),0)+IFERROR(SUMIF('Oct 22 - Nov 21, 2025'!$A:$A,"LEASE-BH-F1-2025",'Oct 22 - Nov 21, 2025'!$L:$L),0)</f>
        <v>0.0</v>
      </c>
      <c r="K2" s="3" t="n">
        <f>IFERROR(SUMIF('Dec 22 - Jan 21, 2025'!$A:$A,"LEASE-BH-F1-2025",'Dec 22 - Jan 21, 2025'!$M:$M),0)+IFERROR(SUMIF('Jan 22 - Feb 21, 2025'!$A:$A,"LEASE-BH-F1-2025",'Jan 22 - Feb 21, 2025'!$M:$M),0)+IFERROR(SUMIF('Feb 22 - Mar 21, 2025'!$A:$A,"LEASE-BH-F1-2025",'Feb 22 - Mar 21, 2025'!$M:$M),0)+IFERROR(SUMIF('Mar 22 - Apr 21, 2025'!$A:$A,"LEASE-BH-F1-2025",'Mar 22 - Apr 21, 2025'!$M:$M),0)+IFERROR(SUMIF('Apr 22 - May 21, 2025'!$A:$A,"LEASE-BH-F1-2025",'Apr 22 - May 21, 2025'!$M:$M),0)+IFERROR(SUMIF('May 22 - Jun 21, 2025'!$A:$A,"LEASE-BH-F1-2025",'May 22 - Jun 21, 2025'!$M:$M),0)+IFERROR(SUMIF('Jun 22 - Jul 21, 2025'!$A:$A,"LEASE-BH-F1-2025",'Jun 22 - Jul 21, 2025'!$M:$M),0)+IFERROR(SUMIF('Jul 22 - Aug 21, 2025'!$A:$A,"LEASE-BH-F1-2025",'Jul 22 - Aug 21, 2025'!$M:$M),0)+IFERROR(SUMIF('Aug 22 - Sep 21, 2025'!$A:$A,"LEASE-BH-F1-2025",'Aug 22 - Sep 21, 2025'!$M:$M),0)+IFERROR(SUMIF('Sep 22 - Oct 21, 2025'!$A:$A,"LEASE-BH-F1-2025",'Sep 22 - Oct 21, 2025'!$M:$M),0)+IFERROR(SUMIF('Oct 22 - Nov 21, 2025'!$A:$A,"LEASE-BH-F1-2025",'Oct 22 - Nov 21, 2025'!$M:$M),0)</f>
        <v>0.0</v>
      </c>
      <c r="L2" s="3" t="n">
        <f>IFERROR(SUMIF('Dec 22 - Jan 21, 2025'!$A:$A,"LEASE-BH-F1-2025",'Dec 22 - Jan 21, 2025'!$N:$N),0)+IFERROR(SUMIF('Jan 22 - Feb 21, 2025'!$A:$A,"LEASE-BH-F1-2025",'Jan 22 - Feb 21, 2025'!$N:$N),0)+IFERROR(SUMIF('Feb 22 - Mar 21, 2025'!$A:$A,"LEASE-BH-F1-2025",'Feb 22 - Mar 21, 2025'!$N:$N),0)+IFERROR(SUMIF('Mar 22 - Apr 21, 2025'!$A:$A,"LEASE-BH-F1-2025",'Mar 22 - Apr 21, 2025'!$N:$N),0)+IFERROR(SUMIF('Apr 22 - May 21, 2025'!$A:$A,"LEASE-BH-F1-2025",'Apr 22 - May 21, 2025'!$N:$N),0)+IFERROR(SUMIF('May 22 - Jun 21, 2025'!$A:$A,"LEASE-BH-F1-2025",'May 22 - Jun 21, 2025'!$N:$N),0)+IFERROR(SUMIF('Jun 22 - Jul 21, 2025'!$A:$A,"LEASE-BH-F1-2025",'Jun 22 - Jul 21, 2025'!$N:$N),0)+IFERROR(SUMIF('Jul 22 - Aug 21, 2025'!$A:$A,"LEASE-BH-F1-2025",'Jul 22 - Aug 21, 2025'!$N:$N),0)+IFERROR(SUMIF('Aug 22 - Sep 21, 2025'!$A:$A,"LEASE-BH-F1-2025",'Aug 22 - Sep 21, 2025'!$N:$N),0)+IFERROR(SUMIF('Sep 22 - Oct 21, 2025'!$A:$A,"LEASE-BH-F1-2025",'Sep 22 - Oct 21, 2025'!$N:$N),0)+IFERROR(SUMIF('Oct 22 - Nov 21, 2025'!$A:$A,"LEASE-BH-F1-2025",'Oct 22 - Nov 21, 2025'!$N:$N),0)</f>
        <v>0.0</v>
      </c>
      <c r="M2" s="3" t="n">
        <f>IFERROR(SUMIF('Dec 22 - Jan 21, 2025'!$A:$A,"LEASE-BH-F1-2025",'Dec 22 - Jan 21, 2025'!$O:$O),0)+IFERROR(SUMIF('Jan 22 - Feb 21, 2025'!$A:$A,"LEASE-BH-F1-2025",'Jan 22 - Feb 21, 2025'!$O:$O),0)+IFERROR(SUMIF('Feb 22 - Mar 21, 2025'!$A:$A,"LEASE-BH-F1-2025",'Feb 22 - Mar 21, 2025'!$O:$O),0)+IFERROR(SUMIF('Mar 22 - Apr 21, 2025'!$A:$A,"LEASE-BH-F1-2025",'Mar 22 - Apr 21, 2025'!$O:$O),0)+IFERROR(SUMIF('Apr 22 - May 21, 2025'!$A:$A,"LEASE-BH-F1-2025",'Apr 22 - May 21, 2025'!$O:$O),0)+IFERROR(SUMIF('May 22 - Jun 21, 2025'!$A:$A,"LEASE-BH-F1-2025",'May 22 - Jun 21, 2025'!$O:$O),0)+IFERROR(SUMIF('Jun 22 - Jul 21, 2025'!$A:$A,"LEASE-BH-F1-2025",'Jun 22 - Jul 21, 2025'!$O:$O),0)+IFERROR(SUMIF('Jul 22 - Aug 21, 2025'!$A:$A,"LEASE-BH-F1-2025",'Jul 22 - Aug 21, 2025'!$O:$O),0)+IFERROR(SUMIF('Aug 22 - Sep 21, 2025'!$A:$A,"LEASE-BH-F1-2025",'Aug 22 - Sep 21, 2025'!$O:$O),0)+IFERROR(SUMIF('Sep 22 - Oct 21, 2025'!$A:$A,"LEASE-BH-F1-2025",'Sep 22 - Oct 21, 2025'!$O:$O),0)+IFERROR(SUMIF('Oct 22 - Nov 21, 2025'!$A:$A,"LEASE-BH-F1-2025",'Oct 22 - Nov 21, 2025'!$O:$O),0)</f>
        <v>0.0</v>
      </c>
      <c r="N2" s="3" t="n">
        <f>IFERROR(SUMIF('Dec 22 - Jan 21, 2025'!$A:$A,"LEASE-BH-F1-2025",'Dec 22 - Jan 21, 2025'!$P:$P),0)+IFERROR(SUMIF('Jan 22 - Feb 21, 2025'!$A:$A,"LEASE-BH-F1-2025",'Jan 22 - Feb 21, 2025'!$P:$P),0)+IFERROR(SUMIF('Feb 22 - Mar 21, 2025'!$A:$A,"LEASE-BH-F1-2025",'Feb 22 - Mar 21, 2025'!$P:$P),0)+IFERROR(SUMIF('Mar 22 - Apr 21, 2025'!$A:$A,"LEASE-BH-F1-2025",'Mar 22 - Apr 21, 2025'!$P:$P),0)+IFERROR(SUMIF('Apr 22 - May 21, 2025'!$A:$A,"LEASE-BH-F1-2025",'Apr 22 - May 21, 2025'!$P:$P),0)+IFERROR(SUMIF('May 22 - Jun 21, 2025'!$A:$A,"LEASE-BH-F1-2025",'May 22 - Jun 21, 2025'!$P:$P),0)+IFERROR(SUMIF('Jun 22 - Jul 21, 2025'!$A:$A,"LEASE-BH-F1-2025",'Jun 22 - Jul 21, 2025'!$P:$P),0)+IFERROR(SUMIF('Jul 22 - Aug 21, 2025'!$A:$A,"LEASE-BH-F1-2025",'Jul 22 - Aug 21, 2025'!$P:$P),0)+IFERROR(SUMIF('Aug 22 - Sep 21, 2025'!$A:$A,"LEASE-BH-F1-2025",'Aug 22 - Sep 21, 2025'!$P:$P),0)+IFERROR(SUMIF('Sep 22 - Oct 21, 2025'!$A:$A,"LEASE-BH-F1-2025",'Sep 22 - Oct 21, 2025'!$P:$P),0)+IFERROR(SUMIF('Oct 22 - Nov 21, 2025'!$A:$A,"LEASE-BH-F1-2025",'Oct 22 - Nov 21, 2025'!$P:$P),0)</f>
        <v>0.0</v>
      </c>
      <c r="O2" s="3" t="n">
        <f>IFERROR(SUMIF('Dec 22 - Jan 21, 2025'!$A:$A,"LEASE-BH-F1-2025",'Dec 22 - Jan 21, 2025'!$I:$I),0)</f>
        <v>0.0</v>
      </c>
      <c r="P2" s="3" t="n">
        <f>IFERROR(SUMIF('Oct 22 - Nov 21, 2025'!$A:$A,"LEASE-BH-F1-2025",'Oct 22 - Nov 21, 2025'!$K:$K),0)</f>
        <v>0.0</v>
      </c>
    </row>
    <row r="3">
      <c r="A3" t="inlineStr">
        <is>
          <t>LEASE-BH-F2-2025</t>
        </is>
      </c>
      <c r="B3" t="inlineStr">
        <is>
          <t>Flat 2 - 3 West Gate</t>
        </is>
      </c>
      <c r="C3" t="inlineStr">
        <is>
          <t>Achal (Delegated for Udayan)</t>
        </is>
      </c>
      <c r="D3" t="inlineStr">
        <is>
          <t>Mr Mustafa Al Bayat, Mrs Gulala Al - Zangana</t>
        </is>
      </c>
      <c r="E3" s="2" t="n">
        <v>45715.0</v>
      </c>
      <c r="F3" t="n">
        <v>27.0</v>
      </c>
      <c r="G3" s="3" t="n">
        <f>IFERROR(SUMIF('Dec 22 - Jan 21, 2025'!$A:$A,"LEASE-BH-F2-2025",'Dec 22 - Jan 21, 2025'!$G:$G),0)+IFERROR(SUMIF('Jan 22 - Feb 21, 2025'!$A:$A,"LEASE-BH-F2-2025",'Jan 22 - Feb 21, 2025'!$G:$G),0)+IFERROR(SUMIF('Feb 22 - Mar 21, 2025'!$A:$A,"LEASE-BH-F2-2025",'Feb 22 - Mar 21, 2025'!$G:$G),0)+IFERROR(SUMIF('Mar 22 - Apr 21, 2025'!$A:$A,"LEASE-BH-F2-2025",'Mar 22 - Apr 21, 2025'!$G:$G),0)+IFERROR(SUMIF('Apr 22 - May 21, 2025'!$A:$A,"LEASE-BH-F2-2025",'Apr 22 - May 21, 2025'!$G:$G),0)+IFERROR(SUMIF('May 22 - Jun 21, 2025'!$A:$A,"LEASE-BH-F2-2025",'May 22 - Jun 21, 2025'!$G:$G),0)+IFERROR(SUMIF('Jun 22 - Jul 21, 2025'!$A:$A,"LEASE-BH-F2-2025",'Jun 22 - Jul 21, 2025'!$G:$G),0)+IFERROR(SUMIF('Jul 22 - Aug 21, 2025'!$A:$A,"LEASE-BH-F2-2025",'Jul 22 - Aug 21, 2025'!$G:$G),0)+IFERROR(SUMIF('Aug 22 - Sep 21, 2025'!$A:$A,"LEASE-BH-F2-2025",'Aug 22 - Sep 21, 2025'!$G:$G),0)+IFERROR(SUMIF('Sep 22 - Oct 21, 2025'!$A:$A,"LEASE-BH-F2-2025",'Sep 22 - Oct 21, 2025'!$G:$G),0)+IFERROR(SUMIF('Oct 22 - Nov 21, 2025'!$A:$A,"LEASE-BH-F2-2025",'Oct 22 - Nov 21, 2025'!$G:$G),0)</f>
        <v>0.0</v>
      </c>
      <c r="H3" s="3" t="n">
        <f>IFERROR(SUMIF('Dec 22 - Jan 21, 2025'!$A:$A,"LEASE-BH-F2-2025",'Dec 22 - Jan 21, 2025'!$H:$H),0)+IFERROR(SUMIF('Jan 22 - Feb 21, 2025'!$A:$A,"LEASE-BH-F2-2025",'Jan 22 - Feb 21, 2025'!$H:$H),0)+IFERROR(SUMIF('Feb 22 - Mar 21, 2025'!$A:$A,"LEASE-BH-F2-2025",'Feb 22 - Mar 21, 2025'!$H:$H),0)+IFERROR(SUMIF('Mar 22 - Apr 21, 2025'!$A:$A,"LEASE-BH-F2-2025",'Mar 22 - Apr 21, 2025'!$H:$H),0)+IFERROR(SUMIF('Apr 22 - May 21, 2025'!$A:$A,"LEASE-BH-F2-2025",'Apr 22 - May 21, 2025'!$H:$H),0)+IFERROR(SUMIF('May 22 - Jun 21, 2025'!$A:$A,"LEASE-BH-F2-2025",'May 22 - Jun 21, 2025'!$H:$H),0)+IFERROR(SUMIF('Jun 22 - Jul 21, 2025'!$A:$A,"LEASE-BH-F2-2025",'Jun 22 - Jul 21, 2025'!$H:$H),0)+IFERROR(SUMIF('Jul 22 - Aug 21, 2025'!$A:$A,"LEASE-BH-F2-2025",'Jul 22 - Aug 21, 2025'!$H:$H),0)+IFERROR(SUMIF('Aug 22 - Sep 21, 2025'!$A:$A,"LEASE-BH-F2-2025",'Aug 22 - Sep 21, 2025'!$H:$H),0)+IFERROR(SUMIF('Sep 22 - Oct 21, 2025'!$A:$A,"LEASE-BH-F2-2025",'Sep 22 - Oct 21, 2025'!$H:$H),0)+IFERROR(SUMIF('Oct 22 - Nov 21, 2025'!$A:$A,"LEASE-BH-F2-2025",'Oct 22 - Nov 21, 2025'!$H:$H),0)</f>
        <v>0.0</v>
      </c>
      <c r="I3" s="3" t="n">
        <f>G3 - H3</f>
        <v>0.0</v>
      </c>
      <c r="J3" s="3" t="n">
        <f>IFERROR(SUMIF('Dec 22 - Jan 21, 2025'!$A:$A,"LEASE-BH-F2-2025",'Dec 22 - Jan 21, 2025'!$L:$L),0)+IFERROR(SUMIF('Jan 22 - Feb 21, 2025'!$A:$A,"LEASE-BH-F2-2025",'Jan 22 - Feb 21, 2025'!$L:$L),0)+IFERROR(SUMIF('Feb 22 - Mar 21, 2025'!$A:$A,"LEASE-BH-F2-2025",'Feb 22 - Mar 21, 2025'!$L:$L),0)+IFERROR(SUMIF('Mar 22 - Apr 21, 2025'!$A:$A,"LEASE-BH-F2-2025",'Mar 22 - Apr 21, 2025'!$L:$L),0)+IFERROR(SUMIF('Apr 22 - May 21, 2025'!$A:$A,"LEASE-BH-F2-2025",'Apr 22 - May 21, 2025'!$L:$L),0)+IFERROR(SUMIF('May 22 - Jun 21, 2025'!$A:$A,"LEASE-BH-F2-2025",'May 22 - Jun 21, 2025'!$L:$L),0)+IFERROR(SUMIF('Jun 22 - Jul 21, 2025'!$A:$A,"LEASE-BH-F2-2025",'Jun 22 - Jul 21, 2025'!$L:$L),0)+IFERROR(SUMIF('Jul 22 - Aug 21, 2025'!$A:$A,"LEASE-BH-F2-2025",'Jul 22 - Aug 21, 2025'!$L:$L),0)+IFERROR(SUMIF('Aug 22 - Sep 21, 2025'!$A:$A,"LEASE-BH-F2-2025",'Aug 22 - Sep 21, 2025'!$L:$L),0)+IFERROR(SUMIF('Sep 22 - Oct 21, 2025'!$A:$A,"LEASE-BH-F2-2025",'Sep 22 - Oct 21, 2025'!$L:$L),0)+IFERROR(SUMIF('Oct 22 - Nov 21, 2025'!$A:$A,"LEASE-BH-F2-2025",'Oct 22 - Nov 21, 2025'!$L:$L),0)</f>
        <v>0.0</v>
      </c>
      <c r="K3" s="3" t="n">
        <f>IFERROR(SUMIF('Dec 22 - Jan 21, 2025'!$A:$A,"LEASE-BH-F2-2025",'Dec 22 - Jan 21, 2025'!$M:$M),0)+IFERROR(SUMIF('Jan 22 - Feb 21, 2025'!$A:$A,"LEASE-BH-F2-2025",'Jan 22 - Feb 21, 2025'!$M:$M),0)+IFERROR(SUMIF('Feb 22 - Mar 21, 2025'!$A:$A,"LEASE-BH-F2-2025",'Feb 22 - Mar 21, 2025'!$M:$M),0)+IFERROR(SUMIF('Mar 22 - Apr 21, 2025'!$A:$A,"LEASE-BH-F2-2025",'Mar 22 - Apr 21, 2025'!$M:$M),0)+IFERROR(SUMIF('Apr 22 - May 21, 2025'!$A:$A,"LEASE-BH-F2-2025",'Apr 22 - May 21, 2025'!$M:$M),0)+IFERROR(SUMIF('May 22 - Jun 21, 2025'!$A:$A,"LEASE-BH-F2-2025",'May 22 - Jun 21, 2025'!$M:$M),0)+IFERROR(SUMIF('Jun 22 - Jul 21, 2025'!$A:$A,"LEASE-BH-F2-2025",'Jun 22 - Jul 21, 2025'!$M:$M),0)+IFERROR(SUMIF('Jul 22 - Aug 21, 2025'!$A:$A,"LEASE-BH-F2-2025",'Jul 22 - Aug 21, 2025'!$M:$M),0)+IFERROR(SUMIF('Aug 22 - Sep 21, 2025'!$A:$A,"LEASE-BH-F2-2025",'Aug 22 - Sep 21, 2025'!$M:$M),0)+IFERROR(SUMIF('Sep 22 - Oct 21, 2025'!$A:$A,"LEASE-BH-F2-2025",'Sep 22 - Oct 21, 2025'!$M:$M),0)+IFERROR(SUMIF('Oct 22 - Nov 21, 2025'!$A:$A,"LEASE-BH-F2-2025",'Oct 22 - Nov 21, 2025'!$M:$M),0)</f>
        <v>0.0</v>
      </c>
      <c r="L3" s="3" t="n">
        <f>IFERROR(SUMIF('Dec 22 - Jan 21, 2025'!$A:$A,"LEASE-BH-F2-2025",'Dec 22 - Jan 21, 2025'!$N:$N),0)+IFERROR(SUMIF('Jan 22 - Feb 21, 2025'!$A:$A,"LEASE-BH-F2-2025",'Jan 22 - Feb 21, 2025'!$N:$N),0)+IFERROR(SUMIF('Feb 22 - Mar 21, 2025'!$A:$A,"LEASE-BH-F2-2025",'Feb 22 - Mar 21, 2025'!$N:$N),0)+IFERROR(SUMIF('Mar 22 - Apr 21, 2025'!$A:$A,"LEASE-BH-F2-2025",'Mar 22 - Apr 21, 2025'!$N:$N),0)+IFERROR(SUMIF('Apr 22 - May 21, 2025'!$A:$A,"LEASE-BH-F2-2025",'Apr 22 - May 21, 2025'!$N:$N),0)+IFERROR(SUMIF('May 22 - Jun 21, 2025'!$A:$A,"LEASE-BH-F2-2025",'May 22 - Jun 21, 2025'!$N:$N),0)+IFERROR(SUMIF('Jun 22 - Jul 21, 2025'!$A:$A,"LEASE-BH-F2-2025",'Jun 22 - Jul 21, 2025'!$N:$N),0)+IFERROR(SUMIF('Jul 22 - Aug 21, 2025'!$A:$A,"LEASE-BH-F2-2025",'Jul 22 - Aug 21, 2025'!$N:$N),0)+IFERROR(SUMIF('Aug 22 - Sep 21, 2025'!$A:$A,"LEASE-BH-F2-2025",'Aug 22 - Sep 21, 2025'!$N:$N),0)+IFERROR(SUMIF('Sep 22 - Oct 21, 2025'!$A:$A,"LEASE-BH-F2-2025",'Sep 22 - Oct 21, 2025'!$N:$N),0)+IFERROR(SUMIF('Oct 22 - Nov 21, 2025'!$A:$A,"LEASE-BH-F2-2025",'Oct 22 - Nov 21, 2025'!$N:$N),0)</f>
        <v>0.0</v>
      </c>
      <c r="M3" s="3" t="n">
        <f>IFERROR(SUMIF('Dec 22 - Jan 21, 2025'!$A:$A,"LEASE-BH-F2-2025",'Dec 22 - Jan 21, 2025'!$O:$O),0)+IFERROR(SUMIF('Jan 22 - Feb 21, 2025'!$A:$A,"LEASE-BH-F2-2025",'Jan 22 - Feb 21, 2025'!$O:$O),0)+IFERROR(SUMIF('Feb 22 - Mar 21, 2025'!$A:$A,"LEASE-BH-F2-2025",'Feb 22 - Mar 21, 2025'!$O:$O),0)+IFERROR(SUMIF('Mar 22 - Apr 21, 2025'!$A:$A,"LEASE-BH-F2-2025",'Mar 22 - Apr 21, 2025'!$O:$O),0)+IFERROR(SUMIF('Apr 22 - May 21, 2025'!$A:$A,"LEASE-BH-F2-2025",'Apr 22 - May 21, 2025'!$O:$O),0)+IFERROR(SUMIF('May 22 - Jun 21, 2025'!$A:$A,"LEASE-BH-F2-2025",'May 22 - Jun 21, 2025'!$O:$O),0)+IFERROR(SUMIF('Jun 22 - Jul 21, 2025'!$A:$A,"LEASE-BH-F2-2025",'Jun 22 - Jul 21, 2025'!$O:$O),0)+IFERROR(SUMIF('Jul 22 - Aug 21, 2025'!$A:$A,"LEASE-BH-F2-2025",'Jul 22 - Aug 21, 2025'!$O:$O),0)+IFERROR(SUMIF('Aug 22 - Sep 21, 2025'!$A:$A,"LEASE-BH-F2-2025",'Aug 22 - Sep 21, 2025'!$O:$O),0)+IFERROR(SUMIF('Sep 22 - Oct 21, 2025'!$A:$A,"LEASE-BH-F2-2025",'Sep 22 - Oct 21, 2025'!$O:$O),0)+IFERROR(SUMIF('Oct 22 - Nov 21, 2025'!$A:$A,"LEASE-BH-F2-2025",'Oct 22 - Nov 21, 2025'!$O:$O),0)</f>
        <v>0.0</v>
      </c>
      <c r="N3" s="3" t="n">
        <f>IFERROR(SUMIF('Dec 22 - Jan 21, 2025'!$A:$A,"LEASE-BH-F2-2025",'Dec 22 - Jan 21, 2025'!$P:$P),0)+IFERROR(SUMIF('Jan 22 - Feb 21, 2025'!$A:$A,"LEASE-BH-F2-2025",'Jan 22 - Feb 21, 2025'!$P:$P),0)+IFERROR(SUMIF('Feb 22 - Mar 21, 2025'!$A:$A,"LEASE-BH-F2-2025",'Feb 22 - Mar 21, 2025'!$P:$P),0)+IFERROR(SUMIF('Mar 22 - Apr 21, 2025'!$A:$A,"LEASE-BH-F2-2025",'Mar 22 - Apr 21, 2025'!$P:$P),0)+IFERROR(SUMIF('Apr 22 - May 21, 2025'!$A:$A,"LEASE-BH-F2-2025",'Apr 22 - May 21, 2025'!$P:$P),0)+IFERROR(SUMIF('May 22 - Jun 21, 2025'!$A:$A,"LEASE-BH-F2-2025",'May 22 - Jun 21, 2025'!$P:$P),0)+IFERROR(SUMIF('Jun 22 - Jul 21, 2025'!$A:$A,"LEASE-BH-F2-2025",'Jun 22 - Jul 21, 2025'!$P:$P),0)+IFERROR(SUMIF('Jul 22 - Aug 21, 2025'!$A:$A,"LEASE-BH-F2-2025",'Jul 22 - Aug 21, 2025'!$P:$P),0)+IFERROR(SUMIF('Aug 22 - Sep 21, 2025'!$A:$A,"LEASE-BH-F2-2025",'Aug 22 - Sep 21, 2025'!$P:$P),0)+IFERROR(SUMIF('Sep 22 - Oct 21, 2025'!$A:$A,"LEASE-BH-F2-2025",'Sep 22 - Oct 21, 2025'!$P:$P),0)+IFERROR(SUMIF('Oct 22 - Nov 21, 2025'!$A:$A,"LEASE-BH-F2-2025",'Oct 22 - Nov 21, 2025'!$P:$P),0)</f>
        <v>0.0</v>
      </c>
      <c r="O3" s="3" t="n">
        <f>IFERROR(SUMIF('Dec 22 - Jan 21, 2025'!$A:$A,"LEASE-BH-F2-2025",'Dec 22 - Jan 21, 2025'!$I:$I),0)</f>
        <v>0.0</v>
      </c>
      <c r="P3" s="3" t="n">
        <f>IFERROR(SUMIF('Oct 22 - Nov 21, 2025'!$A:$A,"LEASE-BH-F2-2025",'Oct 22 - Nov 21, 2025'!$K:$K),0)</f>
        <v>0.0</v>
      </c>
    </row>
    <row r="4">
      <c r="A4" t="inlineStr">
        <is>
          <t>LEASE-BH-F3-2025</t>
        </is>
      </c>
      <c r="B4" t="inlineStr">
        <is>
          <t>Flat 3 - 3 West Gate</t>
        </is>
      </c>
      <c r="C4" t="inlineStr">
        <is>
          <t>Achal (Delegated for Udayan)</t>
        </is>
      </c>
      <c r="D4" t="inlineStr">
        <is>
          <t>Mr Tracy Whyte</t>
        </is>
      </c>
      <c r="E4" s="2" t="n">
        <v>45727.0</v>
      </c>
      <c r="F4" t="n">
        <v>11.0</v>
      </c>
      <c r="G4" s="3" t="n">
        <f>IFERROR(SUMIF('Dec 22 - Jan 21, 2025'!$A:$A,"LEASE-BH-F3-2025",'Dec 22 - Jan 21, 2025'!$G:$G),0)+IFERROR(SUMIF('Jan 22 - Feb 21, 2025'!$A:$A,"LEASE-BH-F3-2025",'Jan 22 - Feb 21, 2025'!$G:$G),0)+IFERROR(SUMIF('Feb 22 - Mar 21, 2025'!$A:$A,"LEASE-BH-F3-2025",'Feb 22 - Mar 21, 2025'!$G:$G),0)+IFERROR(SUMIF('Mar 22 - Apr 21, 2025'!$A:$A,"LEASE-BH-F3-2025",'Mar 22 - Apr 21, 2025'!$G:$G),0)+IFERROR(SUMIF('Apr 22 - May 21, 2025'!$A:$A,"LEASE-BH-F3-2025",'Apr 22 - May 21, 2025'!$G:$G),0)+IFERROR(SUMIF('May 22 - Jun 21, 2025'!$A:$A,"LEASE-BH-F3-2025",'May 22 - Jun 21, 2025'!$G:$G),0)+IFERROR(SUMIF('Jun 22 - Jul 21, 2025'!$A:$A,"LEASE-BH-F3-2025",'Jun 22 - Jul 21, 2025'!$G:$G),0)+IFERROR(SUMIF('Jul 22 - Aug 21, 2025'!$A:$A,"LEASE-BH-F3-2025",'Jul 22 - Aug 21, 2025'!$G:$G),0)+IFERROR(SUMIF('Aug 22 - Sep 21, 2025'!$A:$A,"LEASE-BH-F3-2025",'Aug 22 - Sep 21, 2025'!$G:$G),0)+IFERROR(SUMIF('Sep 22 - Oct 21, 2025'!$A:$A,"LEASE-BH-F3-2025",'Sep 22 - Oct 21, 2025'!$G:$G),0)+IFERROR(SUMIF('Oct 22 - Nov 21, 2025'!$A:$A,"LEASE-BH-F3-2025",'Oct 22 - Nov 21, 2025'!$G:$G),0)</f>
        <v>0.0</v>
      </c>
      <c r="H4" s="3" t="n">
        <f>IFERROR(SUMIF('Dec 22 - Jan 21, 2025'!$A:$A,"LEASE-BH-F3-2025",'Dec 22 - Jan 21, 2025'!$H:$H),0)+IFERROR(SUMIF('Jan 22 - Feb 21, 2025'!$A:$A,"LEASE-BH-F3-2025",'Jan 22 - Feb 21, 2025'!$H:$H),0)+IFERROR(SUMIF('Feb 22 - Mar 21, 2025'!$A:$A,"LEASE-BH-F3-2025",'Feb 22 - Mar 21, 2025'!$H:$H),0)+IFERROR(SUMIF('Mar 22 - Apr 21, 2025'!$A:$A,"LEASE-BH-F3-2025",'Mar 22 - Apr 21, 2025'!$H:$H),0)+IFERROR(SUMIF('Apr 22 - May 21, 2025'!$A:$A,"LEASE-BH-F3-2025",'Apr 22 - May 21, 2025'!$H:$H),0)+IFERROR(SUMIF('May 22 - Jun 21, 2025'!$A:$A,"LEASE-BH-F3-2025",'May 22 - Jun 21, 2025'!$H:$H),0)+IFERROR(SUMIF('Jun 22 - Jul 21, 2025'!$A:$A,"LEASE-BH-F3-2025",'Jun 22 - Jul 21, 2025'!$H:$H),0)+IFERROR(SUMIF('Jul 22 - Aug 21, 2025'!$A:$A,"LEASE-BH-F3-2025",'Jul 22 - Aug 21, 2025'!$H:$H),0)+IFERROR(SUMIF('Aug 22 - Sep 21, 2025'!$A:$A,"LEASE-BH-F3-2025",'Aug 22 - Sep 21, 2025'!$H:$H),0)+IFERROR(SUMIF('Sep 22 - Oct 21, 2025'!$A:$A,"LEASE-BH-F3-2025",'Sep 22 - Oct 21, 2025'!$H:$H),0)+IFERROR(SUMIF('Oct 22 - Nov 21, 2025'!$A:$A,"LEASE-BH-F3-2025",'Oct 22 - Nov 21, 2025'!$H:$H),0)</f>
        <v>0.0</v>
      </c>
      <c r="I4" s="3" t="n">
        <f>G4 - H4</f>
        <v>0.0</v>
      </c>
      <c r="J4" s="3" t="n">
        <f>IFERROR(SUMIF('Dec 22 - Jan 21, 2025'!$A:$A,"LEASE-BH-F3-2025",'Dec 22 - Jan 21, 2025'!$L:$L),0)+IFERROR(SUMIF('Jan 22 - Feb 21, 2025'!$A:$A,"LEASE-BH-F3-2025",'Jan 22 - Feb 21, 2025'!$L:$L),0)+IFERROR(SUMIF('Feb 22 - Mar 21, 2025'!$A:$A,"LEASE-BH-F3-2025",'Feb 22 - Mar 21, 2025'!$L:$L),0)+IFERROR(SUMIF('Mar 22 - Apr 21, 2025'!$A:$A,"LEASE-BH-F3-2025",'Mar 22 - Apr 21, 2025'!$L:$L),0)+IFERROR(SUMIF('Apr 22 - May 21, 2025'!$A:$A,"LEASE-BH-F3-2025",'Apr 22 - May 21, 2025'!$L:$L),0)+IFERROR(SUMIF('May 22 - Jun 21, 2025'!$A:$A,"LEASE-BH-F3-2025",'May 22 - Jun 21, 2025'!$L:$L),0)+IFERROR(SUMIF('Jun 22 - Jul 21, 2025'!$A:$A,"LEASE-BH-F3-2025",'Jun 22 - Jul 21, 2025'!$L:$L),0)+IFERROR(SUMIF('Jul 22 - Aug 21, 2025'!$A:$A,"LEASE-BH-F3-2025",'Jul 22 - Aug 21, 2025'!$L:$L),0)+IFERROR(SUMIF('Aug 22 - Sep 21, 2025'!$A:$A,"LEASE-BH-F3-2025",'Aug 22 - Sep 21, 2025'!$L:$L),0)+IFERROR(SUMIF('Sep 22 - Oct 21, 2025'!$A:$A,"LEASE-BH-F3-2025",'Sep 22 - Oct 21, 2025'!$L:$L),0)+IFERROR(SUMIF('Oct 22 - Nov 21, 2025'!$A:$A,"LEASE-BH-F3-2025",'Oct 22 - Nov 21, 2025'!$L:$L),0)</f>
        <v>0.0</v>
      </c>
      <c r="K4" s="3" t="n">
        <f>IFERROR(SUMIF('Dec 22 - Jan 21, 2025'!$A:$A,"LEASE-BH-F3-2025",'Dec 22 - Jan 21, 2025'!$M:$M),0)+IFERROR(SUMIF('Jan 22 - Feb 21, 2025'!$A:$A,"LEASE-BH-F3-2025",'Jan 22 - Feb 21, 2025'!$M:$M),0)+IFERROR(SUMIF('Feb 22 - Mar 21, 2025'!$A:$A,"LEASE-BH-F3-2025",'Feb 22 - Mar 21, 2025'!$M:$M),0)+IFERROR(SUMIF('Mar 22 - Apr 21, 2025'!$A:$A,"LEASE-BH-F3-2025",'Mar 22 - Apr 21, 2025'!$M:$M),0)+IFERROR(SUMIF('Apr 22 - May 21, 2025'!$A:$A,"LEASE-BH-F3-2025",'Apr 22 - May 21, 2025'!$M:$M),0)+IFERROR(SUMIF('May 22 - Jun 21, 2025'!$A:$A,"LEASE-BH-F3-2025",'May 22 - Jun 21, 2025'!$M:$M),0)+IFERROR(SUMIF('Jun 22 - Jul 21, 2025'!$A:$A,"LEASE-BH-F3-2025",'Jun 22 - Jul 21, 2025'!$M:$M),0)+IFERROR(SUMIF('Jul 22 - Aug 21, 2025'!$A:$A,"LEASE-BH-F3-2025",'Jul 22 - Aug 21, 2025'!$M:$M),0)+IFERROR(SUMIF('Aug 22 - Sep 21, 2025'!$A:$A,"LEASE-BH-F3-2025",'Aug 22 - Sep 21, 2025'!$M:$M),0)+IFERROR(SUMIF('Sep 22 - Oct 21, 2025'!$A:$A,"LEASE-BH-F3-2025",'Sep 22 - Oct 21, 2025'!$M:$M),0)+IFERROR(SUMIF('Oct 22 - Nov 21, 2025'!$A:$A,"LEASE-BH-F3-2025",'Oct 22 - Nov 21, 2025'!$M:$M),0)</f>
        <v>0.0</v>
      </c>
      <c r="L4" s="3" t="n">
        <f>IFERROR(SUMIF('Dec 22 - Jan 21, 2025'!$A:$A,"LEASE-BH-F3-2025",'Dec 22 - Jan 21, 2025'!$N:$N),0)+IFERROR(SUMIF('Jan 22 - Feb 21, 2025'!$A:$A,"LEASE-BH-F3-2025",'Jan 22 - Feb 21, 2025'!$N:$N),0)+IFERROR(SUMIF('Feb 22 - Mar 21, 2025'!$A:$A,"LEASE-BH-F3-2025",'Feb 22 - Mar 21, 2025'!$N:$N),0)+IFERROR(SUMIF('Mar 22 - Apr 21, 2025'!$A:$A,"LEASE-BH-F3-2025",'Mar 22 - Apr 21, 2025'!$N:$N),0)+IFERROR(SUMIF('Apr 22 - May 21, 2025'!$A:$A,"LEASE-BH-F3-2025",'Apr 22 - May 21, 2025'!$N:$N),0)+IFERROR(SUMIF('May 22 - Jun 21, 2025'!$A:$A,"LEASE-BH-F3-2025",'May 22 - Jun 21, 2025'!$N:$N),0)+IFERROR(SUMIF('Jun 22 - Jul 21, 2025'!$A:$A,"LEASE-BH-F3-2025",'Jun 22 - Jul 21, 2025'!$N:$N),0)+IFERROR(SUMIF('Jul 22 - Aug 21, 2025'!$A:$A,"LEASE-BH-F3-2025",'Jul 22 - Aug 21, 2025'!$N:$N),0)+IFERROR(SUMIF('Aug 22 - Sep 21, 2025'!$A:$A,"LEASE-BH-F3-2025",'Aug 22 - Sep 21, 2025'!$N:$N),0)+IFERROR(SUMIF('Sep 22 - Oct 21, 2025'!$A:$A,"LEASE-BH-F3-2025",'Sep 22 - Oct 21, 2025'!$N:$N),0)+IFERROR(SUMIF('Oct 22 - Nov 21, 2025'!$A:$A,"LEASE-BH-F3-2025",'Oct 22 - Nov 21, 2025'!$N:$N),0)</f>
        <v>0.0</v>
      </c>
      <c r="M4" s="3" t="n">
        <f>IFERROR(SUMIF('Dec 22 - Jan 21, 2025'!$A:$A,"LEASE-BH-F3-2025",'Dec 22 - Jan 21, 2025'!$O:$O),0)+IFERROR(SUMIF('Jan 22 - Feb 21, 2025'!$A:$A,"LEASE-BH-F3-2025",'Jan 22 - Feb 21, 2025'!$O:$O),0)+IFERROR(SUMIF('Feb 22 - Mar 21, 2025'!$A:$A,"LEASE-BH-F3-2025",'Feb 22 - Mar 21, 2025'!$O:$O),0)+IFERROR(SUMIF('Mar 22 - Apr 21, 2025'!$A:$A,"LEASE-BH-F3-2025",'Mar 22 - Apr 21, 2025'!$O:$O),0)+IFERROR(SUMIF('Apr 22 - May 21, 2025'!$A:$A,"LEASE-BH-F3-2025",'Apr 22 - May 21, 2025'!$O:$O),0)+IFERROR(SUMIF('May 22 - Jun 21, 2025'!$A:$A,"LEASE-BH-F3-2025",'May 22 - Jun 21, 2025'!$O:$O),0)+IFERROR(SUMIF('Jun 22 - Jul 21, 2025'!$A:$A,"LEASE-BH-F3-2025",'Jun 22 - Jul 21, 2025'!$O:$O),0)+IFERROR(SUMIF('Jul 22 - Aug 21, 2025'!$A:$A,"LEASE-BH-F3-2025",'Jul 22 - Aug 21, 2025'!$O:$O),0)+IFERROR(SUMIF('Aug 22 - Sep 21, 2025'!$A:$A,"LEASE-BH-F3-2025",'Aug 22 - Sep 21, 2025'!$O:$O),0)+IFERROR(SUMIF('Sep 22 - Oct 21, 2025'!$A:$A,"LEASE-BH-F3-2025",'Sep 22 - Oct 21, 2025'!$O:$O),0)+IFERROR(SUMIF('Oct 22 - Nov 21, 2025'!$A:$A,"LEASE-BH-F3-2025",'Oct 22 - Nov 21, 2025'!$O:$O),0)</f>
        <v>0.0</v>
      </c>
      <c r="N4" s="3" t="n">
        <f>IFERROR(SUMIF('Dec 22 - Jan 21, 2025'!$A:$A,"LEASE-BH-F3-2025",'Dec 22 - Jan 21, 2025'!$P:$P),0)+IFERROR(SUMIF('Jan 22 - Feb 21, 2025'!$A:$A,"LEASE-BH-F3-2025",'Jan 22 - Feb 21, 2025'!$P:$P),0)+IFERROR(SUMIF('Feb 22 - Mar 21, 2025'!$A:$A,"LEASE-BH-F3-2025",'Feb 22 - Mar 21, 2025'!$P:$P),0)+IFERROR(SUMIF('Mar 22 - Apr 21, 2025'!$A:$A,"LEASE-BH-F3-2025",'Mar 22 - Apr 21, 2025'!$P:$P),0)+IFERROR(SUMIF('Apr 22 - May 21, 2025'!$A:$A,"LEASE-BH-F3-2025",'Apr 22 - May 21, 2025'!$P:$P),0)+IFERROR(SUMIF('May 22 - Jun 21, 2025'!$A:$A,"LEASE-BH-F3-2025",'May 22 - Jun 21, 2025'!$P:$P),0)+IFERROR(SUMIF('Jun 22 - Jul 21, 2025'!$A:$A,"LEASE-BH-F3-2025",'Jun 22 - Jul 21, 2025'!$P:$P),0)+IFERROR(SUMIF('Jul 22 - Aug 21, 2025'!$A:$A,"LEASE-BH-F3-2025",'Jul 22 - Aug 21, 2025'!$P:$P),0)+IFERROR(SUMIF('Aug 22 - Sep 21, 2025'!$A:$A,"LEASE-BH-F3-2025",'Aug 22 - Sep 21, 2025'!$P:$P),0)+IFERROR(SUMIF('Sep 22 - Oct 21, 2025'!$A:$A,"LEASE-BH-F3-2025",'Sep 22 - Oct 21, 2025'!$P:$P),0)+IFERROR(SUMIF('Oct 22 - Nov 21, 2025'!$A:$A,"LEASE-BH-F3-2025",'Oct 22 - Nov 21, 2025'!$P:$P),0)</f>
        <v>0.0</v>
      </c>
      <c r="O4" s="3" t="n">
        <f>IFERROR(SUMIF('Dec 22 - Jan 21, 2025'!$A:$A,"LEASE-BH-F3-2025",'Dec 22 - Jan 21, 2025'!$I:$I),0)</f>
        <v>0.0</v>
      </c>
      <c r="P4" s="3" t="n">
        <f>IFERROR(SUMIF('Oct 22 - Nov 21, 2025'!$A:$A,"LEASE-BH-F3-2025",'Oct 22 - Nov 21, 2025'!$K:$K),0)</f>
        <v>0.0</v>
      </c>
    </row>
    <row r="5">
      <c r="A5" t="inlineStr">
        <is>
          <t>LEASE-BH-F4-2025</t>
        </is>
      </c>
      <c r="B5" t="inlineStr">
        <is>
          <t>Flat 4 - 3 West Gate</t>
        </is>
      </c>
      <c r="C5" t="inlineStr">
        <is>
          <t>Achal (Delegated for Udayan)</t>
        </is>
      </c>
      <c r="D5" t="inlineStr">
        <is>
          <t>Miss Megan Delaney, Mr Joseph Williams</t>
        </is>
      </c>
      <c r="E5" s="2" t="n">
        <v>45713.0</v>
      </c>
      <c r="F5" t="n">
        <v>25.0</v>
      </c>
      <c r="G5" s="3" t="n">
        <f>IFERROR(SUMIF('Dec 22 - Jan 21, 2025'!$A:$A,"LEASE-BH-F4-2025",'Dec 22 - Jan 21, 2025'!$G:$G),0)+IFERROR(SUMIF('Jan 22 - Feb 21, 2025'!$A:$A,"LEASE-BH-F4-2025",'Jan 22 - Feb 21, 2025'!$G:$G),0)+IFERROR(SUMIF('Feb 22 - Mar 21, 2025'!$A:$A,"LEASE-BH-F4-2025",'Feb 22 - Mar 21, 2025'!$G:$G),0)+IFERROR(SUMIF('Mar 22 - Apr 21, 2025'!$A:$A,"LEASE-BH-F4-2025",'Mar 22 - Apr 21, 2025'!$G:$G),0)+IFERROR(SUMIF('Apr 22 - May 21, 2025'!$A:$A,"LEASE-BH-F4-2025",'Apr 22 - May 21, 2025'!$G:$G),0)+IFERROR(SUMIF('May 22 - Jun 21, 2025'!$A:$A,"LEASE-BH-F4-2025",'May 22 - Jun 21, 2025'!$G:$G),0)+IFERROR(SUMIF('Jun 22 - Jul 21, 2025'!$A:$A,"LEASE-BH-F4-2025",'Jun 22 - Jul 21, 2025'!$G:$G),0)+IFERROR(SUMIF('Jul 22 - Aug 21, 2025'!$A:$A,"LEASE-BH-F4-2025",'Jul 22 - Aug 21, 2025'!$G:$G),0)+IFERROR(SUMIF('Aug 22 - Sep 21, 2025'!$A:$A,"LEASE-BH-F4-2025",'Aug 22 - Sep 21, 2025'!$G:$G),0)+IFERROR(SUMIF('Sep 22 - Oct 21, 2025'!$A:$A,"LEASE-BH-F4-2025",'Sep 22 - Oct 21, 2025'!$G:$G),0)+IFERROR(SUMIF('Oct 22 - Nov 21, 2025'!$A:$A,"LEASE-BH-F4-2025",'Oct 22 - Nov 21, 2025'!$G:$G),0)</f>
        <v>0.0</v>
      </c>
      <c r="H5" s="3" t="n">
        <f>IFERROR(SUMIF('Dec 22 - Jan 21, 2025'!$A:$A,"LEASE-BH-F4-2025",'Dec 22 - Jan 21, 2025'!$H:$H),0)+IFERROR(SUMIF('Jan 22 - Feb 21, 2025'!$A:$A,"LEASE-BH-F4-2025",'Jan 22 - Feb 21, 2025'!$H:$H),0)+IFERROR(SUMIF('Feb 22 - Mar 21, 2025'!$A:$A,"LEASE-BH-F4-2025",'Feb 22 - Mar 21, 2025'!$H:$H),0)+IFERROR(SUMIF('Mar 22 - Apr 21, 2025'!$A:$A,"LEASE-BH-F4-2025",'Mar 22 - Apr 21, 2025'!$H:$H),0)+IFERROR(SUMIF('Apr 22 - May 21, 2025'!$A:$A,"LEASE-BH-F4-2025",'Apr 22 - May 21, 2025'!$H:$H),0)+IFERROR(SUMIF('May 22 - Jun 21, 2025'!$A:$A,"LEASE-BH-F4-2025",'May 22 - Jun 21, 2025'!$H:$H),0)+IFERROR(SUMIF('Jun 22 - Jul 21, 2025'!$A:$A,"LEASE-BH-F4-2025",'Jun 22 - Jul 21, 2025'!$H:$H),0)+IFERROR(SUMIF('Jul 22 - Aug 21, 2025'!$A:$A,"LEASE-BH-F4-2025",'Jul 22 - Aug 21, 2025'!$H:$H),0)+IFERROR(SUMIF('Aug 22 - Sep 21, 2025'!$A:$A,"LEASE-BH-F4-2025",'Aug 22 - Sep 21, 2025'!$H:$H),0)+IFERROR(SUMIF('Sep 22 - Oct 21, 2025'!$A:$A,"LEASE-BH-F4-2025",'Sep 22 - Oct 21, 2025'!$H:$H),0)+IFERROR(SUMIF('Oct 22 - Nov 21, 2025'!$A:$A,"LEASE-BH-F4-2025",'Oct 22 - Nov 21, 2025'!$H:$H),0)</f>
        <v>0.0</v>
      </c>
      <c r="I5" s="3" t="n">
        <f>G5 - H5</f>
        <v>0.0</v>
      </c>
      <c r="J5" s="3" t="n">
        <f>IFERROR(SUMIF('Dec 22 - Jan 21, 2025'!$A:$A,"LEASE-BH-F4-2025",'Dec 22 - Jan 21, 2025'!$L:$L),0)+IFERROR(SUMIF('Jan 22 - Feb 21, 2025'!$A:$A,"LEASE-BH-F4-2025",'Jan 22 - Feb 21, 2025'!$L:$L),0)+IFERROR(SUMIF('Feb 22 - Mar 21, 2025'!$A:$A,"LEASE-BH-F4-2025",'Feb 22 - Mar 21, 2025'!$L:$L),0)+IFERROR(SUMIF('Mar 22 - Apr 21, 2025'!$A:$A,"LEASE-BH-F4-2025",'Mar 22 - Apr 21, 2025'!$L:$L),0)+IFERROR(SUMIF('Apr 22 - May 21, 2025'!$A:$A,"LEASE-BH-F4-2025",'Apr 22 - May 21, 2025'!$L:$L),0)+IFERROR(SUMIF('May 22 - Jun 21, 2025'!$A:$A,"LEASE-BH-F4-2025",'May 22 - Jun 21, 2025'!$L:$L),0)+IFERROR(SUMIF('Jun 22 - Jul 21, 2025'!$A:$A,"LEASE-BH-F4-2025",'Jun 22 - Jul 21, 2025'!$L:$L),0)+IFERROR(SUMIF('Jul 22 - Aug 21, 2025'!$A:$A,"LEASE-BH-F4-2025",'Jul 22 - Aug 21, 2025'!$L:$L),0)+IFERROR(SUMIF('Aug 22 - Sep 21, 2025'!$A:$A,"LEASE-BH-F4-2025",'Aug 22 - Sep 21, 2025'!$L:$L),0)+IFERROR(SUMIF('Sep 22 - Oct 21, 2025'!$A:$A,"LEASE-BH-F4-2025",'Sep 22 - Oct 21, 2025'!$L:$L),0)+IFERROR(SUMIF('Oct 22 - Nov 21, 2025'!$A:$A,"LEASE-BH-F4-2025",'Oct 22 - Nov 21, 2025'!$L:$L),0)</f>
        <v>0.0</v>
      </c>
      <c r="K5" s="3" t="n">
        <f>IFERROR(SUMIF('Dec 22 - Jan 21, 2025'!$A:$A,"LEASE-BH-F4-2025",'Dec 22 - Jan 21, 2025'!$M:$M),0)+IFERROR(SUMIF('Jan 22 - Feb 21, 2025'!$A:$A,"LEASE-BH-F4-2025",'Jan 22 - Feb 21, 2025'!$M:$M),0)+IFERROR(SUMIF('Feb 22 - Mar 21, 2025'!$A:$A,"LEASE-BH-F4-2025",'Feb 22 - Mar 21, 2025'!$M:$M),0)+IFERROR(SUMIF('Mar 22 - Apr 21, 2025'!$A:$A,"LEASE-BH-F4-2025",'Mar 22 - Apr 21, 2025'!$M:$M),0)+IFERROR(SUMIF('Apr 22 - May 21, 2025'!$A:$A,"LEASE-BH-F4-2025",'Apr 22 - May 21, 2025'!$M:$M),0)+IFERROR(SUMIF('May 22 - Jun 21, 2025'!$A:$A,"LEASE-BH-F4-2025",'May 22 - Jun 21, 2025'!$M:$M),0)+IFERROR(SUMIF('Jun 22 - Jul 21, 2025'!$A:$A,"LEASE-BH-F4-2025",'Jun 22 - Jul 21, 2025'!$M:$M),0)+IFERROR(SUMIF('Jul 22 - Aug 21, 2025'!$A:$A,"LEASE-BH-F4-2025",'Jul 22 - Aug 21, 2025'!$M:$M),0)+IFERROR(SUMIF('Aug 22 - Sep 21, 2025'!$A:$A,"LEASE-BH-F4-2025",'Aug 22 - Sep 21, 2025'!$M:$M),0)+IFERROR(SUMIF('Sep 22 - Oct 21, 2025'!$A:$A,"LEASE-BH-F4-2025",'Sep 22 - Oct 21, 2025'!$M:$M),0)+IFERROR(SUMIF('Oct 22 - Nov 21, 2025'!$A:$A,"LEASE-BH-F4-2025",'Oct 22 - Nov 21, 2025'!$M:$M),0)</f>
        <v>0.0</v>
      </c>
      <c r="L5" s="3" t="n">
        <f>IFERROR(SUMIF('Dec 22 - Jan 21, 2025'!$A:$A,"LEASE-BH-F4-2025",'Dec 22 - Jan 21, 2025'!$N:$N),0)+IFERROR(SUMIF('Jan 22 - Feb 21, 2025'!$A:$A,"LEASE-BH-F4-2025",'Jan 22 - Feb 21, 2025'!$N:$N),0)+IFERROR(SUMIF('Feb 22 - Mar 21, 2025'!$A:$A,"LEASE-BH-F4-2025",'Feb 22 - Mar 21, 2025'!$N:$N),0)+IFERROR(SUMIF('Mar 22 - Apr 21, 2025'!$A:$A,"LEASE-BH-F4-2025",'Mar 22 - Apr 21, 2025'!$N:$N),0)+IFERROR(SUMIF('Apr 22 - May 21, 2025'!$A:$A,"LEASE-BH-F4-2025",'Apr 22 - May 21, 2025'!$N:$N),0)+IFERROR(SUMIF('May 22 - Jun 21, 2025'!$A:$A,"LEASE-BH-F4-2025",'May 22 - Jun 21, 2025'!$N:$N),0)+IFERROR(SUMIF('Jun 22 - Jul 21, 2025'!$A:$A,"LEASE-BH-F4-2025",'Jun 22 - Jul 21, 2025'!$N:$N),0)+IFERROR(SUMIF('Jul 22 - Aug 21, 2025'!$A:$A,"LEASE-BH-F4-2025",'Jul 22 - Aug 21, 2025'!$N:$N),0)+IFERROR(SUMIF('Aug 22 - Sep 21, 2025'!$A:$A,"LEASE-BH-F4-2025",'Aug 22 - Sep 21, 2025'!$N:$N),0)+IFERROR(SUMIF('Sep 22 - Oct 21, 2025'!$A:$A,"LEASE-BH-F4-2025",'Sep 22 - Oct 21, 2025'!$N:$N),0)+IFERROR(SUMIF('Oct 22 - Nov 21, 2025'!$A:$A,"LEASE-BH-F4-2025",'Oct 22 - Nov 21, 2025'!$N:$N),0)</f>
        <v>0.0</v>
      </c>
      <c r="M5" s="3" t="n">
        <f>IFERROR(SUMIF('Dec 22 - Jan 21, 2025'!$A:$A,"LEASE-BH-F4-2025",'Dec 22 - Jan 21, 2025'!$O:$O),0)+IFERROR(SUMIF('Jan 22 - Feb 21, 2025'!$A:$A,"LEASE-BH-F4-2025",'Jan 22 - Feb 21, 2025'!$O:$O),0)+IFERROR(SUMIF('Feb 22 - Mar 21, 2025'!$A:$A,"LEASE-BH-F4-2025",'Feb 22 - Mar 21, 2025'!$O:$O),0)+IFERROR(SUMIF('Mar 22 - Apr 21, 2025'!$A:$A,"LEASE-BH-F4-2025",'Mar 22 - Apr 21, 2025'!$O:$O),0)+IFERROR(SUMIF('Apr 22 - May 21, 2025'!$A:$A,"LEASE-BH-F4-2025",'Apr 22 - May 21, 2025'!$O:$O),0)+IFERROR(SUMIF('May 22 - Jun 21, 2025'!$A:$A,"LEASE-BH-F4-2025",'May 22 - Jun 21, 2025'!$O:$O),0)+IFERROR(SUMIF('Jun 22 - Jul 21, 2025'!$A:$A,"LEASE-BH-F4-2025",'Jun 22 - Jul 21, 2025'!$O:$O),0)+IFERROR(SUMIF('Jul 22 - Aug 21, 2025'!$A:$A,"LEASE-BH-F4-2025",'Jul 22 - Aug 21, 2025'!$O:$O),0)+IFERROR(SUMIF('Aug 22 - Sep 21, 2025'!$A:$A,"LEASE-BH-F4-2025",'Aug 22 - Sep 21, 2025'!$O:$O),0)+IFERROR(SUMIF('Sep 22 - Oct 21, 2025'!$A:$A,"LEASE-BH-F4-2025",'Sep 22 - Oct 21, 2025'!$O:$O),0)+IFERROR(SUMIF('Oct 22 - Nov 21, 2025'!$A:$A,"LEASE-BH-F4-2025",'Oct 22 - Nov 21, 2025'!$O:$O),0)</f>
        <v>0.0</v>
      </c>
      <c r="N5" s="3" t="n">
        <f>IFERROR(SUMIF('Dec 22 - Jan 21, 2025'!$A:$A,"LEASE-BH-F4-2025",'Dec 22 - Jan 21, 2025'!$P:$P),0)+IFERROR(SUMIF('Jan 22 - Feb 21, 2025'!$A:$A,"LEASE-BH-F4-2025",'Jan 22 - Feb 21, 2025'!$P:$P),0)+IFERROR(SUMIF('Feb 22 - Mar 21, 2025'!$A:$A,"LEASE-BH-F4-2025",'Feb 22 - Mar 21, 2025'!$P:$P),0)+IFERROR(SUMIF('Mar 22 - Apr 21, 2025'!$A:$A,"LEASE-BH-F4-2025",'Mar 22 - Apr 21, 2025'!$P:$P),0)+IFERROR(SUMIF('Apr 22 - May 21, 2025'!$A:$A,"LEASE-BH-F4-2025",'Apr 22 - May 21, 2025'!$P:$P),0)+IFERROR(SUMIF('May 22 - Jun 21, 2025'!$A:$A,"LEASE-BH-F4-2025",'May 22 - Jun 21, 2025'!$P:$P),0)+IFERROR(SUMIF('Jun 22 - Jul 21, 2025'!$A:$A,"LEASE-BH-F4-2025",'Jun 22 - Jul 21, 2025'!$P:$P),0)+IFERROR(SUMIF('Jul 22 - Aug 21, 2025'!$A:$A,"LEASE-BH-F4-2025",'Jul 22 - Aug 21, 2025'!$P:$P),0)+IFERROR(SUMIF('Aug 22 - Sep 21, 2025'!$A:$A,"LEASE-BH-F4-2025",'Aug 22 - Sep 21, 2025'!$P:$P),0)+IFERROR(SUMIF('Sep 22 - Oct 21, 2025'!$A:$A,"LEASE-BH-F4-2025",'Sep 22 - Oct 21, 2025'!$P:$P),0)+IFERROR(SUMIF('Oct 22 - Nov 21, 2025'!$A:$A,"LEASE-BH-F4-2025",'Oct 22 - Nov 21, 2025'!$P:$P),0)</f>
        <v>0.0</v>
      </c>
      <c r="O5" s="3" t="n">
        <f>IFERROR(SUMIF('Dec 22 - Jan 21, 2025'!$A:$A,"LEASE-BH-F4-2025",'Dec 22 - Jan 21, 2025'!$I:$I),0)</f>
        <v>0.0</v>
      </c>
      <c r="P5" s="3" t="n">
        <f>IFERROR(SUMIF('Oct 22 - Nov 21, 2025'!$A:$A,"LEASE-BH-F4-2025",'Oct 22 - Nov 21, 2025'!$K:$K),0)</f>
        <v>0.0</v>
      </c>
    </row>
    <row r="6">
      <c r="A6" t="inlineStr">
        <is>
          <t>LEASE-BH-F5-2025</t>
        </is>
      </c>
      <c r="B6" t="inlineStr">
        <is>
          <t>Flat 5 - 3 West Gate</t>
        </is>
      </c>
      <c r="C6" t="inlineStr">
        <is>
          <t>Achal (Delegated for Udayan)</t>
        </is>
      </c>
      <c r="D6" t="inlineStr">
        <is>
          <t>Mr Amos Blyth</t>
        </is>
      </c>
      <c r="E6" s="2" t="n">
        <v>45698.0</v>
      </c>
      <c r="F6" t="n">
        <v>10.0</v>
      </c>
      <c r="G6" s="3" t="n">
        <f>IFERROR(SUMIF('Dec 22 - Jan 21, 2025'!$A:$A,"LEASE-BH-F5-2025",'Dec 22 - Jan 21, 2025'!$G:$G),0)+IFERROR(SUMIF('Jan 22 - Feb 21, 2025'!$A:$A,"LEASE-BH-F5-2025",'Jan 22 - Feb 21, 2025'!$G:$G),0)+IFERROR(SUMIF('Feb 22 - Mar 21, 2025'!$A:$A,"LEASE-BH-F5-2025",'Feb 22 - Mar 21, 2025'!$G:$G),0)+IFERROR(SUMIF('Mar 22 - Apr 21, 2025'!$A:$A,"LEASE-BH-F5-2025",'Mar 22 - Apr 21, 2025'!$G:$G),0)+IFERROR(SUMIF('Apr 22 - May 21, 2025'!$A:$A,"LEASE-BH-F5-2025",'Apr 22 - May 21, 2025'!$G:$G),0)+IFERROR(SUMIF('May 22 - Jun 21, 2025'!$A:$A,"LEASE-BH-F5-2025",'May 22 - Jun 21, 2025'!$G:$G),0)+IFERROR(SUMIF('Jun 22 - Jul 21, 2025'!$A:$A,"LEASE-BH-F5-2025",'Jun 22 - Jul 21, 2025'!$G:$G),0)+IFERROR(SUMIF('Jul 22 - Aug 21, 2025'!$A:$A,"LEASE-BH-F5-2025",'Jul 22 - Aug 21, 2025'!$G:$G),0)+IFERROR(SUMIF('Aug 22 - Sep 21, 2025'!$A:$A,"LEASE-BH-F5-2025",'Aug 22 - Sep 21, 2025'!$G:$G),0)+IFERROR(SUMIF('Sep 22 - Oct 21, 2025'!$A:$A,"LEASE-BH-F5-2025",'Sep 22 - Oct 21, 2025'!$G:$G),0)+IFERROR(SUMIF('Oct 22 - Nov 21, 2025'!$A:$A,"LEASE-BH-F5-2025",'Oct 22 - Nov 21, 2025'!$G:$G),0)</f>
        <v>0.0</v>
      </c>
      <c r="H6" s="3" t="n">
        <f>IFERROR(SUMIF('Dec 22 - Jan 21, 2025'!$A:$A,"LEASE-BH-F5-2025",'Dec 22 - Jan 21, 2025'!$H:$H),0)+IFERROR(SUMIF('Jan 22 - Feb 21, 2025'!$A:$A,"LEASE-BH-F5-2025",'Jan 22 - Feb 21, 2025'!$H:$H),0)+IFERROR(SUMIF('Feb 22 - Mar 21, 2025'!$A:$A,"LEASE-BH-F5-2025",'Feb 22 - Mar 21, 2025'!$H:$H),0)+IFERROR(SUMIF('Mar 22 - Apr 21, 2025'!$A:$A,"LEASE-BH-F5-2025",'Mar 22 - Apr 21, 2025'!$H:$H),0)+IFERROR(SUMIF('Apr 22 - May 21, 2025'!$A:$A,"LEASE-BH-F5-2025",'Apr 22 - May 21, 2025'!$H:$H),0)+IFERROR(SUMIF('May 22 - Jun 21, 2025'!$A:$A,"LEASE-BH-F5-2025",'May 22 - Jun 21, 2025'!$H:$H),0)+IFERROR(SUMIF('Jun 22 - Jul 21, 2025'!$A:$A,"LEASE-BH-F5-2025",'Jun 22 - Jul 21, 2025'!$H:$H),0)+IFERROR(SUMIF('Jul 22 - Aug 21, 2025'!$A:$A,"LEASE-BH-F5-2025",'Jul 22 - Aug 21, 2025'!$H:$H),0)+IFERROR(SUMIF('Aug 22 - Sep 21, 2025'!$A:$A,"LEASE-BH-F5-2025",'Aug 22 - Sep 21, 2025'!$H:$H),0)+IFERROR(SUMIF('Sep 22 - Oct 21, 2025'!$A:$A,"LEASE-BH-F5-2025",'Sep 22 - Oct 21, 2025'!$H:$H),0)+IFERROR(SUMIF('Oct 22 - Nov 21, 2025'!$A:$A,"LEASE-BH-F5-2025",'Oct 22 - Nov 21, 2025'!$H:$H),0)</f>
        <v>0.0</v>
      </c>
      <c r="I6" s="3" t="n">
        <f>G6 - H6</f>
        <v>0.0</v>
      </c>
      <c r="J6" s="3" t="n">
        <f>IFERROR(SUMIF('Dec 22 - Jan 21, 2025'!$A:$A,"LEASE-BH-F5-2025",'Dec 22 - Jan 21, 2025'!$L:$L),0)+IFERROR(SUMIF('Jan 22 - Feb 21, 2025'!$A:$A,"LEASE-BH-F5-2025",'Jan 22 - Feb 21, 2025'!$L:$L),0)+IFERROR(SUMIF('Feb 22 - Mar 21, 2025'!$A:$A,"LEASE-BH-F5-2025",'Feb 22 - Mar 21, 2025'!$L:$L),0)+IFERROR(SUMIF('Mar 22 - Apr 21, 2025'!$A:$A,"LEASE-BH-F5-2025",'Mar 22 - Apr 21, 2025'!$L:$L),0)+IFERROR(SUMIF('Apr 22 - May 21, 2025'!$A:$A,"LEASE-BH-F5-2025",'Apr 22 - May 21, 2025'!$L:$L),0)+IFERROR(SUMIF('May 22 - Jun 21, 2025'!$A:$A,"LEASE-BH-F5-2025",'May 22 - Jun 21, 2025'!$L:$L),0)+IFERROR(SUMIF('Jun 22 - Jul 21, 2025'!$A:$A,"LEASE-BH-F5-2025",'Jun 22 - Jul 21, 2025'!$L:$L),0)+IFERROR(SUMIF('Jul 22 - Aug 21, 2025'!$A:$A,"LEASE-BH-F5-2025",'Jul 22 - Aug 21, 2025'!$L:$L),0)+IFERROR(SUMIF('Aug 22 - Sep 21, 2025'!$A:$A,"LEASE-BH-F5-2025",'Aug 22 - Sep 21, 2025'!$L:$L),0)+IFERROR(SUMIF('Sep 22 - Oct 21, 2025'!$A:$A,"LEASE-BH-F5-2025",'Sep 22 - Oct 21, 2025'!$L:$L),0)+IFERROR(SUMIF('Oct 22 - Nov 21, 2025'!$A:$A,"LEASE-BH-F5-2025",'Oct 22 - Nov 21, 2025'!$L:$L),0)</f>
        <v>0.0</v>
      </c>
      <c r="K6" s="3" t="n">
        <f>IFERROR(SUMIF('Dec 22 - Jan 21, 2025'!$A:$A,"LEASE-BH-F5-2025",'Dec 22 - Jan 21, 2025'!$M:$M),0)+IFERROR(SUMIF('Jan 22 - Feb 21, 2025'!$A:$A,"LEASE-BH-F5-2025",'Jan 22 - Feb 21, 2025'!$M:$M),0)+IFERROR(SUMIF('Feb 22 - Mar 21, 2025'!$A:$A,"LEASE-BH-F5-2025",'Feb 22 - Mar 21, 2025'!$M:$M),0)+IFERROR(SUMIF('Mar 22 - Apr 21, 2025'!$A:$A,"LEASE-BH-F5-2025",'Mar 22 - Apr 21, 2025'!$M:$M),0)+IFERROR(SUMIF('Apr 22 - May 21, 2025'!$A:$A,"LEASE-BH-F5-2025",'Apr 22 - May 21, 2025'!$M:$M),0)+IFERROR(SUMIF('May 22 - Jun 21, 2025'!$A:$A,"LEASE-BH-F5-2025",'May 22 - Jun 21, 2025'!$M:$M),0)+IFERROR(SUMIF('Jun 22 - Jul 21, 2025'!$A:$A,"LEASE-BH-F5-2025",'Jun 22 - Jul 21, 2025'!$M:$M),0)+IFERROR(SUMIF('Jul 22 - Aug 21, 2025'!$A:$A,"LEASE-BH-F5-2025",'Jul 22 - Aug 21, 2025'!$M:$M),0)+IFERROR(SUMIF('Aug 22 - Sep 21, 2025'!$A:$A,"LEASE-BH-F5-2025",'Aug 22 - Sep 21, 2025'!$M:$M),0)+IFERROR(SUMIF('Sep 22 - Oct 21, 2025'!$A:$A,"LEASE-BH-F5-2025",'Sep 22 - Oct 21, 2025'!$M:$M),0)+IFERROR(SUMIF('Oct 22 - Nov 21, 2025'!$A:$A,"LEASE-BH-F5-2025",'Oct 22 - Nov 21, 2025'!$M:$M),0)</f>
        <v>0.0</v>
      </c>
      <c r="L6" s="3" t="n">
        <f>IFERROR(SUMIF('Dec 22 - Jan 21, 2025'!$A:$A,"LEASE-BH-F5-2025",'Dec 22 - Jan 21, 2025'!$N:$N),0)+IFERROR(SUMIF('Jan 22 - Feb 21, 2025'!$A:$A,"LEASE-BH-F5-2025",'Jan 22 - Feb 21, 2025'!$N:$N),0)+IFERROR(SUMIF('Feb 22 - Mar 21, 2025'!$A:$A,"LEASE-BH-F5-2025",'Feb 22 - Mar 21, 2025'!$N:$N),0)+IFERROR(SUMIF('Mar 22 - Apr 21, 2025'!$A:$A,"LEASE-BH-F5-2025",'Mar 22 - Apr 21, 2025'!$N:$N),0)+IFERROR(SUMIF('Apr 22 - May 21, 2025'!$A:$A,"LEASE-BH-F5-2025",'Apr 22 - May 21, 2025'!$N:$N),0)+IFERROR(SUMIF('May 22 - Jun 21, 2025'!$A:$A,"LEASE-BH-F5-2025",'May 22 - Jun 21, 2025'!$N:$N),0)+IFERROR(SUMIF('Jun 22 - Jul 21, 2025'!$A:$A,"LEASE-BH-F5-2025",'Jun 22 - Jul 21, 2025'!$N:$N),0)+IFERROR(SUMIF('Jul 22 - Aug 21, 2025'!$A:$A,"LEASE-BH-F5-2025",'Jul 22 - Aug 21, 2025'!$N:$N),0)+IFERROR(SUMIF('Aug 22 - Sep 21, 2025'!$A:$A,"LEASE-BH-F5-2025",'Aug 22 - Sep 21, 2025'!$N:$N),0)+IFERROR(SUMIF('Sep 22 - Oct 21, 2025'!$A:$A,"LEASE-BH-F5-2025",'Sep 22 - Oct 21, 2025'!$N:$N),0)+IFERROR(SUMIF('Oct 22 - Nov 21, 2025'!$A:$A,"LEASE-BH-F5-2025",'Oct 22 - Nov 21, 2025'!$N:$N),0)</f>
        <v>0.0</v>
      </c>
      <c r="M6" s="3" t="n">
        <f>IFERROR(SUMIF('Dec 22 - Jan 21, 2025'!$A:$A,"LEASE-BH-F5-2025",'Dec 22 - Jan 21, 2025'!$O:$O),0)+IFERROR(SUMIF('Jan 22 - Feb 21, 2025'!$A:$A,"LEASE-BH-F5-2025",'Jan 22 - Feb 21, 2025'!$O:$O),0)+IFERROR(SUMIF('Feb 22 - Mar 21, 2025'!$A:$A,"LEASE-BH-F5-2025",'Feb 22 - Mar 21, 2025'!$O:$O),0)+IFERROR(SUMIF('Mar 22 - Apr 21, 2025'!$A:$A,"LEASE-BH-F5-2025",'Mar 22 - Apr 21, 2025'!$O:$O),0)+IFERROR(SUMIF('Apr 22 - May 21, 2025'!$A:$A,"LEASE-BH-F5-2025",'Apr 22 - May 21, 2025'!$O:$O),0)+IFERROR(SUMIF('May 22 - Jun 21, 2025'!$A:$A,"LEASE-BH-F5-2025",'May 22 - Jun 21, 2025'!$O:$O),0)+IFERROR(SUMIF('Jun 22 - Jul 21, 2025'!$A:$A,"LEASE-BH-F5-2025",'Jun 22 - Jul 21, 2025'!$O:$O),0)+IFERROR(SUMIF('Jul 22 - Aug 21, 2025'!$A:$A,"LEASE-BH-F5-2025",'Jul 22 - Aug 21, 2025'!$O:$O),0)+IFERROR(SUMIF('Aug 22 - Sep 21, 2025'!$A:$A,"LEASE-BH-F5-2025",'Aug 22 - Sep 21, 2025'!$O:$O),0)+IFERROR(SUMIF('Sep 22 - Oct 21, 2025'!$A:$A,"LEASE-BH-F5-2025",'Sep 22 - Oct 21, 2025'!$O:$O),0)+IFERROR(SUMIF('Oct 22 - Nov 21, 2025'!$A:$A,"LEASE-BH-F5-2025",'Oct 22 - Nov 21, 2025'!$O:$O),0)</f>
        <v>0.0</v>
      </c>
      <c r="N6" s="3" t="n">
        <f>IFERROR(SUMIF('Dec 22 - Jan 21, 2025'!$A:$A,"LEASE-BH-F5-2025",'Dec 22 - Jan 21, 2025'!$P:$P),0)+IFERROR(SUMIF('Jan 22 - Feb 21, 2025'!$A:$A,"LEASE-BH-F5-2025",'Jan 22 - Feb 21, 2025'!$P:$P),0)+IFERROR(SUMIF('Feb 22 - Mar 21, 2025'!$A:$A,"LEASE-BH-F5-2025",'Feb 22 - Mar 21, 2025'!$P:$P),0)+IFERROR(SUMIF('Mar 22 - Apr 21, 2025'!$A:$A,"LEASE-BH-F5-2025",'Mar 22 - Apr 21, 2025'!$P:$P),0)+IFERROR(SUMIF('Apr 22 - May 21, 2025'!$A:$A,"LEASE-BH-F5-2025",'Apr 22 - May 21, 2025'!$P:$P),0)+IFERROR(SUMIF('May 22 - Jun 21, 2025'!$A:$A,"LEASE-BH-F5-2025",'May 22 - Jun 21, 2025'!$P:$P),0)+IFERROR(SUMIF('Jun 22 - Jul 21, 2025'!$A:$A,"LEASE-BH-F5-2025",'Jun 22 - Jul 21, 2025'!$P:$P),0)+IFERROR(SUMIF('Jul 22 - Aug 21, 2025'!$A:$A,"LEASE-BH-F5-2025",'Jul 22 - Aug 21, 2025'!$P:$P),0)+IFERROR(SUMIF('Aug 22 - Sep 21, 2025'!$A:$A,"LEASE-BH-F5-2025",'Aug 22 - Sep 21, 2025'!$P:$P),0)+IFERROR(SUMIF('Sep 22 - Oct 21, 2025'!$A:$A,"LEASE-BH-F5-2025",'Sep 22 - Oct 21, 2025'!$P:$P),0)+IFERROR(SUMIF('Oct 22 - Nov 21, 2025'!$A:$A,"LEASE-BH-F5-2025",'Oct 22 - Nov 21, 2025'!$P:$P),0)</f>
        <v>0.0</v>
      </c>
      <c r="O6" s="3" t="n">
        <f>IFERROR(SUMIF('Dec 22 - Jan 21, 2025'!$A:$A,"LEASE-BH-F5-2025",'Dec 22 - Jan 21, 2025'!$I:$I),0)</f>
        <v>0.0</v>
      </c>
      <c r="P6" s="3" t="n">
        <f>IFERROR(SUMIF('Oct 22 - Nov 21, 2025'!$A:$A,"LEASE-BH-F5-2025",'Oct 22 - Nov 21, 2025'!$K:$K),0)</f>
        <v>0.0</v>
      </c>
    </row>
    <row r="7">
      <c r="A7" t="inlineStr">
        <is>
          <t>LEASE-BH-F6-2025</t>
        </is>
      </c>
      <c r="B7" t="inlineStr">
        <is>
          <t>Flat 6 - 3 West Gate</t>
        </is>
      </c>
      <c r="C7" t="inlineStr">
        <is>
          <t>Achal (Delegated for Udayan)</t>
        </is>
      </c>
      <c r="D7" t="inlineStr">
        <is>
          <t>Miss Shelley Lees</t>
        </is>
      </c>
      <c r="E7" s="2" t="n">
        <v>45744.0</v>
      </c>
      <c r="F7" t="n">
        <v>28.0</v>
      </c>
      <c r="G7" s="3" t="n">
        <f>IFERROR(SUMIF('Dec 22 - Jan 21, 2025'!$A:$A,"LEASE-BH-F6-2025",'Dec 22 - Jan 21, 2025'!$G:$G),0)+IFERROR(SUMIF('Jan 22 - Feb 21, 2025'!$A:$A,"LEASE-BH-F6-2025",'Jan 22 - Feb 21, 2025'!$G:$G),0)+IFERROR(SUMIF('Feb 22 - Mar 21, 2025'!$A:$A,"LEASE-BH-F6-2025",'Feb 22 - Mar 21, 2025'!$G:$G),0)+IFERROR(SUMIF('Mar 22 - Apr 21, 2025'!$A:$A,"LEASE-BH-F6-2025",'Mar 22 - Apr 21, 2025'!$G:$G),0)+IFERROR(SUMIF('Apr 22 - May 21, 2025'!$A:$A,"LEASE-BH-F6-2025",'Apr 22 - May 21, 2025'!$G:$G),0)+IFERROR(SUMIF('May 22 - Jun 21, 2025'!$A:$A,"LEASE-BH-F6-2025",'May 22 - Jun 21, 2025'!$G:$G),0)+IFERROR(SUMIF('Jun 22 - Jul 21, 2025'!$A:$A,"LEASE-BH-F6-2025",'Jun 22 - Jul 21, 2025'!$G:$G),0)+IFERROR(SUMIF('Jul 22 - Aug 21, 2025'!$A:$A,"LEASE-BH-F6-2025",'Jul 22 - Aug 21, 2025'!$G:$G),0)+IFERROR(SUMIF('Aug 22 - Sep 21, 2025'!$A:$A,"LEASE-BH-F6-2025",'Aug 22 - Sep 21, 2025'!$G:$G),0)+IFERROR(SUMIF('Sep 22 - Oct 21, 2025'!$A:$A,"LEASE-BH-F6-2025",'Sep 22 - Oct 21, 2025'!$G:$G),0)+IFERROR(SUMIF('Oct 22 - Nov 21, 2025'!$A:$A,"LEASE-BH-F6-2025",'Oct 22 - Nov 21, 2025'!$G:$G),0)</f>
        <v>0.0</v>
      </c>
      <c r="H7" s="3" t="n">
        <f>IFERROR(SUMIF('Dec 22 - Jan 21, 2025'!$A:$A,"LEASE-BH-F6-2025",'Dec 22 - Jan 21, 2025'!$H:$H),0)+IFERROR(SUMIF('Jan 22 - Feb 21, 2025'!$A:$A,"LEASE-BH-F6-2025",'Jan 22 - Feb 21, 2025'!$H:$H),0)+IFERROR(SUMIF('Feb 22 - Mar 21, 2025'!$A:$A,"LEASE-BH-F6-2025",'Feb 22 - Mar 21, 2025'!$H:$H),0)+IFERROR(SUMIF('Mar 22 - Apr 21, 2025'!$A:$A,"LEASE-BH-F6-2025",'Mar 22 - Apr 21, 2025'!$H:$H),0)+IFERROR(SUMIF('Apr 22 - May 21, 2025'!$A:$A,"LEASE-BH-F6-2025",'Apr 22 - May 21, 2025'!$H:$H),0)+IFERROR(SUMIF('May 22 - Jun 21, 2025'!$A:$A,"LEASE-BH-F6-2025",'May 22 - Jun 21, 2025'!$H:$H),0)+IFERROR(SUMIF('Jun 22 - Jul 21, 2025'!$A:$A,"LEASE-BH-F6-2025",'Jun 22 - Jul 21, 2025'!$H:$H),0)+IFERROR(SUMIF('Jul 22 - Aug 21, 2025'!$A:$A,"LEASE-BH-F6-2025",'Jul 22 - Aug 21, 2025'!$H:$H),0)+IFERROR(SUMIF('Aug 22 - Sep 21, 2025'!$A:$A,"LEASE-BH-F6-2025",'Aug 22 - Sep 21, 2025'!$H:$H),0)+IFERROR(SUMIF('Sep 22 - Oct 21, 2025'!$A:$A,"LEASE-BH-F6-2025",'Sep 22 - Oct 21, 2025'!$H:$H),0)+IFERROR(SUMIF('Oct 22 - Nov 21, 2025'!$A:$A,"LEASE-BH-F6-2025",'Oct 22 - Nov 21, 2025'!$H:$H),0)</f>
        <v>0.0</v>
      </c>
      <c r="I7" s="3" t="n">
        <f>G7 - H7</f>
        <v>0.0</v>
      </c>
      <c r="J7" s="3" t="n">
        <f>IFERROR(SUMIF('Dec 22 - Jan 21, 2025'!$A:$A,"LEASE-BH-F6-2025",'Dec 22 - Jan 21, 2025'!$L:$L),0)+IFERROR(SUMIF('Jan 22 - Feb 21, 2025'!$A:$A,"LEASE-BH-F6-2025",'Jan 22 - Feb 21, 2025'!$L:$L),0)+IFERROR(SUMIF('Feb 22 - Mar 21, 2025'!$A:$A,"LEASE-BH-F6-2025",'Feb 22 - Mar 21, 2025'!$L:$L),0)+IFERROR(SUMIF('Mar 22 - Apr 21, 2025'!$A:$A,"LEASE-BH-F6-2025",'Mar 22 - Apr 21, 2025'!$L:$L),0)+IFERROR(SUMIF('Apr 22 - May 21, 2025'!$A:$A,"LEASE-BH-F6-2025",'Apr 22 - May 21, 2025'!$L:$L),0)+IFERROR(SUMIF('May 22 - Jun 21, 2025'!$A:$A,"LEASE-BH-F6-2025",'May 22 - Jun 21, 2025'!$L:$L),0)+IFERROR(SUMIF('Jun 22 - Jul 21, 2025'!$A:$A,"LEASE-BH-F6-2025",'Jun 22 - Jul 21, 2025'!$L:$L),0)+IFERROR(SUMIF('Jul 22 - Aug 21, 2025'!$A:$A,"LEASE-BH-F6-2025",'Jul 22 - Aug 21, 2025'!$L:$L),0)+IFERROR(SUMIF('Aug 22 - Sep 21, 2025'!$A:$A,"LEASE-BH-F6-2025",'Aug 22 - Sep 21, 2025'!$L:$L),0)+IFERROR(SUMIF('Sep 22 - Oct 21, 2025'!$A:$A,"LEASE-BH-F6-2025",'Sep 22 - Oct 21, 2025'!$L:$L),0)+IFERROR(SUMIF('Oct 22 - Nov 21, 2025'!$A:$A,"LEASE-BH-F6-2025",'Oct 22 - Nov 21, 2025'!$L:$L),0)</f>
        <v>0.0</v>
      </c>
      <c r="K7" s="3" t="n">
        <f>IFERROR(SUMIF('Dec 22 - Jan 21, 2025'!$A:$A,"LEASE-BH-F6-2025",'Dec 22 - Jan 21, 2025'!$M:$M),0)+IFERROR(SUMIF('Jan 22 - Feb 21, 2025'!$A:$A,"LEASE-BH-F6-2025",'Jan 22 - Feb 21, 2025'!$M:$M),0)+IFERROR(SUMIF('Feb 22 - Mar 21, 2025'!$A:$A,"LEASE-BH-F6-2025",'Feb 22 - Mar 21, 2025'!$M:$M),0)+IFERROR(SUMIF('Mar 22 - Apr 21, 2025'!$A:$A,"LEASE-BH-F6-2025",'Mar 22 - Apr 21, 2025'!$M:$M),0)+IFERROR(SUMIF('Apr 22 - May 21, 2025'!$A:$A,"LEASE-BH-F6-2025",'Apr 22 - May 21, 2025'!$M:$M),0)+IFERROR(SUMIF('May 22 - Jun 21, 2025'!$A:$A,"LEASE-BH-F6-2025",'May 22 - Jun 21, 2025'!$M:$M),0)+IFERROR(SUMIF('Jun 22 - Jul 21, 2025'!$A:$A,"LEASE-BH-F6-2025",'Jun 22 - Jul 21, 2025'!$M:$M),0)+IFERROR(SUMIF('Jul 22 - Aug 21, 2025'!$A:$A,"LEASE-BH-F6-2025",'Jul 22 - Aug 21, 2025'!$M:$M),0)+IFERROR(SUMIF('Aug 22 - Sep 21, 2025'!$A:$A,"LEASE-BH-F6-2025",'Aug 22 - Sep 21, 2025'!$M:$M),0)+IFERROR(SUMIF('Sep 22 - Oct 21, 2025'!$A:$A,"LEASE-BH-F6-2025",'Sep 22 - Oct 21, 2025'!$M:$M),0)+IFERROR(SUMIF('Oct 22 - Nov 21, 2025'!$A:$A,"LEASE-BH-F6-2025",'Oct 22 - Nov 21, 2025'!$M:$M),0)</f>
        <v>0.0</v>
      </c>
      <c r="L7" s="3" t="n">
        <f>IFERROR(SUMIF('Dec 22 - Jan 21, 2025'!$A:$A,"LEASE-BH-F6-2025",'Dec 22 - Jan 21, 2025'!$N:$N),0)+IFERROR(SUMIF('Jan 22 - Feb 21, 2025'!$A:$A,"LEASE-BH-F6-2025",'Jan 22 - Feb 21, 2025'!$N:$N),0)+IFERROR(SUMIF('Feb 22 - Mar 21, 2025'!$A:$A,"LEASE-BH-F6-2025",'Feb 22 - Mar 21, 2025'!$N:$N),0)+IFERROR(SUMIF('Mar 22 - Apr 21, 2025'!$A:$A,"LEASE-BH-F6-2025",'Mar 22 - Apr 21, 2025'!$N:$N),0)+IFERROR(SUMIF('Apr 22 - May 21, 2025'!$A:$A,"LEASE-BH-F6-2025",'Apr 22 - May 21, 2025'!$N:$N),0)+IFERROR(SUMIF('May 22 - Jun 21, 2025'!$A:$A,"LEASE-BH-F6-2025",'May 22 - Jun 21, 2025'!$N:$N),0)+IFERROR(SUMIF('Jun 22 - Jul 21, 2025'!$A:$A,"LEASE-BH-F6-2025",'Jun 22 - Jul 21, 2025'!$N:$N),0)+IFERROR(SUMIF('Jul 22 - Aug 21, 2025'!$A:$A,"LEASE-BH-F6-2025",'Jul 22 - Aug 21, 2025'!$N:$N),0)+IFERROR(SUMIF('Aug 22 - Sep 21, 2025'!$A:$A,"LEASE-BH-F6-2025",'Aug 22 - Sep 21, 2025'!$N:$N),0)+IFERROR(SUMIF('Sep 22 - Oct 21, 2025'!$A:$A,"LEASE-BH-F6-2025",'Sep 22 - Oct 21, 2025'!$N:$N),0)+IFERROR(SUMIF('Oct 22 - Nov 21, 2025'!$A:$A,"LEASE-BH-F6-2025",'Oct 22 - Nov 21, 2025'!$N:$N),0)</f>
        <v>0.0</v>
      </c>
      <c r="M7" s="3" t="n">
        <f>IFERROR(SUMIF('Dec 22 - Jan 21, 2025'!$A:$A,"LEASE-BH-F6-2025",'Dec 22 - Jan 21, 2025'!$O:$O),0)+IFERROR(SUMIF('Jan 22 - Feb 21, 2025'!$A:$A,"LEASE-BH-F6-2025",'Jan 22 - Feb 21, 2025'!$O:$O),0)+IFERROR(SUMIF('Feb 22 - Mar 21, 2025'!$A:$A,"LEASE-BH-F6-2025",'Feb 22 - Mar 21, 2025'!$O:$O),0)+IFERROR(SUMIF('Mar 22 - Apr 21, 2025'!$A:$A,"LEASE-BH-F6-2025",'Mar 22 - Apr 21, 2025'!$O:$O),0)+IFERROR(SUMIF('Apr 22 - May 21, 2025'!$A:$A,"LEASE-BH-F6-2025",'Apr 22 - May 21, 2025'!$O:$O),0)+IFERROR(SUMIF('May 22 - Jun 21, 2025'!$A:$A,"LEASE-BH-F6-2025",'May 22 - Jun 21, 2025'!$O:$O),0)+IFERROR(SUMIF('Jun 22 - Jul 21, 2025'!$A:$A,"LEASE-BH-F6-2025",'Jun 22 - Jul 21, 2025'!$O:$O),0)+IFERROR(SUMIF('Jul 22 - Aug 21, 2025'!$A:$A,"LEASE-BH-F6-2025",'Jul 22 - Aug 21, 2025'!$O:$O),0)+IFERROR(SUMIF('Aug 22 - Sep 21, 2025'!$A:$A,"LEASE-BH-F6-2025",'Aug 22 - Sep 21, 2025'!$O:$O),0)+IFERROR(SUMIF('Sep 22 - Oct 21, 2025'!$A:$A,"LEASE-BH-F6-2025",'Sep 22 - Oct 21, 2025'!$O:$O),0)+IFERROR(SUMIF('Oct 22 - Nov 21, 2025'!$A:$A,"LEASE-BH-F6-2025",'Oct 22 - Nov 21, 2025'!$O:$O),0)</f>
        <v>0.0</v>
      </c>
      <c r="N7" s="3" t="n">
        <f>IFERROR(SUMIF('Dec 22 - Jan 21, 2025'!$A:$A,"LEASE-BH-F6-2025",'Dec 22 - Jan 21, 2025'!$P:$P),0)+IFERROR(SUMIF('Jan 22 - Feb 21, 2025'!$A:$A,"LEASE-BH-F6-2025",'Jan 22 - Feb 21, 2025'!$P:$P),0)+IFERROR(SUMIF('Feb 22 - Mar 21, 2025'!$A:$A,"LEASE-BH-F6-2025",'Feb 22 - Mar 21, 2025'!$P:$P),0)+IFERROR(SUMIF('Mar 22 - Apr 21, 2025'!$A:$A,"LEASE-BH-F6-2025",'Mar 22 - Apr 21, 2025'!$P:$P),0)+IFERROR(SUMIF('Apr 22 - May 21, 2025'!$A:$A,"LEASE-BH-F6-2025",'Apr 22 - May 21, 2025'!$P:$P),0)+IFERROR(SUMIF('May 22 - Jun 21, 2025'!$A:$A,"LEASE-BH-F6-2025",'May 22 - Jun 21, 2025'!$P:$P),0)+IFERROR(SUMIF('Jun 22 - Jul 21, 2025'!$A:$A,"LEASE-BH-F6-2025",'Jun 22 - Jul 21, 2025'!$P:$P),0)+IFERROR(SUMIF('Jul 22 - Aug 21, 2025'!$A:$A,"LEASE-BH-F6-2025",'Jul 22 - Aug 21, 2025'!$P:$P),0)+IFERROR(SUMIF('Aug 22 - Sep 21, 2025'!$A:$A,"LEASE-BH-F6-2025",'Aug 22 - Sep 21, 2025'!$P:$P),0)+IFERROR(SUMIF('Sep 22 - Oct 21, 2025'!$A:$A,"LEASE-BH-F6-2025",'Sep 22 - Oct 21, 2025'!$P:$P),0)+IFERROR(SUMIF('Oct 22 - Nov 21, 2025'!$A:$A,"LEASE-BH-F6-2025",'Oct 22 - Nov 21, 2025'!$P:$P),0)</f>
        <v>0.0</v>
      </c>
      <c r="O7" s="3" t="n">
        <f>IFERROR(SUMIF('Dec 22 - Jan 21, 2025'!$A:$A,"LEASE-BH-F6-2025",'Dec 22 - Jan 21, 2025'!$I:$I),0)</f>
        <v>0.0</v>
      </c>
      <c r="P7" s="3" t="n">
        <f>IFERROR(SUMIF('Oct 22 - Nov 21, 2025'!$A:$A,"LEASE-BH-F6-2025",'Oct 22 - Nov 21, 2025'!$K:$K),0)</f>
        <v>0.0</v>
      </c>
    </row>
    <row r="8">
      <c r="A8" t="inlineStr">
        <is>
          <t>LEASE-BH-F7-2025</t>
        </is>
      </c>
      <c r="B8" t="inlineStr">
        <is>
          <t>Flat 7 - 3 West Gate</t>
        </is>
      </c>
      <c r="C8" t="inlineStr">
        <is>
          <t>Achal (Delegated for Udayan)</t>
        </is>
      </c>
      <c r="D8" t="inlineStr">
        <is>
          <t>Mr Chun Hung Tang</t>
        </is>
      </c>
      <c r="E8" s="2" t="n">
        <v>45707.0</v>
      </c>
      <c r="F8" t="n">
        <v>19.0</v>
      </c>
      <c r="G8" s="3" t="n">
        <f>IFERROR(SUMIF('Dec 22 - Jan 21, 2025'!$A:$A,"LEASE-BH-F7-2025",'Dec 22 - Jan 21, 2025'!$G:$G),0)+IFERROR(SUMIF('Jan 22 - Feb 21, 2025'!$A:$A,"LEASE-BH-F7-2025",'Jan 22 - Feb 21, 2025'!$G:$G),0)+IFERROR(SUMIF('Feb 22 - Mar 21, 2025'!$A:$A,"LEASE-BH-F7-2025",'Feb 22 - Mar 21, 2025'!$G:$G),0)+IFERROR(SUMIF('Mar 22 - Apr 21, 2025'!$A:$A,"LEASE-BH-F7-2025",'Mar 22 - Apr 21, 2025'!$G:$G),0)+IFERROR(SUMIF('Apr 22 - May 21, 2025'!$A:$A,"LEASE-BH-F7-2025",'Apr 22 - May 21, 2025'!$G:$G),0)+IFERROR(SUMIF('May 22 - Jun 21, 2025'!$A:$A,"LEASE-BH-F7-2025",'May 22 - Jun 21, 2025'!$G:$G),0)+IFERROR(SUMIF('Jun 22 - Jul 21, 2025'!$A:$A,"LEASE-BH-F7-2025",'Jun 22 - Jul 21, 2025'!$G:$G),0)+IFERROR(SUMIF('Jul 22 - Aug 21, 2025'!$A:$A,"LEASE-BH-F7-2025",'Jul 22 - Aug 21, 2025'!$G:$G),0)+IFERROR(SUMIF('Aug 22 - Sep 21, 2025'!$A:$A,"LEASE-BH-F7-2025",'Aug 22 - Sep 21, 2025'!$G:$G),0)+IFERROR(SUMIF('Sep 22 - Oct 21, 2025'!$A:$A,"LEASE-BH-F7-2025",'Sep 22 - Oct 21, 2025'!$G:$G),0)+IFERROR(SUMIF('Oct 22 - Nov 21, 2025'!$A:$A,"LEASE-BH-F7-2025",'Oct 22 - Nov 21, 2025'!$G:$G),0)</f>
        <v>0.0</v>
      </c>
      <c r="H8" s="3" t="n">
        <f>IFERROR(SUMIF('Dec 22 - Jan 21, 2025'!$A:$A,"LEASE-BH-F7-2025",'Dec 22 - Jan 21, 2025'!$H:$H),0)+IFERROR(SUMIF('Jan 22 - Feb 21, 2025'!$A:$A,"LEASE-BH-F7-2025",'Jan 22 - Feb 21, 2025'!$H:$H),0)+IFERROR(SUMIF('Feb 22 - Mar 21, 2025'!$A:$A,"LEASE-BH-F7-2025",'Feb 22 - Mar 21, 2025'!$H:$H),0)+IFERROR(SUMIF('Mar 22 - Apr 21, 2025'!$A:$A,"LEASE-BH-F7-2025",'Mar 22 - Apr 21, 2025'!$H:$H),0)+IFERROR(SUMIF('Apr 22 - May 21, 2025'!$A:$A,"LEASE-BH-F7-2025",'Apr 22 - May 21, 2025'!$H:$H),0)+IFERROR(SUMIF('May 22 - Jun 21, 2025'!$A:$A,"LEASE-BH-F7-2025",'May 22 - Jun 21, 2025'!$H:$H),0)+IFERROR(SUMIF('Jun 22 - Jul 21, 2025'!$A:$A,"LEASE-BH-F7-2025",'Jun 22 - Jul 21, 2025'!$H:$H),0)+IFERROR(SUMIF('Jul 22 - Aug 21, 2025'!$A:$A,"LEASE-BH-F7-2025",'Jul 22 - Aug 21, 2025'!$H:$H),0)+IFERROR(SUMIF('Aug 22 - Sep 21, 2025'!$A:$A,"LEASE-BH-F7-2025",'Aug 22 - Sep 21, 2025'!$H:$H),0)+IFERROR(SUMIF('Sep 22 - Oct 21, 2025'!$A:$A,"LEASE-BH-F7-2025",'Sep 22 - Oct 21, 2025'!$H:$H),0)+IFERROR(SUMIF('Oct 22 - Nov 21, 2025'!$A:$A,"LEASE-BH-F7-2025",'Oct 22 - Nov 21, 2025'!$H:$H),0)</f>
        <v>0.0</v>
      </c>
      <c r="I8" s="3" t="n">
        <f>G8 - H8</f>
        <v>0.0</v>
      </c>
      <c r="J8" s="3" t="n">
        <f>IFERROR(SUMIF('Dec 22 - Jan 21, 2025'!$A:$A,"LEASE-BH-F7-2025",'Dec 22 - Jan 21, 2025'!$L:$L),0)+IFERROR(SUMIF('Jan 22 - Feb 21, 2025'!$A:$A,"LEASE-BH-F7-2025",'Jan 22 - Feb 21, 2025'!$L:$L),0)+IFERROR(SUMIF('Feb 22 - Mar 21, 2025'!$A:$A,"LEASE-BH-F7-2025",'Feb 22 - Mar 21, 2025'!$L:$L),0)+IFERROR(SUMIF('Mar 22 - Apr 21, 2025'!$A:$A,"LEASE-BH-F7-2025",'Mar 22 - Apr 21, 2025'!$L:$L),0)+IFERROR(SUMIF('Apr 22 - May 21, 2025'!$A:$A,"LEASE-BH-F7-2025",'Apr 22 - May 21, 2025'!$L:$L),0)+IFERROR(SUMIF('May 22 - Jun 21, 2025'!$A:$A,"LEASE-BH-F7-2025",'May 22 - Jun 21, 2025'!$L:$L),0)+IFERROR(SUMIF('Jun 22 - Jul 21, 2025'!$A:$A,"LEASE-BH-F7-2025",'Jun 22 - Jul 21, 2025'!$L:$L),0)+IFERROR(SUMIF('Jul 22 - Aug 21, 2025'!$A:$A,"LEASE-BH-F7-2025",'Jul 22 - Aug 21, 2025'!$L:$L),0)+IFERROR(SUMIF('Aug 22 - Sep 21, 2025'!$A:$A,"LEASE-BH-F7-2025",'Aug 22 - Sep 21, 2025'!$L:$L),0)+IFERROR(SUMIF('Sep 22 - Oct 21, 2025'!$A:$A,"LEASE-BH-F7-2025",'Sep 22 - Oct 21, 2025'!$L:$L),0)+IFERROR(SUMIF('Oct 22 - Nov 21, 2025'!$A:$A,"LEASE-BH-F7-2025",'Oct 22 - Nov 21, 2025'!$L:$L),0)</f>
        <v>0.0</v>
      </c>
      <c r="K8" s="3" t="n">
        <f>IFERROR(SUMIF('Dec 22 - Jan 21, 2025'!$A:$A,"LEASE-BH-F7-2025",'Dec 22 - Jan 21, 2025'!$M:$M),0)+IFERROR(SUMIF('Jan 22 - Feb 21, 2025'!$A:$A,"LEASE-BH-F7-2025",'Jan 22 - Feb 21, 2025'!$M:$M),0)+IFERROR(SUMIF('Feb 22 - Mar 21, 2025'!$A:$A,"LEASE-BH-F7-2025",'Feb 22 - Mar 21, 2025'!$M:$M),0)+IFERROR(SUMIF('Mar 22 - Apr 21, 2025'!$A:$A,"LEASE-BH-F7-2025",'Mar 22 - Apr 21, 2025'!$M:$M),0)+IFERROR(SUMIF('Apr 22 - May 21, 2025'!$A:$A,"LEASE-BH-F7-2025",'Apr 22 - May 21, 2025'!$M:$M),0)+IFERROR(SUMIF('May 22 - Jun 21, 2025'!$A:$A,"LEASE-BH-F7-2025",'May 22 - Jun 21, 2025'!$M:$M),0)+IFERROR(SUMIF('Jun 22 - Jul 21, 2025'!$A:$A,"LEASE-BH-F7-2025",'Jun 22 - Jul 21, 2025'!$M:$M),0)+IFERROR(SUMIF('Jul 22 - Aug 21, 2025'!$A:$A,"LEASE-BH-F7-2025",'Jul 22 - Aug 21, 2025'!$M:$M),0)+IFERROR(SUMIF('Aug 22 - Sep 21, 2025'!$A:$A,"LEASE-BH-F7-2025",'Aug 22 - Sep 21, 2025'!$M:$M),0)+IFERROR(SUMIF('Sep 22 - Oct 21, 2025'!$A:$A,"LEASE-BH-F7-2025",'Sep 22 - Oct 21, 2025'!$M:$M),0)+IFERROR(SUMIF('Oct 22 - Nov 21, 2025'!$A:$A,"LEASE-BH-F7-2025",'Oct 22 - Nov 21, 2025'!$M:$M),0)</f>
        <v>0.0</v>
      </c>
      <c r="L8" s="3" t="n">
        <f>IFERROR(SUMIF('Dec 22 - Jan 21, 2025'!$A:$A,"LEASE-BH-F7-2025",'Dec 22 - Jan 21, 2025'!$N:$N),0)+IFERROR(SUMIF('Jan 22 - Feb 21, 2025'!$A:$A,"LEASE-BH-F7-2025",'Jan 22 - Feb 21, 2025'!$N:$N),0)+IFERROR(SUMIF('Feb 22 - Mar 21, 2025'!$A:$A,"LEASE-BH-F7-2025",'Feb 22 - Mar 21, 2025'!$N:$N),0)+IFERROR(SUMIF('Mar 22 - Apr 21, 2025'!$A:$A,"LEASE-BH-F7-2025",'Mar 22 - Apr 21, 2025'!$N:$N),0)+IFERROR(SUMIF('Apr 22 - May 21, 2025'!$A:$A,"LEASE-BH-F7-2025",'Apr 22 - May 21, 2025'!$N:$N),0)+IFERROR(SUMIF('May 22 - Jun 21, 2025'!$A:$A,"LEASE-BH-F7-2025",'May 22 - Jun 21, 2025'!$N:$N),0)+IFERROR(SUMIF('Jun 22 - Jul 21, 2025'!$A:$A,"LEASE-BH-F7-2025",'Jun 22 - Jul 21, 2025'!$N:$N),0)+IFERROR(SUMIF('Jul 22 - Aug 21, 2025'!$A:$A,"LEASE-BH-F7-2025",'Jul 22 - Aug 21, 2025'!$N:$N),0)+IFERROR(SUMIF('Aug 22 - Sep 21, 2025'!$A:$A,"LEASE-BH-F7-2025",'Aug 22 - Sep 21, 2025'!$N:$N),0)+IFERROR(SUMIF('Sep 22 - Oct 21, 2025'!$A:$A,"LEASE-BH-F7-2025",'Sep 22 - Oct 21, 2025'!$N:$N),0)+IFERROR(SUMIF('Oct 22 - Nov 21, 2025'!$A:$A,"LEASE-BH-F7-2025",'Oct 22 - Nov 21, 2025'!$N:$N),0)</f>
        <v>0.0</v>
      </c>
      <c r="M8" s="3" t="n">
        <f>IFERROR(SUMIF('Dec 22 - Jan 21, 2025'!$A:$A,"LEASE-BH-F7-2025",'Dec 22 - Jan 21, 2025'!$O:$O),0)+IFERROR(SUMIF('Jan 22 - Feb 21, 2025'!$A:$A,"LEASE-BH-F7-2025",'Jan 22 - Feb 21, 2025'!$O:$O),0)+IFERROR(SUMIF('Feb 22 - Mar 21, 2025'!$A:$A,"LEASE-BH-F7-2025",'Feb 22 - Mar 21, 2025'!$O:$O),0)+IFERROR(SUMIF('Mar 22 - Apr 21, 2025'!$A:$A,"LEASE-BH-F7-2025",'Mar 22 - Apr 21, 2025'!$O:$O),0)+IFERROR(SUMIF('Apr 22 - May 21, 2025'!$A:$A,"LEASE-BH-F7-2025",'Apr 22 - May 21, 2025'!$O:$O),0)+IFERROR(SUMIF('May 22 - Jun 21, 2025'!$A:$A,"LEASE-BH-F7-2025",'May 22 - Jun 21, 2025'!$O:$O),0)+IFERROR(SUMIF('Jun 22 - Jul 21, 2025'!$A:$A,"LEASE-BH-F7-2025",'Jun 22 - Jul 21, 2025'!$O:$O),0)+IFERROR(SUMIF('Jul 22 - Aug 21, 2025'!$A:$A,"LEASE-BH-F7-2025",'Jul 22 - Aug 21, 2025'!$O:$O),0)+IFERROR(SUMIF('Aug 22 - Sep 21, 2025'!$A:$A,"LEASE-BH-F7-2025",'Aug 22 - Sep 21, 2025'!$O:$O),0)+IFERROR(SUMIF('Sep 22 - Oct 21, 2025'!$A:$A,"LEASE-BH-F7-2025",'Sep 22 - Oct 21, 2025'!$O:$O),0)+IFERROR(SUMIF('Oct 22 - Nov 21, 2025'!$A:$A,"LEASE-BH-F7-2025",'Oct 22 - Nov 21, 2025'!$O:$O),0)</f>
        <v>0.0</v>
      </c>
      <c r="N8" s="3" t="n">
        <f>IFERROR(SUMIF('Dec 22 - Jan 21, 2025'!$A:$A,"LEASE-BH-F7-2025",'Dec 22 - Jan 21, 2025'!$P:$P),0)+IFERROR(SUMIF('Jan 22 - Feb 21, 2025'!$A:$A,"LEASE-BH-F7-2025",'Jan 22 - Feb 21, 2025'!$P:$P),0)+IFERROR(SUMIF('Feb 22 - Mar 21, 2025'!$A:$A,"LEASE-BH-F7-2025",'Feb 22 - Mar 21, 2025'!$P:$P),0)+IFERROR(SUMIF('Mar 22 - Apr 21, 2025'!$A:$A,"LEASE-BH-F7-2025",'Mar 22 - Apr 21, 2025'!$P:$P),0)+IFERROR(SUMIF('Apr 22 - May 21, 2025'!$A:$A,"LEASE-BH-F7-2025",'Apr 22 - May 21, 2025'!$P:$P),0)+IFERROR(SUMIF('May 22 - Jun 21, 2025'!$A:$A,"LEASE-BH-F7-2025",'May 22 - Jun 21, 2025'!$P:$P),0)+IFERROR(SUMIF('Jun 22 - Jul 21, 2025'!$A:$A,"LEASE-BH-F7-2025",'Jun 22 - Jul 21, 2025'!$P:$P),0)+IFERROR(SUMIF('Jul 22 - Aug 21, 2025'!$A:$A,"LEASE-BH-F7-2025",'Jul 22 - Aug 21, 2025'!$P:$P),0)+IFERROR(SUMIF('Aug 22 - Sep 21, 2025'!$A:$A,"LEASE-BH-F7-2025",'Aug 22 - Sep 21, 2025'!$P:$P),0)+IFERROR(SUMIF('Sep 22 - Oct 21, 2025'!$A:$A,"LEASE-BH-F7-2025",'Sep 22 - Oct 21, 2025'!$P:$P),0)+IFERROR(SUMIF('Oct 22 - Nov 21, 2025'!$A:$A,"LEASE-BH-F7-2025",'Oct 22 - Nov 21, 2025'!$P:$P),0)</f>
        <v>0.0</v>
      </c>
      <c r="O8" s="3" t="n">
        <f>IFERROR(SUMIF('Dec 22 - Jan 21, 2025'!$A:$A,"LEASE-BH-F7-2025",'Dec 22 - Jan 21, 2025'!$I:$I),0)</f>
        <v>0.0</v>
      </c>
      <c r="P8" s="3" t="n">
        <f>IFERROR(SUMIF('Oct 22 - Nov 21, 2025'!$A:$A,"LEASE-BH-F7-2025",'Oct 22 - Nov 21, 2025'!$K:$K),0)</f>
        <v>0.0</v>
      </c>
    </row>
    <row r="9">
      <c r="A9" t="inlineStr">
        <is>
          <t>LEASE-BH-F8-2025</t>
        </is>
      </c>
      <c r="B9" t="inlineStr">
        <is>
          <t>Flat 8 - 3 West Gate</t>
        </is>
      </c>
      <c r="C9" t="inlineStr">
        <is>
          <t>Achal (Delegated for Udayan)</t>
        </is>
      </c>
      <c r="D9" t="inlineStr">
        <is>
          <t>Mr Shermal Wijesinghage, Mrs Udeshika Dona</t>
        </is>
      </c>
      <c r="E9" s="2" t="n">
        <v>45712.0</v>
      </c>
      <c r="F9" t="n">
        <v>24.0</v>
      </c>
      <c r="G9" s="3" t="n">
        <f>IFERROR(SUMIF('Dec 22 - Jan 21, 2025'!$A:$A,"LEASE-BH-F8-2025",'Dec 22 - Jan 21, 2025'!$G:$G),0)+IFERROR(SUMIF('Jan 22 - Feb 21, 2025'!$A:$A,"LEASE-BH-F8-2025",'Jan 22 - Feb 21, 2025'!$G:$G),0)+IFERROR(SUMIF('Feb 22 - Mar 21, 2025'!$A:$A,"LEASE-BH-F8-2025",'Feb 22 - Mar 21, 2025'!$G:$G),0)+IFERROR(SUMIF('Mar 22 - Apr 21, 2025'!$A:$A,"LEASE-BH-F8-2025",'Mar 22 - Apr 21, 2025'!$G:$G),0)+IFERROR(SUMIF('Apr 22 - May 21, 2025'!$A:$A,"LEASE-BH-F8-2025",'Apr 22 - May 21, 2025'!$G:$G),0)+IFERROR(SUMIF('May 22 - Jun 21, 2025'!$A:$A,"LEASE-BH-F8-2025",'May 22 - Jun 21, 2025'!$G:$G),0)+IFERROR(SUMIF('Jun 22 - Jul 21, 2025'!$A:$A,"LEASE-BH-F8-2025",'Jun 22 - Jul 21, 2025'!$G:$G),0)+IFERROR(SUMIF('Jul 22 - Aug 21, 2025'!$A:$A,"LEASE-BH-F8-2025",'Jul 22 - Aug 21, 2025'!$G:$G),0)+IFERROR(SUMIF('Aug 22 - Sep 21, 2025'!$A:$A,"LEASE-BH-F8-2025",'Aug 22 - Sep 21, 2025'!$G:$G),0)+IFERROR(SUMIF('Sep 22 - Oct 21, 2025'!$A:$A,"LEASE-BH-F8-2025",'Sep 22 - Oct 21, 2025'!$G:$G),0)+IFERROR(SUMIF('Oct 22 - Nov 21, 2025'!$A:$A,"LEASE-BH-F8-2025",'Oct 22 - Nov 21, 2025'!$G:$G),0)</f>
        <v>0.0</v>
      </c>
      <c r="H9" s="3" t="n">
        <f>IFERROR(SUMIF('Dec 22 - Jan 21, 2025'!$A:$A,"LEASE-BH-F8-2025",'Dec 22 - Jan 21, 2025'!$H:$H),0)+IFERROR(SUMIF('Jan 22 - Feb 21, 2025'!$A:$A,"LEASE-BH-F8-2025",'Jan 22 - Feb 21, 2025'!$H:$H),0)+IFERROR(SUMIF('Feb 22 - Mar 21, 2025'!$A:$A,"LEASE-BH-F8-2025",'Feb 22 - Mar 21, 2025'!$H:$H),0)+IFERROR(SUMIF('Mar 22 - Apr 21, 2025'!$A:$A,"LEASE-BH-F8-2025",'Mar 22 - Apr 21, 2025'!$H:$H),0)+IFERROR(SUMIF('Apr 22 - May 21, 2025'!$A:$A,"LEASE-BH-F8-2025",'Apr 22 - May 21, 2025'!$H:$H),0)+IFERROR(SUMIF('May 22 - Jun 21, 2025'!$A:$A,"LEASE-BH-F8-2025",'May 22 - Jun 21, 2025'!$H:$H),0)+IFERROR(SUMIF('Jun 22 - Jul 21, 2025'!$A:$A,"LEASE-BH-F8-2025",'Jun 22 - Jul 21, 2025'!$H:$H),0)+IFERROR(SUMIF('Jul 22 - Aug 21, 2025'!$A:$A,"LEASE-BH-F8-2025",'Jul 22 - Aug 21, 2025'!$H:$H),0)+IFERROR(SUMIF('Aug 22 - Sep 21, 2025'!$A:$A,"LEASE-BH-F8-2025",'Aug 22 - Sep 21, 2025'!$H:$H),0)+IFERROR(SUMIF('Sep 22 - Oct 21, 2025'!$A:$A,"LEASE-BH-F8-2025",'Sep 22 - Oct 21, 2025'!$H:$H),0)+IFERROR(SUMIF('Oct 22 - Nov 21, 2025'!$A:$A,"LEASE-BH-F8-2025",'Oct 22 - Nov 21, 2025'!$H:$H),0)</f>
        <v>0.0</v>
      </c>
      <c r="I9" s="3" t="n">
        <f>G9 - H9</f>
        <v>0.0</v>
      </c>
      <c r="J9" s="3" t="n">
        <f>IFERROR(SUMIF('Dec 22 - Jan 21, 2025'!$A:$A,"LEASE-BH-F8-2025",'Dec 22 - Jan 21, 2025'!$L:$L),0)+IFERROR(SUMIF('Jan 22 - Feb 21, 2025'!$A:$A,"LEASE-BH-F8-2025",'Jan 22 - Feb 21, 2025'!$L:$L),0)+IFERROR(SUMIF('Feb 22 - Mar 21, 2025'!$A:$A,"LEASE-BH-F8-2025",'Feb 22 - Mar 21, 2025'!$L:$L),0)+IFERROR(SUMIF('Mar 22 - Apr 21, 2025'!$A:$A,"LEASE-BH-F8-2025",'Mar 22 - Apr 21, 2025'!$L:$L),0)+IFERROR(SUMIF('Apr 22 - May 21, 2025'!$A:$A,"LEASE-BH-F8-2025",'Apr 22 - May 21, 2025'!$L:$L),0)+IFERROR(SUMIF('May 22 - Jun 21, 2025'!$A:$A,"LEASE-BH-F8-2025",'May 22 - Jun 21, 2025'!$L:$L),0)+IFERROR(SUMIF('Jun 22 - Jul 21, 2025'!$A:$A,"LEASE-BH-F8-2025",'Jun 22 - Jul 21, 2025'!$L:$L),0)+IFERROR(SUMIF('Jul 22 - Aug 21, 2025'!$A:$A,"LEASE-BH-F8-2025",'Jul 22 - Aug 21, 2025'!$L:$L),0)+IFERROR(SUMIF('Aug 22 - Sep 21, 2025'!$A:$A,"LEASE-BH-F8-2025",'Aug 22 - Sep 21, 2025'!$L:$L),0)+IFERROR(SUMIF('Sep 22 - Oct 21, 2025'!$A:$A,"LEASE-BH-F8-2025",'Sep 22 - Oct 21, 2025'!$L:$L),0)+IFERROR(SUMIF('Oct 22 - Nov 21, 2025'!$A:$A,"LEASE-BH-F8-2025",'Oct 22 - Nov 21, 2025'!$L:$L),0)</f>
        <v>0.0</v>
      </c>
      <c r="K9" s="3" t="n">
        <f>IFERROR(SUMIF('Dec 22 - Jan 21, 2025'!$A:$A,"LEASE-BH-F8-2025",'Dec 22 - Jan 21, 2025'!$M:$M),0)+IFERROR(SUMIF('Jan 22 - Feb 21, 2025'!$A:$A,"LEASE-BH-F8-2025",'Jan 22 - Feb 21, 2025'!$M:$M),0)+IFERROR(SUMIF('Feb 22 - Mar 21, 2025'!$A:$A,"LEASE-BH-F8-2025",'Feb 22 - Mar 21, 2025'!$M:$M),0)+IFERROR(SUMIF('Mar 22 - Apr 21, 2025'!$A:$A,"LEASE-BH-F8-2025",'Mar 22 - Apr 21, 2025'!$M:$M),0)+IFERROR(SUMIF('Apr 22 - May 21, 2025'!$A:$A,"LEASE-BH-F8-2025",'Apr 22 - May 21, 2025'!$M:$M),0)+IFERROR(SUMIF('May 22 - Jun 21, 2025'!$A:$A,"LEASE-BH-F8-2025",'May 22 - Jun 21, 2025'!$M:$M),0)+IFERROR(SUMIF('Jun 22 - Jul 21, 2025'!$A:$A,"LEASE-BH-F8-2025",'Jun 22 - Jul 21, 2025'!$M:$M),0)+IFERROR(SUMIF('Jul 22 - Aug 21, 2025'!$A:$A,"LEASE-BH-F8-2025",'Jul 22 - Aug 21, 2025'!$M:$M),0)+IFERROR(SUMIF('Aug 22 - Sep 21, 2025'!$A:$A,"LEASE-BH-F8-2025",'Aug 22 - Sep 21, 2025'!$M:$M),0)+IFERROR(SUMIF('Sep 22 - Oct 21, 2025'!$A:$A,"LEASE-BH-F8-2025",'Sep 22 - Oct 21, 2025'!$M:$M),0)+IFERROR(SUMIF('Oct 22 - Nov 21, 2025'!$A:$A,"LEASE-BH-F8-2025",'Oct 22 - Nov 21, 2025'!$M:$M),0)</f>
        <v>0.0</v>
      </c>
      <c r="L9" s="3" t="n">
        <f>IFERROR(SUMIF('Dec 22 - Jan 21, 2025'!$A:$A,"LEASE-BH-F8-2025",'Dec 22 - Jan 21, 2025'!$N:$N),0)+IFERROR(SUMIF('Jan 22 - Feb 21, 2025'!$A:$A,"LEASE-BH-F8-2025",'Jan 22 - Feb 21, 2025'!$N:$N),0)+IFERROR(SUMIF('Feb 22 - Mar 21, 2025'!$A:$A,"LEASE-BH-F8-2025",'Feb 22 - Mar 21, 2025'!$N:$N),0)+IFERROR(SUMIF('Mar 22 - Apr 21, 2025'!$A:$A,"LEASE-BH-F8-2025",'Mar 22 - Apr 21, 2025'!$N:$N),0)+IFERROR(SUMIF('Apr 22 - May 21, 2025'!$A:$A,"LEASE-BH-F8-2025",'Apr 22 - May 21, 2025'!$N:$N),0)+IFERROR(SUMIF('May 22 - Jun 21, 2025'!$A:$A,"LEASE-BH-F8-2025",'May 22 - Jun 21, 2025'!$N:$N),0)+IFERROR(SUMIF('Jun 22 - Jul 21, 2025'!$A:$A,"LEASE-BH-F8-2025",'Jun 22 - Jul 21, 2025'!$N:$N),0)+IFERROR(SUMIF('Jul 22 - Aug 21, 2025'!$A:$A,"LEASE-BH-F8-2025",'Jul 22 - Aug 21, 2025'!$N:$N),0)+IFERROR(SUMIF('Aug 22 - Sep 21, 2025'!$A:$A,"LEASE-BH-F8-2025",'Aug 22 - Sep 21, 2025'!$N:$N),0)+IFERROR(SUMIF('Sep 22 - Oct 21, 2025'!$A:$A,"LEASE-BH-F8-2025",'Sep 22 - Oct 21, 2025'!$N:$N),0)+IFERROR(SUMIF('Oct 22 - Nov 21, 2025'!$A:$A,"LEASE-BH-F8-2025",'Oct 22 - Nov 21, 2025'!$N:$N),0)</f>
        <v>0.0</v>
      </c>
      <c r="M9" s="3" t="n">
        <f>IFERROR(SUMIF('Dec 22 - Jan 21, 2025'!$A:$A,"LEASE-BH-F8-2025",'Dec 22 - Jan 21, 2025'!$O:$O),0)+IFERROR(SUMIF('Jan 22 - Feb 21, 2025'!$A:$A,"LEASE-BH-F8-2025",'Jan 22 - Feb 21, 2025'!$O:$O),0)+IFERROR(SUMIF('Feb 22 - Mar 21, 2025'!$A:$A,"LEASE-BH-F8-2025",'Feb 22 - Mar 21, 2025'!$O:$O),0)+IFERROR(SUMIF('Mar 22 - Apr 21, 2025'!$A:$A,"LEASE-BH-F8-2025",'Mar 22 - Apr 21, 2025'!$O:$O),0)+IFERROR(SUMIF('Apr 22 - May 21, 2025'!$A:$A,"LEASE-BH-F8-2025",'Apr 22 - May 21, 2025'!$O:$O),0)+IFERROR(SUMIF('May 22 - Jun 21, 2025'!$A:$A,"LEASE-BH-F8-2025",'May 22 - Jun 21, 2025'!$O:$O),0)+IFERROR(SUMIF('Jun 22 - Jul 21, 2025'!$A:$A,"LEASE-BH-F8-2025",'Jun 22 - Jul 21, 2025'!$O:$O),0)+IFERROR(SUMIF('Jul 22 - Aug 21, 2025'!$A:$A,"LEASE-BH-F8-2025",'Jul 22 - Aug 21, 2025'!$O:$O),0)+IFERROR(SUMIF('Aug 22 - Sep 21, 2025'!$A:$A,"LEASE-BH-F8-2025",'Aug 22 - Sep 21, 2025'!$O:$O),0)+IFERROR(SUMIF('Sep 22 - Oct 21, 2025'!$A:$A,"LEASE-BH-F8-2025",'Sep 22 - Oct 21, 2025'!$O:$O),0)+IFERROR(SUMIF('Oct 22 - Nov 21, 2025'!$A:$A,"LEASE-BH-F8-2025",'Oct 22 - Nov 21, 2025'!$O:$O),0)</f>
        <v>0.0</v>
      </c>
      <c r="N9" s="3" t="n">
        <f>IFERROR(SUMIF('Dec 22 - Jan 21, 2025'!$A:$A,"LEASE-BH-F8-2025",'Dec 22 - Jan 21, 2025'!$P:$P),0)+IFERROR(SUMIF('Jan 22 - Feb 21, 2025'!$A:$A,"LEASE-BH-F8-2025",'Jan 22 - Feb 21, 2025'!$P:$P),0)+IFERROR(SUMIF('Feb 22 - Mar 21, 2025'!$A:$A,"LEASE-BH-F8-2025",'Feb 22 - Mar 21, 2025'!$P:$P),0)+IFERROR(SUMIF('Mar 22 - Apr 21, 2025'!$A:$A,"LEASE-BH-F8-2025",'Mar 22 - Apr 21, 2025'!$P:$P),0)+IFERROR(SUMIF('Apr 22 - May 21, 2025'!$A:$A,"LEASE-BH-F8-2025",'Apr 22 - May 21, 2025'!$P:$P),0)+IFERROR(SUMIF('May 22 - Jun 21, 2025'!$A:$A,"LEASE-BH-F8-2025",'May 22 - Jun 21, 2025'!$P:$P),0)+IFERROR(SUMIF('Jun 22 - Jul 21, 2025'!$A:$A,"LEASE-BH-F8-2025",'Jun 22 - Jul 21, 2025'!$P:$P),0)+IFERROR(SUMIF('Jul 22 - Aug 21, 2025'!$A:$A,"LEASE-BH-F8-2025",'Jul 22 - Aug 21, 2025'!$P:$P),0)+IFERROR(SUMIF('Aug 22 - Sep 21, 2025'!$A:$A,"LEASE-BH-F8-2025",'Aug 22 - Sep 21, 2025'!$P:$P),0)+IFERROR(SUMIF('Sep 22 - Oct 21, 2025'!$A:$A,"LEASE-BH-F8-2025",'Sep 22 - Oct 21, 2025'!$P:$P),0)+IFERROR(SUMIF('Oct 22 - Nov 21, 2025'!$A:$A,"LEASE-BH-F8-2025",'Oct 22 - Nov 21, 2025'!$P:$P),0)</f>
        <v>0.0</v>
      </c>
      <c r="O9" s="3" t="n">
        <f>IFERROR(SUMIF('Dec 22 - Jan 21, 2025'!$A:$A,"LEASE-BH-F8-2025",'Dec 22 - Jan 21, 2025'!$I:$I),0)</f>
        <v>0.0</v>
      </c>
      <c r="P9" s="3" t="n">
        <f>IFERROR(SUMIF('Oct 22 - Nov 21, 2025'!$A:$A,"LEASE-BH-F8-2025",'Oct 22 - Nov 21, 2025'!$K:$K),0)</f>
        <v>0.0</v>
      </c>
    </row>
    <row r="10">
      <c r="A10" t="inlineStr">
        <is>
          <t>LEASE-BH-F9-2025</t>
        </is>
      </c>
      <c r="B10" t="inlineStr">
        <is>
          <t>Flat 9 - 3 West Gate</t>
        </is>
      </c>
      <c r="C10" t="inlineStr">
        <is>
          <t>Achal (Delegated for Udayan)</t>
        </is>
      </c>
      <c r="D10" t="inlineStr">
        <is>
          <t>Mr Scott Warner</t>
        </is>
      </c>
      <c r="E10" s="2" t="n">
        <v>45736.0</v>
      </c>
      <c r="F10" t="n">
        <v>20.0</v>
      </c>
      <c r="G10" s="3" t="n">
        <f>IFERROR(SUMIF('Dec 22 - Jan 21, 2025'!$A:$A,"LEASE-BH-F9-2025",'Dec 22 - Jan 21, 2025'!$G:$G),0)+IFERROR(SUMIF('Jan 22 - Feb 21, 2025'!$A:$A,"LEASE-BH-F9-2025",'Jan 22 - Feb 21, 2025'!$G:$G),0)+IFERROR(SUMIF('Feb 22 - Mar 21, 2025'!$A:$A,"LEASE-BH-F9-2025",'Feb 22 - Mar 21, 2025'!$G:$G),0)+IFERROR(SUMIF('Mar 22 - Apr 21, 2025'!$A:$A,"LEASE-BH-F9-2025",'Mar 22 - Apr 21, 2025'!$G:$G),0)+IFERROR(SUMIF('Apr 22 - May 21, 2025'!$A:$A,"LEASE-BH-F9-2025",'Apr 22 - May 21, 2025'!$G:$G),0)+IFERROR(SUMIF('May 22 - Jun 21, 2025'!$A:$A,"LEASE-BH-F9-2025",'May 22 - Jun 21, 2025'!$G:$G),0)+IFERROR(SUMIF('Jun 22 - Jul 21, 2025'!$A:$A,"LEASE-BH-F9-2025",'Jun 22 - Jul 21, 2025'!$G:$G),0)+IFERROR(SUMIF('Jul 22 - Aug 21, 2025'!$A:$A,"LEASE-BH-F9-2025",'Jul 22 - Aug 21, 2025'!$G:$G),0)+IFERROR(SUMIF('Aug 22 - Sep 21, 2025'!$A:$A,"LEASE-BH-F9-2025",'Aug 22 - Sep 21, 2025'!$G:$G),0)+IFERROR(SUMIF('Sep 22 - Oct 21, 2025'!$A:$A,"LEASE-BH-F9-2025",'Sep 22 - Oct 21, 2025'!$G:$G),0)+IFERROR(SUMIF('Oct 22 - Nov 21, 2025'!$A:$A,"LEASE-BH-F9-2025",'Oct 22 - Nov 21, 2025'!$G:$G),0)</f>
        <v>0.0</v>
      </c>
      <c r="H10" s="3" t="n">
        <f>IFERROR(SUMIF('Dec 22 - Jan 21, 2025'!$A:$A,"LEASE-BH-F9-2025",'Dec 22 - Jan 21, 2025'!$H:$H),0)+IFERROR(SUMIF('Jan 22 - Feb 21, 2025'!$A:$A,"LEASE-BH-F9-2025",'Jan 22 - Feb 21, 2025'!$H:$H),0)+IFERROR(SUMIF('Feb 22 - Mar 21, 2025'!$A:$A,"LEASE-BH-F9-2025",'Feb 22 - Mar 21, 2025'!$H:$H),0)+IFERROR(SUMIF('Mar 22 - Apr 21, 2025'!$A:$A,"LEASE-BH-F9-2025",'Mar 22 - Apr 21, 2025'!$H:$H),0)+IFERROR(SUMIF('Apr 22 - May 21, 2025'!$A:$A,"LEASE-BH-F9-2025",'Apr 22 - May 21, 2025'!$H:$H),0)+IFERROR(SUMIF('May 22 - Jun 21, 2025'!$A:$A,"LEASE-BH-F9-2025",'May 22 - Jun 21, 2025'!$H:$H),0)+IFERROR(SUMIF('Jun 22 - Jul 21, 2025'!$A:$A,"LEASE-BH-F9-2025",'Jun 22 - Jul 21, 2025'!$H:$H),0)+IFERROR(SUMIF('Jul 22 - Aug 21, 2025'!$A:$A,"LEASE-BH-F9-2025",'Jul 22 - Aug 21, 2025'!$H:$H),0)+IFERROR(SUMIF('Aug 22 - Sep 21, 2025'!$A:$A,"LEASE-BH-F9-2025",'Aug 22 - Sep 21, 2025'!$H:$H),0)+IFERROR(SUMIF('Sep 22 - Oct 21, 2025'!$A:$A,"LEASE-BH-F9-2025",'Sep 22 - Oct 21, 2025'!$H:$H),0)+IFERROR(SUMIF('Oct 22 - Nov 21, 2025'!$A:$A,"LEASE-BH-F9-2025",'Oct 22 - Nov 21, 2025'!$H:$H),0)</f>
        <v>0.0</v>
      </c>
      <c r="I10" s="3" t="n">
        <f>G10 - H10</f>
        <v>0.0</v>
      </c>
      <c r="J10" s="3" t="n">
        <f>IFERROR(SUMIF('Dec 22 - Jan 21, 2025'!$A:$A,"LEASE-BH-F9-2025",'Dec 22 - Jan 21, 2025'!$L:$L),0)+IFERROR(SUMIF('Jan 22 - Feb 21, 2025'!$A:$A,"LEASE-BH-F9-2025",'Jan 22 - Feb 21, 2025'!$L:$L),0)+IFERROR(SUMIF('Feb 22 - Mar 21, 2025'!$A:$A,"LEASE-BH-F9-2025",'Feb 22 - Mar 21, 2025'!$L:$L),0)+IFERROR(SUMIF('Mar 22 - Apr 21, 2025'!$A:$A,"LEASE-BH-F9-2025",'Mar 22 - Apr 21, 2025'!$L:$L),0)+IFERROR(SUMIF('Apr 22 - May 21, 2025'!$A:$A,"LEASE-BH-F9-2025",'Apr 22 - May 21, 2025'!$L:$L),0)+IFERROR(SUMIF('May 22 - Jun 21, 2025'!$A:$A,"LEASE-BH-F9-2025",'May 22 - Jun 21, 2025'!$L:$L),0)+IFERROR(SUMIF('Jun 22 - Jul 21, 2025'!$A:$A,"LEASE-BH-F9-2025",'Jun 22 - Jul 21, 2025'!$L:$L),0)+IFERROR(SUMIF('Jul 22 - Aug 21, 2025'!$A:$A,"LEASE-BH-F9-2025",'Jul 22 - Aug 21, 2025'!$L:$L),0)+IFERROR(SUMIF('Aug 22 - Sep 21, 2025'!$A:$A,"LEASE-BH-F9-2025",'Aug 22 - Sep 21, 2025'!$L:$L),0)+IFERROR(SUMIF('Sep 22 - Oct 21, 2025'!$A:$A,"LEASE-BH-F9-2025",'Sep 22 - Oct 21, 2025'!$L:$L),0)+IFERROR(SUMIF('Oct 22 - Nov 21, 2025'!$A:$A,"LEASE-BH-F9-2025",'Oct 22 - Nov 21, 2025'!$L:$L),0)</f>
        <v>0.0</v>
      </c>
      <c r="K10" s="3" t="n">
        <f>IFERROR(SUMIF('Dec 22 - Jan 21, 2025'!$A:$A,"LEASE-BH-F9-2025",'Dec 22 - Jan 21, 2025'!$M:$M),0)+IFERROR(SUMIF('Jan 22 - Feb 21, 2025'!$A:$A,"LEASE-BH-F9-2025",'Jan 22 - Feb 21, 2025'!$M:$M),0)+IFERROR(SUMIF('Feb 22 - Mar 21, 2025'!$A:$A,"LEASE-BH-F9-2025",'Feb 22 - Mar 21, 2025'!$M:$M),0)+IFERROR(SUMIF('Mar 22 - Apr 21, 2025'!$A:$A,"LEASE-BH-F9-2025",'Mar 22 - Apr 21, 2025'!$M:$M),0)+IFERROR(SUMIF('Apr 22 - May 21, 2025'!$A:$A,"LEASE-BH-F9-2025",'Apr 22 - May 21, 2025'!$M:$M),0)+IFERROR(SUMIF('May 22 - Jun 21, 2025'!$A:$A,"LEASE-BH-F9-2025",'May 22 - Jun 21, 2025'!$M:$M),0)+IFERROR(SUMIF('Jun 22 - Jul 21, 2025'!$A:$A,"LEASE-BH-F9-2025",'Jun 22 - Jul 21, 2025'!$M:$M),0)+IFERROR(SUMIF('Jul 22 - Aug 21, 2025'!$A:$A,"LEASE-BH-F9-2025",'Jul 22 - Aug 21, 2025'!$M:$M),0)+IFERROR(SUMIF('Aug 22 - Sep 21, 2025'!$A:$A,"LEASE-BH-F9-2025",'Aug 22 - Sep 21, 2025'!$M:$M),0)+IFERROR(SUMIF('Sep 22 - Oct 21, 2025'!$A:$A,"LEASE-BH-F9-2025",'Sep 22 - Oct 21, 2025'!$M:$M),0)+IFERROR(SUMIF('Oct 22 - Nov 21, 2025'!$A:$A,"LEASE-BH-F9-2025",'Oct 22 - Nov 21, 2025'!$M:$M),0)</f>
        <v>0.0</v>
      </c>
      <c r="L10" s="3" t="n">
        <f>IFERROR(SUMIF('Dec 22 - Jan 21, 2025'!$A:$A,"LEASE-BH-F9-2025",'Dec 22 - Jan 21, 2025'!$N:$N),0)+IFERROR(SUMIF('Jan 22 - Feb 21, 2025'!$A:$A,"LEASE-BH-F9-2025",'Jan 22 - Feb 21, 2025'!$N:$N),0)+IFERROR(SUMIF('Feb 22 - Mar 21, 2025'!$A:$A,"LEASE-BH-F9-2025",'Feb 22 - Mar 21, 2025'!$N:$N),0)+IFERROR(SUMIF('Mar 22 - Apr 21, 2025'!$A:$A,"LEASE-BH-F9-2025",'Mar 22 - Apr 21, 2025'!$N:$N),0)+IFERROR(SUMIF('Apr 22 - May 21, 2025'!$A:$A,"LEASE-BH-F9-2025",'Apr 22 - May 21, 2025'!$N:$N),0)+IFERROR(SUMIF('May 22 - Jun 21, 2025'!$A:$A,"LEASE-BH-F9-2025",'May 22 - Jun 21, 2025'!$N:$N),0)+IFERROR(SUMIF('Jun 22 - Jul 21, 2025'!$A:$A,"LEASE-BH-F9-2025",'Jun 22 - Jul 21, 2025'!$N:$N),0)+IFERROR(SUMIF('Jul 22 - Aug 21, 2025'!$A:$A,"LEASE-BH-F9-2025",'Jul 22 - Aug 21, 2025'!$N:$N),0)+IFERROR(SUMIF('Aug 22 - Sep 21, 2025'!$A:$A,"LEASE-BH-F9-2025",'Aug 22 - Sep 21, 2025'!$N:$N),0)+IFERROR(SUMIF('Sep 22 - Oct 21, 2025'!$A:$A,"LEASE-BH-F9-2025",'Sep 22 - Oct 21, 2025'!$N:$N),0)+IFERROR(SUMIF('Oct 22 - Nov 21, 2025'!$A:$A,"LEASE-BH-F9-2025",'Oct 22 - Nov 21, 2025'!$N:$N),0)</f>
        <v>0.0</v>
      </c>
      <c r="M10" s="3" t="n">
        <f>IFERROR(SUMIF('Dec 22 - Jan 21, 2025'!$A:$A,"LEASE-BH-F9-2025",'Dec 22 - Jan 21, 2025'!$O:$O),0)+IFERROR(SUMIF('Jan 22 - Feb 21, 2025'!$A:$A,"LEASE-BH-F9-2025",'Jan 22 - Feb 21, 2025'!$O:$O),0)+IFERROR(SUMIF('Feb 22 - Mar 21, 2025'!$A:$A,"LEASE-BH-F9-2025",'Feb 22 - Mar 21, 2025'!$O:$O),0)+IFERROR(SUMIF('Mar 22 - Apr 21, 2025'!$A:$A,"LEASE-BH-F9-2025",'Mar 22 - Apr 21, 2025'!$O:$O),0)+IFERROR(SUMIF('Apr 22 - May 21, 2025'!$A:$A,"LEASE-BH-F9-2025",'Apr 22 - May 21, 2025'!$O:$O),0)+IFERROR(SUMIF('May 22 - Jun 21, 2025'!$A:$A,"LEASE-BH-F9-2025",'May 22 - Jun 21, 2025'!$O:$O),0)+IFERROR(SUMIF('Jun 22 - Jul 21, 2025'!$A:$A,"LEASE-BH-F9-2025",'Jun 22 - Jul 21, 2025'!$O:$O),0)+IFERROR(SUMIF('Jul 22 - Aug 21, 2025'!$A:$A,"LEASE-BH-F9-2025",'Jul 22 - Aug 21, 2025'!$O:$O),0)+IFERROR(SUMIF('Aug 22 - Sep 21, 2025'!$A:$A,"LEASE-BH-F9-2025",'Aug 22 - Sep 21, 2025'!$O:$O),0)+IFERROR(SUMIF('Sep 22 - Oct 21, 2025'!$A:$A,"LEASE-BH-F9-2025",'Sep 22 - Oct 21, 2025'!$O:$O),0)+IFERROR(SUMIF('Oct 22 - Nov 21, 2025'!$A:$A,"LEASE-BH-F9-2025",'Oct 22 - Nov 21, 2025'!$O:$O),0)</f>
        <v>0.0</v>
      </c>
      <c r="N10" s="3" t="n">
        <f>IFERROR(SUMIF('Dec 22 - Jan 21, 2025'!$A:$A,"LEASE-BH-F9-2025",'Dec 22 - Jan 21, 2025'!$P:$P),0)+IFERROR(SUMIF('Jan 22 - Feb 21, 2025'!$A:$A,"LEASE-BH-F9-2025",'Jan 22 - Feb 21, 2025'!$P:$P),0)+IFERROR(SUMIF('Feb 22 - Mar 21, 2025'!$A:$A,"LEASE-BH-F9-2025",'Feb 22 - Mar 21, 2025'!$P:$P),0)+IFERROR(SUMIF('Mar 22 - Apr 21, 2025'!$A:$A,"LEASE-BH-F9-2025",'Mar 22 - Apr 21, 2025'!$P:$P),0)+IFERROR(SUMIF('Apr 22 - May 21, 2025'!$A:$A,"LEASE-BH-F9-2025",'Apr 22 - May 21, 2025'!$P:$P),0)+IFERROR(SUMIF('May 22 - Jun 21, 2025'!$A:$A,"LEASE-BH-F9-2025",'May 22 - Jun 21, 2025'!$P:$P),0)+IFERROR(SUMIF('Jun 22 - Jul 21, 2025'!$A:$A,"LEASE-BH-F9-2025",'Jun 22 - Jul 21, 2025'!$P:$P),0)+IFERROR(SUMIF('Jul 22 - Aug 21, 2025'!$A:$A,"LEASE-BH-F9-2025",'Jul 22 - Aug 21, 2025'!$P:$P),0)+IFERROR(SUMIF('Aug 22 - Sep 21, 2025'!$A:$A,"LEASE-BH-F9-2025",'Aug 22 - Sep 21, 2025'!$P:$P),0)+IFERROR(SUMIF('Sep 22 - Oct 21, 2025'!$A:$A,"LEASE-BH-F9-2025",'Sep 22 - Oct 21, 2025'!$P:$P),0)+IFERROR(SUMIF('Oct 22 - Nov 21, 2025'!$A:$A,"LEASE-BH-F9-2025",'Oct 22 - Nov 21, 2025'!$P:$P),0)</f>
        <v>0.0</v>
      </c>
      <c r="O10" s="3" t="n">
        <f>IFERROR(SUMIF('Dec 22 - Jan 21, 2025'!$A:$A,"LEASE-BH-F9-2025",'Dec 22 - Jan 21, 2025'!$I:$I),0)</f>
        <v>0.0</v>
      </c>
      <c r="P10" s="3" t="n">
        <f>IFERROR(SUMIF('Oct 22 - Nov 21, 2025'!$A:$A,"LEASE-BH-F9-2025",'Oct 22 - Nov 21, 2025'!$K:$K),0)</f>
        <v>0.0</v>
      </c>
    </row>
    <row r="11">
      <c r="A11" t="inlineStr">
        <is>
          <t>LEASE-BH-F10-2025</t>
        </is>
      </c>
      <c r="B11" t="inlineStr">
        <is>
          <t>Flat 10 - 3 West Gate</t>
        </is>
      </c>
      <c r="C11" t="inlineStr">
        <is>
          <t>Achal (Delegated for Udayan)</t>
        </is>
      </c>
      <c r="D11" t="inlineStr">
        <is>
          <t>Mr Ferenc Peter</t>
        </is>
      </c>
      <c r="E11" s="2" t="n">
        <v>45722.0</v>
      </c>
      <c r="F11" t="n">
        <v>6.0</v>
      </c>
      <c r="G11" s="3" t="n">
        <f>IFERROR(SUMIF('Dec 22 - Jan 21, 2025'!$A:$A,"LEASE-BH-F10-2025",'Dec 22 - Jan 21, 2025'!$G:$G),0)+IFERROR(SUMIF('Jan 22 - Feb 21, 2025'!$A:$A,"LEASE-BH-F10-2025",'Jan 22 - Feb 21, 2025'!$G:$G),0)+IFERROR(SUMIF('Feb 22 - Mar 21, 2025'!$A:$A,"LEASE-BH-F10-2025",'Feb 22 - Mar 21, 2025'!$G:$G),0)+IFERROR(SUMIF('Mar 22 - Apr 21, 2025'!$A:$A,"LEASE-BH-F10-2025",'Mar 22 - Apr 21, 2025'!$G:$G),0)+IFERROR(SUMIF('Apr 22 - May 21, 2025'!$A:$A,"LEASE-BH-F10-2025",'Apr 22 - May 21, 2025'!$G:$G),0)+IFERROR(SUMIF('May 22 - Jun 21, 2025'!$A:$A,"LEASE-BH-F10-2025",'May 22 - Jun 21, 2025'!$G:$G),0)+IFERROR(SUMIF('Jun 22 - Jul 21, 2025'!$A:$A,"LEASE-BH-F10-2025",'Jun 22 - Jul 21, 2025'!$G:$G),0)+IFERROR(SUMIF('Jul 22 - Aug 21, 2025'!$A:$A,"LEASE-BH-F10-2025",'Jul 22 - Aug 21, 2025'!$G:$G),0)+IFERROR(SUMIF('Aug 22 - Sep 21, 2025'!$A:$A,"LEASE-BH-F10-2025",'Aug 22 - Sep 21, 2025'!$G:$G),0)+IFERROR(SUMIF('Sep 22 - Oct 21, 2025'!$A:$A,"LEASE-BH-F10-2025",'Sep 22 - Oct 21, 2025'!$G:$G),0)+IFERROR(SUMIF('Oct 22 - Nov 21, 2025'!$A:$A,"LEASE-BH-F10-2025",'Oct 22 - Nov 21, 2025'!$G:$G),0)</f>
        <v>0.0</v>
      </c>
      <c r="H11" s="3" t="n">
        <f>IFERROR(SUMIF('Dec 22 - Jan 21, 2025'!$A:$A,"LEASE-BH-F10-2025",'Dec 22 - Jan 21, 2025'!$H:$H),0)+IFERROR(SUMIF('Jan 22 - Feb 21, 2025'!$A:$A,"LEASE-BH-F10-2025",'Jan 22 - Feb 21, 2025'!$H:$H),0)+IFERROR(SUMIF('Feb 22 - Mar 21, 2025'!$A:$A,"LEASE-BH-F10-2025",'Feb 22 - Mar 21, 2025'!$H:$H),0)+IFERROR(SUMIF('Mar 22 - Apr 21, 2025'!$A:$A,"LEASE-BH-F10-2025",'Mar 22 - Apr 21, 2025'!$H:$H),0)+IFERROR(SUMIF('Apr 22 - May 21, 2025'!$A:$A,"LEASE-BH-F10-2025",'Apr 22 - May 21, 2025'!$H:$H),0)+IFERROR(SUMIF('May 22 - Jun 21, 2025'!$A:$A,"LEASE-BH-F10-2025",'May 22 - Jun 21, 2025'!$H:$H),0)+IFERROR(SUMIF('Jun 22 - Jul 21, 2025'!$A:$A,"LEASE-BH-F10-2025",'Jun 22 - Jul 21, 2025'!$H:$H),0)+IFERROR(SUMIF('Jul 22 - Aug 21, 2025'!$A:$A,"LEASE-BH-F10-2025",'Jul 22 - Aug 21, 2025'!$H:$H),0)+IFERROR(SUMIF('Aug 22 - Sep 21, 2025'!$A:$A,"LEASE-BH-F10-2025",'Aug 22 - Sep 21, 2025'!$H:$H),0)+IFERROR(SUMIF('Sep 22 - Oct 21, 2025'!$A:$A,"LEASE-BH-F10-2025",'Sep 22 - Oct 21, 2025'!$H:$H),0)+IFERROR(SUMIF('Oct 22 - Nov 21, 2025'!$A:$A,"LEASE-BH-F10-2025",'Oct 22 - Nov 21, 2025'!$H:$H),0)</f>
        <v>0.0</v>
      </c>
      <c r="I11" s="3" t="n">
        <f>G11 - H11</f>
        <v>0.0</v>
      </c>
      <c r="J11" s="3" t="n">
        <f>IFERROR(SUMIF('Dec 22 - Jan 21, 2025'!$A:$A,"LEASE-BH-F10-2025",'Dec 22 - Jan 21, 2025'!$L:$L),0)+IFERROR(SUMIF('Jan 22 - Feb 21, 2025'!$A:$A,"LEASE-BH-F10-2025",'Jan 22 - Feb 21, 2025'!$L:$L),0)+IFERROR(SUMIF('Feb 22 - Mar 21, 2025'!$A:$A,"LEASE-BH-F10-2025",'Feb 22 - Mar 21, 2025'!$L:$L),0)+IFERROR(SUMIF('Mar 22 - Apr 21, 2025'!$A:$A,"LEASE-BH-F10-2025",'Mar 22 - Apr 21, 2025'!$L:$L),0)+IFERROR(SUMIF('Apr 22 - May 21, 2025'!$A:$A,"LEASE-BH-F10-2025",'Apr 22 - May 21, 2025'!$L:$L),0)+IFERROR(SUMIF('May 22 - Jun 21, 2025'!$A:$A,"LEASE-BH-F10-2025",'May 22 - Jun 21, 2025'!$L:$L),0)+IFERROR(SUMIF('Jun 22 - Jul 21, 2025'!$A:$A,"LEASE-BH-F10-2025",'Jun 22 - Jul 21, 2025'!$L:$L),0)+IFERROR(SUMIF('Jul 22 - Aug 21, 2025'!$A:$A,"LEASE-BH-F10-2025",'Jul 22 - Aug 21, 2025'!$L:$L),0)+IFERROR(SUMIF('Aug 22 - Sep 21, 2025'!$A:$A,"LEASE-BH-F10-2025",'Aug 22 - Sep 21, 2025'!$L:$L),0)+IFERROR(SUMIF('Sep 22 - Oct 21, 2025'!$A:$A,"LEASE-BH-F10-2025",'Sep 22 - Oct 21, 2025'!$L:$L),0)+IFERROR(SUMIF('Oct 22 - Nov 21, 2025'!$A:$A,"LEASE-BH-F10-2025",'Oct 22 - Nov 21, 2025'!$L:$L),0)</f>
        <v>0.0</v>
      </c>
      <c r="K11" s="3" t="n">
        <f>IFERROR(SUMIF('Dec 22 - Jan 21, 2025'!$A:$A,"LEASE-BH-F10-2025",'Dec 22 - Jan 21, 2025'!$M:$M),0)+IFERROR(SUMIF('Jan 22 - Feb 21, 2025'!$A:$A,"LEASE-BH-F10-2025",'Jan 22 - Feb 21, 2025'!$M:$M),0)+IFERROR(SUMIF('Feb 22 - Mar 21, 2025'!$A:$A,"LEASE-BH-F10-2025",'Feb 22 - Mar 21, 2025'!$M:$M),0)+IFERROR(SUMIF('Mar 22 - Apr 21, 2025'!$A:$A,"LEASE-BH-F10-2025",'Mar 22 - Apr 21, 2025'!$M:$M),0)+IFERROR(SUMIF('Apr 22 - May 21, 2025'!$A:$A,"LEASE-BH-F10-2025",'Apr 22 - May 21, 2025'!$M:$M),0)+IFERROR(SUMIF('May 22 - Jun 21, 2025'!$A:$A,"LEASE-BH-F10-2025",'May 22 - Jun 21, 2025'!$M:$M),0)+IFERROR(SUMIF('Jun 22 - Jul 21, 2025'!$A:$A,"LEASE-BH-F10-2025",'Jun 22 - Jul 21, 2025'!$M:$M),0)+IFERROR(SUMIF('Jul 22 - Aug 21, 2025'!$A:$A,"LEASE-BH-F10-2025",'Jul 22 - Aug 21, 2025'!$M:$M),0)+IFERROR(SUMIF('Aug 22 - Sep 21, 2025'!$A:$A,"LEASE-BH-F10-2025",'Aug 22 - Sep 21, 2025'!$M:$M),0)+IFERROR(SUMIF('Sep 22 - Oct 21, 2025'!$A:$A,"LEASE-BH-F10-2025",'Sep 22 - Oct 21, 2025'!$M:$M),0)+IFERROR(SUMIF('Oct 22 - Nov 21, 2025'!$A:$A,"LEASE-BH-F10-2025",'Oct 22 - Nov 21, 2025'!$M:$M),0)</f>
        <v>0.0</v>
      </c>
      <c r="L11" s="3" t="n">
        <f>IFERROR(SUMIF('Dec 22 - Jan 21, 2025'!$A:$A,"LEASE-BH-F10-2025",'Dec 22 - Jan 21, 2025'!$N:$N),0)+IFERROR(SUMIF('Jan 22 - Feb 21, 2025'!$A:$A,"LEASE-BH-F10-2025",'Jan 22 - Feb 21, 2025'!$N:$N),0)+IFERROR(SUMIF('Feb 22 - Mar 21, 2025'!$A:$A,"LEASE-BH-F10-2025",'Feb 22 - Mar 21, 2025'!$N:$N),0)+IFERROR(SUMIF('Mar 22 - Apr 21, 2025'!$A:$A,"LEASE-BH-F10-2025",'Mar 22 - Apr 21, 2025'!$N:$N),0)+IFERROR(SUMIF('Apr 22 - May 21, 2025'!$A:$A,"LEASE-BH-F10-2025",'Apr 22 - May 21, 2025'!$N:$N),0)+IFERROR(SUMIF('May 22 - Jun 21, 2025'!$A:$A,"LEASE-BH-F10-2025",'May 22 - Jun 21, 2025'!$N:$N),0)+IFERROR(SUMIF('Jun 22 - Jul 21, 2025'!$A:$A,"LEASE-BH-F10-2025",'Jun 22 - Jul 21, 2025'!$N:$N),0)+IFERROR(SUMIF('Jul 22 - Aug 21, 2025'!$A:$A,"LEASE-BH-F10-2025",'Jul 22 - Aug 21, 2025'!$N:$N),0)+IFERROR(SUMIF('Aug 22 - Sep 21, 2025'!$A:$A,"LEASE-BH-F10-2025",'Aug 22 - Sep 21, 2025'!$N:$N),0)+IFERROR(SUMIF('Sep 22 - Oct 21, 2025'!$A:$A,"LEASE-BH-F10-2025",'Sep 22 - Oct 21, 2025'!$N:$N),0)+IFERROR(SUMIF('Oct 22 - Nov 21, 2025'!$A:$A,"LEASE-BH-F10-2025",'Oct 22 - Nov 21, 2025'!$N:$N),0)</f>
        <v>0.0</v>
      </c>
      <c r="M11" s="3" t="n">
        <f>IFERROR(SUMIF('Dec 22 - Jan 21, 2025'!$A:$A,"LEASE-BH-F10-2025",'Dec 22 - Jan 21, 2025'!$O:$O),0)+IFERROR(SUMIF('Jan 22 - Feb 21, 2025'!$A:$A,"LEASE-BH-F10-2025",'Jan 22 - Feb 21, 2025'!$O:$O),0)+IFERROR(SUMIF('Feb 22 - Mar 21, 2025'!$A:$A,"LEASE-BH-F10-2025",'Feb 22 - Mar 21, 2025'!$O:$O),0)+IFERROR(SUMIF('Mar 22 - Apr 21, 2025'!$A:$A,"LEASE-BH-F10-2025",'Mar 22 - Apr 21, 2025'!$O:$O),0)+IFERROR(SUMIF('Apr 22 - May 21, 2025'!$A:$A,"LEASE-BH-F10-2025",'Apr 22 - May 21, 2025'!$O:$O),0)+IFERROR(SUMIF('May 22 - Jun 21, 2025'!$A:$A,"LEASE-BH-F10-2025",'May 22 - Jun 21, 2025'!$O:$O),0)+IFERROR(SUMIF('Jun 22 - Jul 21, 2025'!$A:$A,"LEASE-BH-F10-2025",'Jun 22 - Jul 21, 2025'!$O:$O),0)+IFERROR(SUMIF('Jul 22 - Aug 21, 2025'!$A:$A,"LEASE-BH-F10-2025",'Jul 22 - Aug 21, 2025'!$O:$O),0)+IFERROR(SUMIF('Aug 22 - Sep 21, 2025'!$A:$A,"LEASE-BH-F10-2025",'Aug 22 - Sep 21, 2025'!$O:$O),0)+IFERROR(SUMIF('Sep 22 - Oct 21, 2025'!$A:$A,"LEASE-BH-F10-2025",'Sep 22 - Oct 21, 2025'!$O:$O),0)+IFERROR(SUMIF('Oct 22 - Nov 21, 2025'!$A:$A,"LEASE-BH-F10-2025",'Oct 22 - Nov 21, 2025'!$O:$O),0)</f>
        <v>0.0</v>
      </c>
      <c r="N11" s="3" t="n">
        <f>IFERROR(SUMIF('Dec 22 - Jan 21, 2025'!$A:$A,"LEASE-BH-F10-2025",'Dec 22 - Jan 21, 2025'!$P:$P),0)+IFERROR(SUMIF('Jan 22 - Feb 21, 2025'!$A:$A,"LEASE-BH-F10-2025",'Jan 22 - Feb 21, 2025'!$P:$P),0)+IFERROR(SUMIF('Feb 22 - Mar 21, 2025'!$A:$A,"LEASE-BH-F10-2025",'Feb 22 - Mar 21, 2025'!$P:$P),0)+IFERROR(SUMIF('Mar 22 - Apr 21, 2025'!$A:$A,"LEASE-BH-F10-2025",'Mar 22 - Apr 21, 2025'!$P:$P),0)+IFERROR(SUMIF('Apr 22 - May 21, 2025'!$A:$A,"LEASE-BH-F10-2025",'Apr 22 - May 21, 2025'!$P:$P),0)+IFERROR(SUMIF('May 22 - Jun 21, 2025'!$A:$A,"LEASE-BH-F10-2025",'May 22 - Jun 21, 2025'!$P:$P),0)+IFERROR(SUMIF('Jun 22 - Jul 21, 2025'!$A:$A,"LEASE-BH-F10-2025",'Jun 22 - Jul 21, 2025'!$P:$P),0)+IFERROR(SUMIF('Jul 22 - Aug 21, 2025'!$A:$A,"LEASE-BH-F10-2025",'Jul 22 - Aug 21, 2025'!$P:$P),0)+IFERROR(SUMIF('Aug 22 - Sep 21, 2025'!$A:$A,"LEASE-BH-F10-2025",'Aug 22 - Sep 21, 2025'!$P:$P),0)+IFERROR(SUMIF('Sep 22 - Oct 21, 2025'!$A:$A,"LEASE-BH-F10-2025",'Sep 22 - Oct 21, 2025'!$P:$P),0)+IFERROR(SUMIF('Oct 22 - Nov 21, 2025'!$A:$A,"LEASE-BH-F10-2025",'Oct 22 - Nov 21, 2025'!$P:$P),0)</f>
        <v>0.0</v>
      </c>
      <c r="O11" s="3" t="n">
        <f>IFERROR(SUMIF('Dec 22 - Jan 21, 2025'!$A:$A,"LEASE-BH-F10-2025",'Dec 22 - Jan 21, 2025'!$I:$I),0)</f>
        <v>0.0</v>
      </c>
      <c r="P11" s="3" t="n">
        <f>IFERROR(SUMIF('Oct 22 - Nov 21, 2025'!$A:$A,"LEASE-BH-F10-2025",'Oct 22 - Nov 21, 2025'!$K:$K),0)</f>
        <v>0.0</v>
      </c>
    </row>
    <row r="12">
      <c r="A12" t="inlineStr">
        <is>
          <t>LEASE-BH-F10-2025B</t>
        </is>
      </c>
      <c r="B12" t="inlineStr">
        <is>
          <t>Flat 10 - 3 West Gate</t>
        </is>
      </c>
      <c r="C12" t="inlineStr">
        <is>
          <t>Achal (Delegated for Udayan)</t>
        </is>
      </c>
      <c r="D12" t="inlineStr">
        <is>
          <t>Anna Stoliarchuk</t>
        </is>
      </c>
      <c r="E12" s="2" t="n">
        <v>45903.0</v>
      </c>
      <c r="F12" t="n">
        <v>9.0</v>
      </c>
      <c r="G12" s="3" t="n">
        <f>IFERROR(SUMIF('Dec 22 - Jan 21, 2025'!$A:$A,"LEASE-BH-F10-2025B",'Dec 22 - Jan 21, 2025'!$G:$G),0)+IFERROR(SUMIF('Jan 22 - Feb 21, 2025'!$A:$A,"LEASE-BH-F10-2025B",'Jan 22 - Feb 21, 2025'!$G:$G),0)+IFERROR(SUMIF('Feb 22 - Mar 21, 2025'!$A:$A,"LEASE-BH-F10-2025B",'Feb 22 - Mar 21, 2025'!$G:$G),0)+IFERROR(SUMIF('Mar 22 - Apr 21, 2025'!$A:$A,"LEASE-BH-F10-2025B",'Mar 22 - Apr 21, 2025'!$G:$G),0)+IFERROR(SUMIF('Apr 22 - May 21, 2025'!$A:$A,"LEASE-BH-F10-2025B",'Apr 22 - May 21, 2025'!$G:$G),0)+IFERROR(SUMIF('May 22 - Jun 21, 2025'!$A:$A,"LEASE-BH-F10-2025B",'May 22 - Jun 21, 2025'!$G:$G),0)+IFERROR(SUMIF('Jun 22 - Jul 21, 2025'!$A:$A,"LEASE-BH-F10-2025B",'Jun 22 - Jul 21, 2025'!$G:$G),0)+IFERROR(SUMIF('Jul 22 - Aug 21, 2025'!$A:$A,"LEASE-BH-F10-2025B",'Jul 22 - Aug 21, 2025'!$G:$G),0)+IFERROR(SUMIF('Aug 22 - Sep 21, 2025'!$A:$A,"LEASE-BH-F10-2025B",'Aug 22 - Sep 21, 2025'!$G:$G),0)+IFERROR(SUMIF('Sep 22 - Oct 21, 2025'!$A:$A,"LEASE-BH-F10-2025B",'Sep 22 - Oct 21, 2025'!$G:$G),0)+IFERROR(SUMIF('Oct 22 - Nov 21, 2025'!$A:$A,"LEASE-BH-F10-2025B",'Oct 22 - Nov 21, 2025'!$G:$G),0)</f>
        <v>0.0</v>
      </c>
      <c r="H12" s="3" t="n">
        <f>IFERROR(SUMIF('Dec 22 - Jan 21, 2025'!$A:$A,"LEASE-BH-F10-2025B",'Dec 22 - Jan 21, 2025'!$H:$H),0)+IFERROR(SUMIF('Jan 22 - Feb 21, 2025'!$A:$A,"LEASE-BH-F10-2025B",'Jan 22 - Feb 21, 2025'!$H:$H),0)+IFERROR(SUMIF('Feb 22 - Mar 21, 2025'!$A:$A,"LEASE-BH-F10-2025B",'Feb 22 - Mar 21, 2025'!$H:$H),0)+IFERROR(SUMIF('Mar 22 - Apr 21, 2025'!$A:$A,"LEASE-BH-F10-2025B",'Mar 22 - Apr 21, 2025'!$H:$H),0)+IFERROR(SUMIF('Apr 22 - May 21, 2025'!$A:$A,"LEASE-BH-F10-2025B",'Apr 22 - May 21, 2025'!$H:$H),0)+IFERROR(SUMIF('May 22 - Jun 21, 2025'!$A:$A,"LEASE-BH-F10-2025B",'May 22 - Jun 21, 2025'!$H:$H),0)+IFERROR(SUMIF('Jun 22 - Jul 21, 2025'!$A:$A,"LEASE-BH-F10-2025B",'Jun 22 - Jul 21, 2025'!$H:$H),0)+IFERROR(SUMIF('Jul 22 - Aug 21, 2025'!$A:$A,"LEASE-BH-F10-2025B",'Jul 22 - Aug 21, 2025'!$H:$H),0)+IFERROR(SUMIF('Aug 22 - Sep 21, 2025'!$A:$A,"LEASE-BH-F10-2025B",'Aug 22 - Sep 21, 2025'!$H:$H),0)+IFERROR(SUMIF('Sep 22 - Oct 21, 2025'!$A:$A,"LEASE-BH-F10-2025B",'Sep 22 - Oct 21, 2025'!$H:$H),0)+IFERROR(SUMIF('Oct 22 - Nov 21, 2025'!$A:$A,"LEASE-BH-F10-2025B",'Oct 22 - Nov 21, 2025'!$H:$H),0)</f>
        <v>0.0</v>
      </c>
      <c r="I12" s="3" t="n">
        <f>G12 - H12</f>
        <v>0.0</v>
      </c>
      <c r="J12" s="3" t="n">
        <f>IFERROR(SUMIF('Dec 22 - Jan 21, 2025'!$A:$A,"LEASE-BH-F10-2025B",'Dec 22 - Jan 21, 2025'!$L:$L),0)+IFERROR(SUMIF('Jan 22 - Feb 21, 2025'!$A:$A,"LEASE-BH-F10-2025B",'Jan 22 - Feb 21, 2025'!$L:$L),0)+IFERROR(SUMIF('Feb 22 - Mar 21, 2025'!$A:$A,"LEASE-BH-F10-2025B",'Feb 22 - Mar 21, 2025'!$L:$L),0)+IFERROR(SUMIF('Mar 22 - Apr 21, 2025'!$A:$A,"LEASE-BH-F10-2025B",'Mar 22 - Apr 21, 2025'!$L:$L),0)+IFERROR(SUMIF('Apr 22 - May 21, 2025'!$A:$A,"LEASE-BH-F10-2025B",'Apr 22 - May 21, 2025'!$L:$L),0)+IFERROR(SUMIF('May 22 - Jun 21, 2025'!$A:$A,"LEASE-BH-F10-2025B",'May 22 - Jun 21, 2025'!$L:$L),0)+IFERROR(SUMIF('Jun 22 - Jul 21, 2025'!$A:$A,"LEASE-BH-F10-2025B",'Jun 22 - Jul 21, 2025'!$L:$L),0)+IFERROR(SUMIF('Jul 22 - Aug 21, 2025'!$A:$A,"LEASE-BH-F10-2025B",'Jul 22 - Aug 21, 2025'!$L:$L),0)+IFERROR(SUMIF('Aug 22 - Sep 21, 2025'!$A:$A,"LEASE-BH-F10-2025B",'Aug 22 - Sep 21, 2025'!$L:$L),0)+IFERROR(SUMIF('Sep 22 - Oct 21, 2025'!$A:$A,"LEASE-BH-F10-2025B",'Sep 22 - Oct 21, 2025'!$L:$L),0)+IFERROR(SUMIF('Oct 22 - Nov 21, 2025'!$A:$A,"LEASE-BH-F10-2025B",'Oct 22 - Nov 21, 2025'!$L:$L),0)</f>
        <v>0.0</v>
      </c>
      <c r="K12" s="3" t="n">
        <f>IFERROR(SUMIF('Dec 22 - Jan 21, 2025'!$A:$A,"LEASE-BH-F10-2025B",'Dec 22 - Jan 21, 2025'!$M:$M),0)+IFERROR(SUMIF('Jan 22 - Feb 21, 2025'!$A:$A,"LEASE-BH-F10-2025B",'Jan 22 - Feb 21, 2025'!$M:$M),0)+IFERROR(SUMIF('Feb 22 - Mar 21, 2025'!$A:$A,"LEASE-BH-F10-2025B",'Feb 22 - Mar 21, 2025'!$M:$M),0)+IFERROR(SUMIF('Mar 22 - Apr 21, 2025'!$A:$A,"LEASE-BH-F10-2025B",'Mar 22 - Apr 21, 2025'!$M:$M),0)+IFERROR(SUMIF('Apr 22 - May 21, 2025'!$A:$A,"LEASE-BH-F10-2025B",'Apr 22 - May 21, 2025'!$M:$M),0)+IFERROR(SUMIF('May 22 - Jun 21, 2025'!$A:$A,"LEASE-BH-F10-2025B",'May 22 - Jun 21, 2025'!$M:$M),0)+IFERROR(SUMIF('Jun 22 - Jul 21, 2025'!$A:$A,"LEASE-BH-F10-2025B",'Jun 22 - Jul 21, 2025'!$M:$M),0)+IFERROR(SUMIF('Jul 22 - Aug 21, 2025'!$A:$A,"LEASE-BH-F10-2025B",'Jul 22 - Aug 21, 2025'!$M:$M),0)+IFERROR(SUMIF('Aug 22 - Sep 21, 2025'!$A:$A,"LEASE-BH-F10-2025B",'Aug 22 - Sep 21, 2025'!$M:$M),0)+IFERROR(SUMIF('Sep 22 - Oct 21, 2025'!$A:$A,"LEASE-BH-F10-2025B",'Sep 22 - Oct 21, 2025'!$M:$M),0)+IFERROR(SUMIF('Oct 22 - Nov 21, 2025'!$A:$A,"LEASE-BH-F10-2025B",'Oct 22 - Nov 21, 2025'!$M:$M),0)</f>
        <v>0.0</v>
      </c>
      <c r="L12" s="3" t="n">
        <f>IFERROR(SUMIF('Dec 22 - Jan 21, 2025'!$A:$A,"LEASE-BH-F10-2025B",'Dec 22 - Jan 21, 2025'!$N:$N),0)+IFERROR(SUMIF('Jan 22 - Feb 21, 2025'!$A:$A,"LEASE-BH-F10-2025B",'Jan 22 - Feb 21, 2025'!$N:$N),0)+IFERROR(SUMIF('Feb 22 - Mar 21, 2025'!$A:$A,"LEASE-BH-F10-2025B",'Feb 22 - Mar 21, 2025'!$N:$N),0)+IFERROR(SUMIF('Mar 22 - Apr 21, 2025'!$A:$A,"LEASE-BH-F10-2025B",'Mar 22 - Apr 21, 2025'!$N:$N),0)+IFERROR(SUMIF('Apr 22 - May 21, 2025'!$A:$A,"LEASE-BH-F10-2025B",'Apr 22 - May 21, 2025'!$N:$N),0)+IFERROR(SUMIF('May 22 - Jun 21, 2025'!$A:$A,"LEASE-BH-F10-2025B",'May 22 - Jun 21, 2025'!$N:$N),0)+IFERROR(SUMIF('Jun 22 - Jul 21, 2025'!$A:$A,"LEASE-BH-F10-2025B",'Jun 22 - Jul 21, 2025'!$N:$N),0)+IFERROR(SUMIF('Jul 22 - Aug 21, 2025'!$A:$A,"LEASE-BH-F10-2025B",'Jul 22 - Aug 21, 2025'!$N:$N),0)+IFERROR(SUMIF('Aug 22 - Sep 21, 2025'!$A:$A,"LEASE-BH-F10-2025B",'Aug 22 - Sep 21, 2025'!$N:$N),0)+IFERROR(SUMIF('Sep 22 - Oct 21, 2025'!$A:$A,"LEASE-BH-F10-2025B",'Sep 22 - Oct 21, 2025'!$N:$N),0)+IFERROR(SUMIF('Oct 22 - Nov 21, 2025'!$A:$A,"LEASE-BH-F10-2025B",'Oct 22 - Nov 21, 2025'!$N:$N),0)</f>
        <v>0.0</v>
      </c>
      <c r="M12" s="3" t="n">
        <f>IFERROR(SUMIF('Dec 22 - Jan 21, 2025'!$A:$A,"LEASE-BH-F10-2025B",'Dec 22 - Jan 21, 2025'!$O:$O),0)+IFERROR(SUMIF('Jan 22 - Feb 21, 2025'!$A:$A,"LEASE-BH-F10-2025B",'Jan 22 - Feb 21, 2025'!$O:$O),0)+IFERROR(SUMIF('Feb 22 - Mar 21, 2025'!$A:$A,"LEASE-BH-F10-2025B",'Feb 22 - Mar 21, 2025'!$O:$O),0)+IFERROR(SUMIF('Mar 22 - Apr 21, 2025'!$A:$A,"LEASE-BH-F10-2025B",'Mar 22 - Apr 21, 2025'!$O:$O),0)+IFERROR(SUMIF('Apr 22 - May 21, 2025'!$A:$A,"LEASE-BH-F10-2025B",'Apr 22 - May 21, 2025'!$O:$O),0)+IFERROR(SUMIF('May 22 - Jun 21, 2025'!$A:$A,"LEASE-BH-F10-2025B",'May 22 - Jun 21, 2025'!$O:$O),0)+IFERROR(SUMIF('Jun 22 - Jul 21, 2025'!$A:$A,"LEASE-BH-F10-2025B",'Jun 22 - Jul 21, 2025'!$O:$O),0)+IFERROR(SUMIF('Jul 22 - Aug 21, 2025'!$A:$A,"LEASE-BH-F10-2025B",'Jul 22 - Aug 21, 2025'!$O:$O),0)+IFERROR(SUMIF('Aug 22 - Sep 21, 2025'!$A:$A,"LEASE-BH-F10-2025B",'Aug 22 - Sep 21, 2025'!$O:$O),0)+IFERROR(SUMIF('Sep 22 - Oct 21, 2025'!$A:$A,"LEASE-BH-F10-2025B",'Sep 22 - Oct 21, 2025'!$O:$O),0)+IFERROR(SUMIF('Oct 22 - Nov 21, 2025'!$A:$A,"LEASE-BH-F10-2025B",'Oct 22 - Nov 21, 2025'!$O:$O),0)</f>
        <v>0.0</v>
      </c>
      <c r="N12" s="3" t="n">
        <f>IFERROR(SUMIF('Dec 22 - Jan 21, 2025'!$A:$A,"LEASE-BH-F10-2025B",'Dec 22 - Jan 21, 2025'!$P:$P),0)+IFERROR(SUMIF('Jan 22 - Feb 21, 2025'!$A:$A,"LEASE-BH-F10-2025B",'Jan 22 - Feb 21, 2025'!$P:$P),0)+IFERROR(SUMIF('Feb 22 - Mar 21, 2025'!$A:$A,"LEASE-BH-F10-2025B",'Feb 22 - Mar 21, 2025'!$P:$P),0)+IFERROR(SUMIF('Mar 22 - Apr 21, 2025'!$A:$A,"LEASE-BH-F10-2025B",'Mar 22 - Apr 21, 2025'!$P:$P),0)+IFERROR(SUMIF('Apr 22 - May 21, 2025'!$A:$A,"LEASE-BH-F10-2025B",'Apr 22 - May 21, 2025'!$P:$P),0)+IFERROR(SUMIF('May 22 - Jun 21, 2025'!$A:$A,"LEASE-BH-F10-2025B",'May 22 - Jun 21, 2025'!$P:$P),0)+IFERROR(SUMIF('Jun 22 - Jul 21, 2025'!$A:$A,"LEASE-BH-F10-2025B",'Jun 22 - Jul 21, 2025'!$P:$P),0)+IFERROR(SUMIF('Jul 22 - Aug 21, 2025'!$A:$A,"LEASE-BH-F10-2025B",'Jul 22 - Aug 21, 2025'!$P:$P),0)+IFERROR(SUMIF('Aug 22 - Sep 21, 2025'!$A:$A,"LEASE-BH-F10-2025B",'Aug 22 - Sep 21, 2025'!$P:$P),0)+IFERROR(SUMIF('Sep 22 - Oct 21, 2025'!$A:$A,"LEASE-BH-F10-2025B",'Sep 22 - Oct 21, 2025'!$P:$P),0)+IFERROR(SUMIF('Oct 22 - Nov 21, 2025'!$A:$A,"LEASE-BH-F10-2025B",'Oct 22 - Nov 21, 2025'!$P:$P),0)</f>
        <v>0.0</v>
      </c>
      <c r="O12" s="3" t="n">
        <f>IFERROR(SUMIF('Dec 22 - Jan 21, 2025'!$A:$A,"LEASE-BH-F10-2025B",'Dec 22 - Jan 21, 2025'!$I:$I),0)</f>
        <v>0.0</v>
      </c>
      <c r="P12" s="3" t="n">
        <f>IFERROR(SUMIF('Oct 22 - Nov 21, 2025'!$A:$A,"LEASE-BH-F10-2025B",'Oct 22 - Nov 21, 2025'!$K:$K),0)</f>
        <v>0.0</v>
      </c>
    </row>
    <row r="13">
      <c r="A13" t="inlineStr">
        <is>
          <t>LEASE-BH-F11-2025</t>
        </is>
      </c>
      <c r="B13" t="inlineStr">
        <is>
          <t>Flat 11 - 3 West Gate</t>
        </is>
      </c>
      <c r="C13" t="inlineStr">
        <is>
          <t>Achal (Delegated for Udayan)</t>
        </is>
      </c>
      <c r="D13" t="inlineStr">
        <is>
          <t>Mr Richard Perrotta</t>
        </is>
      </c>
      <c r="E13" s="2" t="n">
        <v>45722.0</v>
      </c>
      <c r="F13" t="n">
        <v>26.0</v>
      </c>
      <c r="G13" s="3" t="n">
        <f>IFERROR(SUMIF('Dec 22 - Jan 21, 2025'!$A:$A,"LEASE-BH-F11-2025",'Dec 22 - Jan 21, 2025'!$G:$G),0)+IFERROR(SUMIF('Jan 22 - Feb 21, 2025'!$A:$A,"LEASE-BH-F11-2025",'Jan 22 - Feb 21, 2025'!$G:$G),0)+IFERROR(SUMIF('Feb 22 - Mar 21, 2025'!$A:$A,"LEASE-BH-F11-2025",'Feb 22 - Mar 21, 2025'!$G:$G),0)+IFERROR(SUMIF('Mar 22 - Apr 21, 2025'!$A:$A,"LEASE-BH-F11-2025",'Mar 22 - Apr 21, 2025'!$G:$G),0)+IFERROR(SUMIF('Apr 22 - May 21, 2025'!$A:$A,"LEASE-BH-F11-2025",'Apr 22 - May 21, 2025'!$G:$G),0)+IFERROR(SUMIF('May 22 - Jun 21, 2025'!$A:$A,"LEASE-BH-F11-2025",'May 22 - Jun 21, 2025'!$G:$G),0)+IFERROR(SUMIF('Jun 22 - Jul 21, 2025'!$A:$A,"LEASE-BH-F11-2025",'Jun 22 - Jul 21, 2025'!$G:$G),0)+IFERROR(SUMIF('Jul 22 - Aug 21, 2025'!$A:$A,"LEASE-BH-F11-2025",'Jul 22 - Aug 21, 2025'!$G:$G),0)+IFERROR(SUMIF('Aug 22 - Sep 21, 2025'!$A:$A,"LEASE-BH-F11-2025",'Aug 22 - Sep 21, 2025'!$G:$G),0)+IFERROR(SUMIF('Sep 22 - Oct 21, 2025'!$A:$A,"LEASE-BH-F11-2025",'Sep 22 - Oct 21, 2025'!$G:$G),0)+IFERROR(SUMIF('Oct 22 - Nov 21, 2025'!$A:$A,"LEASE-BH-F11-2025",'Oct 22 - Nov 21, 2025'!$G:$G),0)</f>
        <v>0.0</v>
      </c>
      <c r="H13" s="3" t="n">
        <f>IFERROR(SUMIF('Dec 22 - Jan 21, 2025'!$A:$A,"LEASE-BH-F11-2025",'Dec 22 - Jan 21, 2025'!$H:$H),0)+IFERROR(SUMIF('Jan 22 - Feb 21, 2025'!$A:$A,"LEASE-BH-F11-2025",'Jan 22 - Feb 21, 2025'!$H:$H),0)+IFERROR(SUMIF('Feb 22 - Mar 21, 2025'!$A:$A,"LEASE-BH-F11-2025",'Feb 22 - Mar 21, 2025'!$H:$H),0)+IFERROR(SUMIF('Mar 22 - Apr 21, 2025'!$A:$A,"LEASE-BH-F11-2025",'Mar 22 - Apr 21, 2025'!$H:$H),0)+IFERROR(SUMIF('Apr 22 - May 21, 2025'!$A:$A,"LEASE-BH-F11-2025",'Apr 22 - May 21, 2025'!$H:$H),0)+IFERROR(SUMIF('May 22 - Jun 21, 2025'!$A:$A,"LEASE-BH-F11-2025",'May 22 - Jun 21, 2025'!$H:$H),0)+IFERROR(SUMIF('Jun 22 - Jul 21, 2025'!$A:$A,"LEASE-BH-F11-2025",'Jun 22 - Jul 21, 2025'!$H:$H),0)+IFERROR(SUMIF('Jul 22 - Aug 21, 2025'!$A:$A,"LEASE-BH-F11-2025",'Jul 22 - Aug 21, 2025'!$H:$H),0)+IFERROR(SUMIF('Aug 22 - Sep 21, 2025'!$A:$A,"LEASE-BH-F11-2025",'Aug 22 - Sep 21, 2025'!$H:$H),0)+IFERROR(SUMIF('Sep 22 - Oct 21, 2025'!$A:$A,"LEASE-BH-F11-2025",'Sep 22 - Oct 21, 2025'!$H:$H),0)+IFERROR(SUMIF('Oct 22 - Nov 21, 2025'!$A:$A,"LEASE-BH-F11-2025",'Oct 22 - Nov 21, 2025'!$H:$H),0)</f>
        <v>0.0</v>
      </c>
      <c r="I13" s="3" t="n">
        <f>G13 - H13</f>
        <v>0.0</v>
      </c>
      <c r="J13" s="3" t="n">
        <f>IFERROR(SUMIF('Dec 22 - Jan 21, 2025'!$A:$A,"LEASE-BH-F11-2025",'Dec 22 - Jan 21, 2025'!$L:$L),0)+IFERROR(SUMIF('Jan 22 - Feb 21, 2025'!$A:$A,"LEASE-BH-F11-2025",'Jan 22 - Feb 21, 2025'!$L:$L),0)+IFERROR(SUMIF('Feb 22 - Mar 21, 2025'!$A:$A,"LEASE-BH-F11-2025",'Feb 22 - Mar 21, 2025'!$L:$L),0)+IFERROR(SUMIF('Mar 22 - Apr 21, 2025'!$A:$A,"LEASE-BH-F11-2025",'Mar 22 - Apr 21, 2025'!$L:$L),0)+IFERROR(SUMIF('Apr 22 - May 21, 2025'!$A:$A,"LEASE-BH-F11-2025",'Apr 22 - May 21, 2025'!$L:$L),0)+IFERROR(SUMIF('May 22 - Jun 21, 2025'!$A:$A,"LEASE-BH-F11-2025",'May 22 - Jun 21, 2025'!$L:$L),0)+IFERROR(SUMIF('Jun 22 - Jul 21, 2025'!$A:$A,"LEASE-BH-F11-2025",'Jun 22 - Jul 21, 2025'!$L:$L),0)+IFERROR(SUMIF('Jul 22 - Aug 21, 2025'!$A:$A,"LEASE-BH-F11-2025",'Jul 22 - Aug 21, 2025'!$L:$L),0)+IFERROR(SUMIF('Aug 22 - Sep 21, 2025'!$A:$A,"LEASE-BH-F11-2025",'Aug 22 - Sep 21, 2025'!$L:$L),0)+IFERROR(SUMIF('Sep 22 - Oct 21, 2025'!$A:$A,"LEASE-BH-F11-2025",'Sep 22 - Oct 21, 2025'!$L:$L),0)+IFERROR(SUMIF('Oct 22 - Nov 21, 2025'!$A:$A,"LEASE-BH-F11-2025",'Oct 22 - Nov 21, 2025'!$L:$L),0)</f>
        <v>0.0</v>
      </c>
      <c r="K13" s="3" t="n">
        <f>IFERROR(SUMIF('Dec 22 - Jan 21, 2025'!$A:$A,"LEASE-BH-F11-2025",'Dec 22 - Jan 21, 2025'!$M:$M),0)+IFERROR(SUMIF('Jan 22 - Feb 21, 2025'!$A:$A,"LEASE-BH-F11-2025",'Jan 22 - Feb 21, 2025'!$M:$M),0)+IFERROR(SUMIF('Feb 22 - Mar 21, 2025'!$A:$A,"LEASE-BH-F11-2025",'Feb 22 - Mar 21, 2025'!$M:$M),0)+IFERROR(SUMIF('Mar 22 - Apr 21, 2025'!$A:$A,"LEASE-BH-F11-2025",'Mar 22 - Apr 21, 2025'!$M:$M),0)+IFERROR(SUMIF('Apr 22 - May 21, 2025'!$A:$A,"LEASE-BH-F11-2025",'Apr 22 - May 21, 2025'!$M:$M),0)+IFERROR(SUMIF('May 22 - Jun 21, 2025'!$A:$A,"LEASE-BH-F11-2025",'May 22 - Jun 21, 2025'!$M:$M),0)+IFERROR(SUMIF('Jun 22 - Jul 21, 2025'!$A:$A,"LEASE-BH-F11-2025",'Jun 22 - Jul 21, 2025'!$M:$M),0)+IFERROR(SUMIF('Jul 22 - Aug 21, 2025'!$A:$A,"LEASE-BH-F11-2025",'Jul 22 - Aug 21, 2025'!$M:$M),0)+IFERROR(SUMIF('Aug 22 - Sep 21, 2025'!$A:$A,"LEASE-BH-F11-2025",'Aug 22 - Sep 21, 2025'!$M:$M),0)+IFERROR(SUMIF('Sep 22 - Oct 21, 2025'!$A:$A,"LEASE-BH-F11-2025",'Sep 22 - Oct 21, 2025'!$M:$M),0)+IFERROR(SUMIF('Oct 22 - Nov 21, 2025'!$A:$A,"LEASE-BH-F11-2025",'Oct 22 - Nov 21, 2025'!$M:$M),0)</f>
        <v>0.0</v>
      </c>
      <c r="L13" s="3" t="n">
        <f>IFERROR(SUMIF('Dec 22 - Jan 21, 2025'!$A:$A,"LEASE-BH-F11-2025",'Dec 22 - Jan 21, 2025'!$N:$N),0)+IFERROR(SUMIF('Jan 22 - Feb 21, 2025'!$A:$A,"LEASE-BH-F11-2025",'Jan 22 - Feb 21, 2025'!$N:$N),0)+IFERROR(SUMIF('Feb 22 - Mar 21, 2025'!$A:$A,"LEASE-BH-F11-2025",'Feb 22 - Mar 21, 2025'!$N:$N),0)+IFERROR(SUMIF('Mar 22 - Apr 21, 2025'!$A:$A,"LEASE-BH-F11-2025",'Mar 22 - Apr 21, 2025'!$N:$N),0)+IFERROR(SUMIF('Apr 22 - May 21, 2025'!$A:$A,"LEASE-BH-F11-2025",'Apr 22 - May 21, 2025'!$N:$N),0)+IFERROR(SUMIF('May 22 - Jun 21, 2025'!$A:$A,"LEASE-BH-F11-2025",'May 22 - Jun 21, 2025'!$N:$N),0)+IFERROR(SUMIF('Jun 22 - Jul 21, 2025'!$A:$A,"LEASE-BH-F11-2025",'Jun 22 - Jul 21, 2025'!$N:$N),0)+IFERROR(SUMIF('Jul 22 - Aug 21, 2025'!$A:$A,"LEASE-BH-F11-2025",'Jul 22 - Aug 21, 2025'!$N:$N),0)+IFERROR(SUMIF('Aug 22 - Sep 21, 2025'!$A:$A,"LEASE-BH-F11-2025",'Aug 22 - Sep 21, 2025'!$N:$N),0)+IFERROR(SUMIF('Sep 22 - Oct 21, 2025'!$A:$A,"LEASE-BH-F11-2025",'Sep 22 - Oct 21, 2025'!$N:$N),0)+IFERROR(SUMIF('Oct 22 - Nov 21, 2025'!$A:$A,"LEASE-BH-F11-2025",'Oct 22 - Nov 21, 2025'!$N:$N),0)</f>
        <v>0.0</v>
      </c>
      <c r="M13" s="3" t="n">
        <f>IFERROR(SUMIF('Dec 22 - Jan 21, 2025'!$A:$A,"LEASE-BH-F11-2025",'Dec 22 - Jan 21, 2025'!$O:$O),0)+IFERROR(SUMIF('Jan 22 - Feb 21, 2025'!$A:$A,"LEASE-BH-F11-2025",'Jan 22 - Feb 21, 2025'!$O:$O),0)+IFERROR(SUMIF('Feb 22 - Mar 21, 2025'!$A:$A,"LEASE-BH-F11-2025",'Feb 22 - Mar 21, 2025'!$O:$O),0)+IFERROR(SUMIF('Mar 22 - Apr 21, 2025'!$A:$A,"LEASE-BH-F11-2025",'Mar 22 - Apr 21, 2025'!$O:$O),0)+IFERROR(SUMIF('Apr 22 - May 21, 2025'!$A:$A,"LEASE-BH-F11-2025",'Apr 22 - May 21, 2025'!$O:$O),0)+IFERROR(SUMIF('May 22 - Jun 21, 2025'!$A:$A,"LEASE-BH-F11-2025",'May 22 - Jun 21, 2025'!$O:$O),0)+IFERROR(SUMIF('Jun 22 - Jul 21, 2025'!$A:$A,"LEASE-BH-F11-2025",'Jun 22 - Jul 21, 2025'!$O:$O),0)+IFERROR(SUMIF('Jul 22 - Aug 21, 2025'!$A:$A,"LEASE-BH-F11-2025",'Jul 22 - Aug 21, 2025'!$O:$O),0)+IFERROR(SUMIF('Aug 22 - Sep 21, 2025'!$A:$A,"LEASE-BH-F11-2025",'Aug 22 - Sep 21, 2025'!$O:$O),0)+IFERROR(SUMIF('Sep 22 - Oct 21, 2025'!$A:$A,"LEASE-BH-F11-2025",'Sep 22 - Oct 21, 2025'!$O:$O),0)+IFERROR(SUMIF('Oct 22 - Nov 21, 2025'!$A:$A,"LEASE-BH-F11-2025",'Oct 22 - Nov 21, 2025'!$O:$O),0)</f>
        <v>0.0</v>
      </c>
      <c r="N13" s="3" t="n">
        <f>IFERROR(SUMIF('Dec 22 - Jan 21, 2025'!$A:$A,"LEASE-BH-F11-2025",'Dec 22 - Jan 21, 2025'!$P:$P),0)+IFERROR(SUMIF('Jan 22 - Feb 21, 2025'!$A:$A,"LEASE-BH-F11-2025",'Jan 22 - Feb 21, 2025'!$P:$P),0)+IFERROR(SUMIF('Feb 22 - Mar 21, 2025'!$A:$A,"LEASE-BH-F11-2025",'Feb 22 - Mar 21, 2025'!$P:$P),0)+IFERROR(SUMIF('Mar 22 - Apr 21, 2025'!$A:$A,"LEASE-BH-F11-2025",'Mar 22 - Apr 21, 2025'!$P:$P),0)+IFERROR(SUMIF('Apr 22 - May 21, 2025'!$A:$A,"LEASE-BH-F11-2025",'Apr 22 - May 21, 2025'!$P:$P),0)+IFERROR(SUMIF('May 22 - Jun 21, 2025'!$A:$A,"LEASE-BH-F11-2025",'May 22 - Jun 21, 2025'!$P:$P),0)+IFERROR(SUMIF('Jun 22 - Jul 21, 2025'!$A:$A,"LEASE-BH-F11-2025",'Jun 22 - Jul 21, 2025'!$P:$P),0)+IFERROR(SUMIF('Jul 22 - Aug 21, 2025'!$A:$A,"LEASE-BH-F11-2025",'Jul 22 - Aug 21, 2025'!$P:$P),0)+IFERROR(SUMIF('Aug 22 - Sep 21, 2025'!$A:$A,"LEASE-BH-F11-2025",'Aug 22 - Sep 21, 2025'!$P:$P),0)+IFERROR(SUMIF('Sep 22 - Oct 21, 2025'!$A:$A,"LEASE-BH-F11-2025",'Sep 22 - Oct 21, 2025'!$P:$P),0)+IFERROR(SUMIF('Oct 22 - Nov 21, 2025'!$A:$A,"LEASE-BH-F11-2025",'Oct 22 - Nov 21, 2025'!$P:$P),0)</f>
        <v>0.0</v>
      </c>
      <c r="O13" s="3" t="n">
        <f>IFERROR(SUMIF('Dec 22 - Jan 21, 2025'!$A:$A,"LEASE-BH-F11-2025",'Dec 22 - Jan 21, 2025'!$I:$I),0)</f>
        <v>0.0</v>
      </c>
      <c r="P13" s="3" t="n">
        <f>IFERROR(SUMIF('Oct 22 - Nov 21, 2025'!$A:$A,"LEASE-BH-F11-2025",'Oct 22 - Nov 21, 2025'!$K:$K),0)</f>
        <v>0.0</v>
      </c>
    </row>
    <row r="14">
      <c r="A14" t="inlineStr">
        <is>
          <t>LEASE-BH-F12-2025</t>
        </is>
      </c>
      <c r="B14" t="inlineStr">
        <is>
          <t>Flat 12 - 3 West Gate</t>
        </is>
      </c>
      <c r="C14" t="inlineStr">
        <is>
          <t>Achal (Delegated for Udayan)</t>
        </is>
      </c>
      <c r="D14" t="inlineStr">
        <is>
          <t>MR J SOOPIYADAKATH THEKKE PURAYIL &amp; MS S</t>
        </is>
      </c>
      <c r="E14" s="2" t="n">
        <v>45754.0</v>
      </c>
      <c r="F14" t="n">
        <v>7.0</v>
      </c>
      <c r="G14" s="3" t="n">
        <f>IFERROR(SUMIF('Dec 22 - Jan 21, 2025'!$A:$A,"LEASE-BH-F12-2025",'Dec 22 - Jan 21, 2025'!$G:$G),0)+IFERROR(SUMIF('Jan 22 - Feb 21, 2025'!$A:$A,"LEASE-BH-F12-2025",'Jan 22 - Feb 21, 2025'!$G:$G),0)+IFERROR(SUMIF('Feb 22 - Mar 21, 2025'!$A:$A,"LEASE-BH-F12-2025",'Feb 22 - Mar 21, 2025'!$G:$G),0)+IFERROR(SUMIF('Mar 22 - Apr 21, 2025'!$A:$A,"LEASE-BH-F12-2025",'Mar 22 - Apr 21, 2025'!$G:$G),0)+IFERROR(SUMIF('Apr 22 - May 21, 2025'!$A:$A,"LEASE-BH-F12-2025",'Apr 22 - May 21, 2025'!$G:$G),0)+IFERROR(SUMIF('May 22 - Jun 21, 2025'!$A:$A,"LEASE-BH-F12-2025",'May 22 - Jun 21, 2025'!$G:$G),0)+IFERROR(SUMIF('Jun 22 - Jul 21, 2025'!$A:$A,"LEASE-BH-F12-2025",'Jun 22 - Jul 21, 2025'!$G:$G),0)+IFERROR(SUMIF('Jul 22 - Aug 21, 2025'!$A:$A,"LEASE-BH-F12-2025",'Jul 22 - Aug 21, 2025'!$G:$G),0)+IFERROR(SUMIF('Aug 22 - Sep 21, 2025'!$A:$A,"LEASE-BH-F12-2025",'Aug 22 - Sep 21, 2025'!$G:$G),0)+IFERROR(SUMIF('Sep 22 - Oct 21, 2025'!$A:$A,"LEASE-BH-F12-2025",'Sep 22 - Oct 21, 2025'!$G:$G),0)+IFERROR(SUMIF('Oct 22 - Nov 21, 2025'!$A:$A,"LEASE-BH-F12-2025",'Oct 22 - Nov 21, 2025'!$G:$G),0)</f>
        <v>0.0</v>
      </c>
      <c r="H14" s="3" t="n">
        <f>IFERROR(SUMIF('Dec 22 - Jan 21, 2025'!$A:$A,"LEASE-BH-F12-2025",'Dec 22 - Jan 21, 2025'!$H:$H),0)+IFERROR(SUMIF('Jan 22 - Feb 21, 2025'!$A:$A,"LEASE-BH-F12-2025",'Jan 22 - Feb 21, 2025'!$H:$H),0)+IFERROR(SUMIF('Feb 22 - Mar 21, 2025'!$A:$A,"LEASE-BH-F12-2025",'Feb 22 - Mar 21, 2025'!$H:$H),0)+IFERROR(SUMIF('Mar 22 - Apr 21, 2025'!$A:$A,"LEASE-BH-F12-2025",'Mar 22 - Apr 21, 2025'!$H:$H),0)+IFERROR(SUMIF('Apr 22 - May 21, 2025'!$A:$A,"LEASE-BH-F12-2025",'Apr 22 - May 21, 2025'!$H:$H),0)+IFERROR(SUMIF('May 22 - Jun 21, 2025'!$A:$A,"LEASE-BH-F12-2025",'May 22 - Jun 21, 2025'!$H:$H),0)+IFERROR(SUMIF('Jun 22 - Jul 21, 2025'!$A:$A,"LEASE-BH-F12-2025",'Jun 22 - Jul 21, 2025'!$H:$H),0)+IFERROR(SUMIF('Jul 22 - Aug 21, 2025'!$A:$A,"LEASE-BH-F12-2025",'Jul 22 - Aug 21, 2025'!$H:$H),0)+IFERROR(SUMIF('Aug 22 - Sep 21, 2025'!$A:$A,"LEASE-BH-F12-2025",'Aug 22 - Sep 21, 2025'!$H:$H),0)+IFERROR(SUMIF('Sep 22 - Oct 21, 2025'!$A:$A,"LEASE-BH-F12-2025",'Sep 22 - Oct 21, 2025'!$H:$H),0)+IFERROR(SUMIF('Oct 22 - Nov 21, 2025'!$A:$A,"LEASE-BH-F12-2025",'Oct 22 - Nov 21, 2025'!$H:$H),0)</f>
        <v>0.0</v>
      </c>
      <c r="I14" s="3" t="n">
        <f>G14 - H14</f>
        <v>0.0</v>
      </c>
      <c r="J14" s="3" t="n">
        <f>IFERROR(SUMIF('Dec 22 - Jan 21, 2025'!$A:$A,"LEASE-BH-F12-2025",'Dec 22 - Jan 21, 2025'!$L:$L),0)+IFERROR(SUMIF('Jan 22 - Feb 21, 2025'!$A:$A,"LEASE-BH-F12-2025",'Jan 22 - Feb 21, 2025'!$L:$L),0)+IFERROR(SUMIF('Feb 22 - Mar 21, 2025'!$A:$A,"LEASE-BH-F12-2025",'Feb 22 - Mar 21, 2025'!$L:$L),0)+IFERROR(SUMIF('Mar 22 - Apr 21, 2025'!$A:$A,"LEASE-BH-F12-2025",'Mar 22 - Apr 21, 2025'!$L:$L),0)+IFERROR(SUMIF('Apr 22 - May 21, 2025'!$A:$A,"LEASE-BH-F12-2025",'Apr 22 - May 21, 2025'!$L:$L),0)+IFERROR(SUMIF('May 22 - Jun 21, 2025'!$A:$A,"LEASE-BH-F12-2025",'May 22 - Jun 21, 2025'!$L:$L),0)+IFERROR(SUMIF('Jun 22 - Jul 21, 2025'!$A:$A,"LEASE-BH-F12-2025",'Jun 22 - Jul 21, 2025'!$L:$L),0)+IFERROR(SUMIF('Jul 22 - Aug 21, 2025'!$A:$A,"LEASE-BH-F12-2025",'Jul 22 - Aug 21, 2025'!$L:$L),0)+IFERROR(SUMIF('Aug 22 - Sep 21, 2025'!$A:$A,"LEASE-BH-F12-2025",'Aug 22 - Sep 21, 2025'!$L:$L),0)+IFERROR(SUMIF('Sep 22 - Oct 21, 2025'!$A:$A,"LEASE-BH-F12-2025",'Sep 22 - Oct 21, 2025'!$L:$L),0)+IFERROR(SUMIF('Oct 22 - Nov 21, 2025'!$A:$A,"LEASE-BH-F12-2025",'Oct 22 - Nov 21, 2025'!$L:$L),0)</f>
        <v>0.0</v>
      </c>
      <c r="K14" s="3" t="n">
        <f>IFERROR(SUMIF('Dec 22 - Jan 21, 2025'!$A:$A,"LEASE-BH-F12-2025",'Dec 22 - Jan 21, 2025'!$M:$M),0)+IFERROR(SUMIF('Jan 22 - Feb 21, 2025'!$A:$A,"LEASE-BH-F12-2025",'Jan 22 - Feb 21, 2025'!$M:$M),0)+IFERROR(SUMIF('Feb 22 - Mar 21, 2025'!$A:$A,"LEASE-BH-F12-2025",'Feb 22 - Mar 21, 2025'!$M:$M),0)+IFERROR(SUMIF('Mar 22 - Apr 21, 2025'!$A:$A,"LEASE-BH-F12-2025",'Mar 22 - Apr 21, 2025'!$M:$M),0)+IFERROR(SUMIF('Apr 22 - May 21, 2025'!$A:$A,"LEASE-BH-F12-2025",'Apr 22 - May 21, 2025'!$M:$M),0)+IFERROR(SUMIF('May 22 - Jun 21, 2025'!$A:$A,"LEASE-BH-F12-2025",'May 22 - Jun 21, 2025'!$M:$M),0)+IFERROR(SUMIF('Jun 22 - Jul 21, 2025'!$A:$A,"LEASE-BH-F12-2025",'Jun 22 - Jul 21, 2025'!$M:$M),0)+IFERROR(SUMIF('Jul 22 - Aug 21, 2025'!$A:$A,"LEASE-BH-F12-2025",'Jul 22 - Aug 21, 2025'!$M:$M),0)+IFERROR(SUMIF('Aug 22 - Sep 21, 2025'!$A:$A,"LEASE-BH-F12-2025",'Aug 22 - Sep 21, 2025'!$M:$M),0)+IFERROR(SUMIF('Sep 22 - Oct 21, 2025'!$A:$A,"LEASE-BH-F12-2025",'Sep 22 - Oct 21, 2025'!$M:$M),0)+IFERROR(SUMIF('Oct 22 - Nov 21, 2025'!$A:$A,"LEASE-BH-F12-2025",'Oct 22 - Nov 21, 2025'!$M:$M),0)</f>
        <v>0.0</v>
      </c>
      <c r="L14" s="3" t="n">
        <f>IFERROR(SUMIF('Dec 22 - Jan 21, 2025'!$A:$A,"LEASE-BH-F12-2025",'Dec 22 - Jan 21, 2025'!$N:$N),0)+IFERROR(SUMIF('Jan 22 - Feb 21, 2025'!$A:$A,"LEASE-BH-F12-2025",'Jan 22 - Feb 21, 2025'!$N:$N),0)+IFERROR(SUMIF('Feb 22 - Mar 21, 2025'!$A:$A,"LEASE-BH-F12-2025",'Feb 22 - Mar 21, 2025'!$N:$N),0)+IFERROR(SUMIF('Mar 22 - Apr 21, 2025'!$A:$A,"LEASE-BH-F12-2025",'Mar 22 - Apr 21, 2025'!$N:$N),0)+IFERROR(SUMIF('Apr 22 - May 21, 2025'!$A:$A,"LEASE-BH-F12-2025",'Apr 22 - May 21, 2025'!$N:$N),0)+IFERROR(SUMIF('May 22 - Jun 21, 2025'!$A:$A,"LEASE-BH-F12-2025",'May 22 - Jun 21, 2025'!$N:$N),0)+IFERROR(SUMIF('Jun 22 - Jul 21, 2025'!$A:$A,"LEASE-BH-F12-2025",'Jun 22 - Jul 21, 2025'!$N:$N),0)+IFERROR(SUMIF('Jul 22 - Aug 21, 2025'!$A:$A,"LEASE-BH-F12-2025",'Jul 22 - Aug 21, 2025'!$N:$N),0)+IFERROR(SUMIF('Aug 22 - Sep 21, 2025'!$A:$A,"LEASE-BH-F12-2025",'Aug 22 - Sep 21, 2025'!$N:$N),0)+IFERROR(SUMIF('Sep 22 - Oct 21, 2025'!$A:$A,"LEASE-BH-F12-2025",'Sep 22 - Oct 21, 2025'!$N:$N),0)+IFERROR(SUMIF('Oct 22 - Nov 21, 2025'!$A:$A,"LEASE-BH-F12-2025",'Oct 22 - Nov 21, 2025'!$N:$N),0)</f>
        <v>0.0</v>
      </c>
      <c r="M14" s="3" t="n">
        <f>IFERROR(SUMIF('Dec 22 - Jan 21, 2025'!$A:$A,"LEASE-BH-F12-2025",'Dec 22 - Jan 21, 2025'!$O:$O),0)+IFERROR(SUMIF('Jan 22 - Feb 21, 2025'!$A:$A,"LEASE-BH-F12-2025",'Jan 22 - Feb 21, 2025'!$O:$O),0)+IFERROR(SUMIF('Feb 22 - Mar 21, 2025'!$A:$A,"LEASE-BH-F12-2025",'Feb 22 - Mar 21, 2025'!$O:$O),0)+IFERROR(SUMIF('Mar 22 - Apr 21, 2025'!$A:$A,"LEASE-BH-F12-2025",'Mar 22 - Apr 21, 2025'!$O:$O),0)+IFERROR(SUMIF('Apr 22 - May 21, 2025'!$A:$A,"LEASE-BH-F12-2025",'Apr 22 - May 21, 2025'!$O:$O),0)+IFERROR(SUMIF('May 22 - Jun 21, 2025'!$A:$A,"LEASE-BH-F12-2025",'May 22 - Jun 21, 2025'!$O:$O),0)+IFERROR(SUMIF('Jun 22 - Jul 21, 2025'!$A:$A,"LEASE-BH-F12-2025",'Jun 22 - Jul 21, 2025'!$O:$O),0)+IFERROR(SUMIF('Jul 22 - Aug 21, 2025'!$A:$A,"LEASE-BH-F12-2025",'Jul 22 - Aug 21, 2025'!$O:$O),0)+IFERROR(SUMIF('Aug 22 - Sep 21, 2025'!$A:$A,"LEASE-BH-F12-2025",'Aug 22 - Sep 21, 2025'!$O:$O),0)+IFERROR(SUMIF('Sep 22 - Oct 21, 2025'!$A:$A,"LEASE-BH-F12-2025",'Sep 22 - Oct 21, 2025'!$O:$O),0)+IFERROR(SUMIF('Oct 22 - Nov 21, 2025'!$A:$A,"LEASE-BH-F12-2025",'Oct 22 - Nov 21, 2025'!$O:$O),0)</f>
        <v>0.0</v>
      </c>
      <c r="N14" s="3" t="n">
        <f>IFERROR(SUMIF('Dec 22 - Jan 21, 2025'!$A:$A,"LEASE-BH-F12-2025",'Dec 22 - Jan 21, 2025'!$P:$P),0)+IFERROR(SUMIF('Jan 22 - Feb 21, 2025'!$A:$A,"LEASE-BH-F12-2025",'Jan 22 - Feb 21, 2025'!$P:$P),0)+IFERROR(SUMIF('Feb 22 - Mar 21, 2025'!$A:$A,"LEASE-BH-F12-2025",'Feb 22 - Mar 21, 2025'!$P:$P),0)+IFERROR(SUMIF('Mar 22 - Apr 21, 2025'!$A:$A,"LEASE-BH-F12-2025",'Mar 22 - Apr 21, 2025'!$P:$P),0)+IFERROR(SUMIF('Apr 22 - May 21, 2025'!$A:$A,"LEASE-BH-F12-2025",'Apr 22 - May 21, 2025'!$P:$P),0)+IFERROR(SUMIF('May 22 - Jun 21, 2025'!$A:$A,"LEASE-BH-F12-2025",'May 22 - Jun 21, 2025'!$P:$P),0)+IFERROR(SUMIF('Jun 22 - Jul 21, 2025'!$A:$A,"LEASE-BH-F12-2025",'Jun 22 - Jul 21, 2025'!$P:$P),0)+IFERROR(SUMIF('Jul 22 - Aug 21, 2025'!$A:$A,"LEASE-BH-F12-2025",'Jul 22 - Aug 21, 2025'!$P:$P),0)+IFERROR(SUMIF('Aug 22 - Sep 21, 2025'!$A:$A,"LEASE-BH-F12-2025",'Aug 22 - Sep 21, 2025'!$P:$P),0)+IFERROR(SUMIF('Sep 22 - Oct 21, 2025'!$A:$A,"LEASE-BH-F12-2025",'Sep 22 - Oct 21, 2025'!$P:$P),0)+IFERROR(SUMIF('Oct 22 - Nov 21, 2025'!$A:$A,"LEASE-BH-F12-2025",'Oct 22 - Nov 21, 2025'!$P:$P),0)</f>
        <v>0.0</v>
      </c>
      <c r="O14" s="3" t="n">
        <f>IFERROR(SUMIF('Dec 22 - Jan 21, 2025'!$A:$A,"LEASE-BH-F12-2025",'Dec 22 - Jan 21, 2025'!$I:$I),0)</f>
        <v>0.0</v>
      </c>
      <c r="P14" s="3" t="n">
        <f>IFERROR(SUMIF('Oct 22 - Nov 21, 2025'!$A:$A,"LEASE-BH-F12-2025",'Oct 22 - Nov 21, 2025'!$K:$K),0)</f>
        <v>0.0</v>
      </c>
    </row>
    <row r="15">
      <c r="A15" t="inlineStr">
        <is>
          <t>LEASE-BH-F12-2025B</t>
        </is>
      </c>
      <c r="B15" t="inlineStr">
        <is>
          <t>Flat 12 - 3 West Gate</t>
        </is>
      </c>
      <c r="C15" t="inlineStr">
        <is>
          <t>Achal (Delegated for Udayan)</t>
        </is>
      </c>
      <c r="D15" t="inlineStr">
        <is>
          <t>Adam Kirby</t>
        </is>
      </c>
      <c r="E15" s="2" t="n">
        <v>45860.0</v>
      </c>
      <c r="F15" t="n">
        <v>22.0</v>
      </c>
      <c r="G15" s="3" t="n">
        <f>IFERROR(SUMIF('Dec 22 - Jan 21, 2025'!$A:$A,"LEASE-BH-F12-2025B",'Dec 22 - Jan 21, 2025'!$G:$G),0)+IFERROR(SUMIF('Jan 22 - Feb 21, 2025'!$A:$A,"LEASE-BH-F12-2025B",'Jan 22 - Feb 21, 2025'!$G:$G),0)+IFERROR(SUMIF('Feb 22 - Mar 21, 2025'!$A:$A,"LEASE-BH-F12-2025B",'Feb 22 - Mar 21, 2025'!$G:$G),0)+IFERROR(SUMIF('Mar 22 - Apr 21, 2025'!$A:$A,"LEASE-BH-F12-2025B",'Mar 22 - Apr 21, 2025'!$G:$G),0)+IFERROR(SUMIF('Apr 22 - May 21, 2025'!$A:$A,"LEASE-BH-F12-2025B",'Apr 22 - May 21, 2025'!$G:$G),0)+IFERROR(SUMIF('May 22 - Jun 21, 2025'!$A:$A,"LEASE-BH-F12-2025B",'May 22 - Jun 21, 2025'!$G:$G),0)+IFERROR(SUMIF('Jun 22 - Jul 21, 2025'!$A:$A,"LEASE-BH-F12-2025B",'Jun 22 - Jul 21, 2025'!$G:$G),0)+IFERROR(SUMIF('Jul 22 - Aug 21, 2025'!$A:$A,"LEASE-BH-F12-2025B",'Jul 22 - Aug 21, 2025'!$G:$G),0)+IFERROR(SUMIF('Aug 22 - Sep 21, 2025'!$A:$A,"LEASE-BH-F12-2025B",'Aug 22 - Sep 21, 2025'!$G:$G),0)+IFERROR(SUMIF('Sep 22 - Oct 21, 2025'!$A:$A,"LEASE-BH-F12-2025B",'Sep 22 - Oct 21, 2025'!$G:$G),0)+IFERROR(SUMIF('Oct 22 - Nov 21, 2025'!$A:$A,"LEASE-BH-F12-2025B",'Oct 22 - Nov 21, 2025'!$G:$G),0)</f>
        <v>0.0</v>
      </c>
      <c r="H15" s="3" t="n">
        <f>IFERROR(SUMIF('Dec 22 - Jan 21, 2025'!$A:$A,"LEASE-BH-F12-2025B",'Dec 22 - Jan 21, 2025'!$H:$H),0)+IFERROR(SUMIF('Jan 22 - Feb 21, 2025'!$A:$A,"LEASE-BH-F12-2025B",'Jan 22 - Feb 21, 2025'!$H:$H),0)+IFERROR(SUMIF('Feb 22 - Mar 21, 2025'!$A:$A,"LEASE-BH-F12-2025B",'Feb 22 - Mar 21, 2025'!$H:$H),0)+IFERROR(SUMIF('Mar 22 - Apr 21, 2025'!$A:$A,"LEASE-BH-F12-2025B",'Mar 22 - Apr 21, 2025'!$H:$H),0)+IFERROR(SUMIF('Apr 22 - May 21, 2025'!$A:$A,"LEASE-BH-F12-2025B",'Apr 22 - May 21, 2025'!$H:$H),0)+IFERROR(SUMIF('May 22 - Jun 21, 2025'!$A:$A,"LEASE-BH-F12-2025B",'May 22 - Jun 21, 2025'!$H:$H),0)+IFERROR(SUMIF('Jun 22 - Jul 21, 2025'!$A:$A,"LEASE-BH-F12-2025B",'Jun 22 - Jul 21, 2025'!$H:$H),0)+IFERROR(SUMIF('Jul 22 - Aug 21, 2025'!$A:$A,"LEASE-BH-F12-2025B",'Jul 22 - Aug 21, 2025'!$H:$H),0)+IFERROR(SUMIF('Aug 22 - Sep 21, 2025'!$A:$A,"LEASE-BH-F12-2025B",'Aug 22 - Sep 21, 2025'!$H:$H),0)+IFERROR(SUMIF('Sep 22 - Oct 21, 2025'!$A:$A,"LEASE-BH-F12-2025B",'Sep 22 - Oct 21, 2025'!$H:$H),0)+IFERROR(SUMIF('Oct 22 - Nov 21, 2025'!$A:$A,"LEASE-BH-F12-2025B",'Oct 22 - Nov 21, 2025'!$H:$H),0)</f>
        <v>0.0</v>
      </c>
      <c r="I15" s="3" t="n">
        <f>G15 - H15</f>
        <v>0.0</v>
      </c>
      <c r="J15" s="3" t="n">
        <f>IFERROR(SUMIF('Dec 22 - Jan 21, 2025'!$A:$A,"LEASE-BH-F12-2025B",'Dec 22 - Jan 21, 2025'!$L:$L),0)+IFERROR(SUMIF('Jan 22 - Feb 21, 2025'!$A:$A,"LEASE-BH-F12-2025B",'Jan 22 - Feb 21, 2025'!$L:$L),0)+IFERROR(SUMIF('Feb 22 - Mar 21, 2025'!$A:$A,"LEASE-BH-F12-2025B",'Feb 22 - Mar 21, 2025'!$L:$L),0)+IFERROR(SUMIF('Mar 22 - Apr 21, 2025'!$A:$A,"LEASE-BH-F12-2025B",'Mar 22 - Apr 21, 2025'!$L:$L),0)+IFERROR(SUMIF('Apr 22 - May 21, 2025'!$A:$A,"LEASE-BH-F12-2025B",'Apr 22 - May 21, 2025'!$L:$L),0)+IFERROR(SUMIF('May 22 - Jun 21, 2025'!$A:$A,"LEASE-BH-F12-2025B",'May 22 - Jun 21, 2025'!$L:$L),0)+IFERROR(SUMIF('Jun 22 - Jul 21, 2025'!$A:$A,"LEASE-BH-F12-2025B",'Jun 22 - Jul 21, 2025'!$L:$L),0)+IFERROR(SUMIF('Jul 22 - Aug 21, 2025'!$A:$A,"LEASE-BH-F12-2025B",'Jul 22 - Aug 21, 2025'!$L:$L),0)+IFERROR(SUMIF('Aug 22 - Sep 21, 2025'!$A:$A,"LEASE-BH-F12-2025B",'Aug 22 - Sep 21, 2025'!$L:$L),0)+IFERROR(SUMIF('Sep 22 - Oct 21, 2025'!$A:$A,"LEASE-BH-F12-2025B",'Sep 22 - Oct 21, 2025'!$L:$L),0)+IFERROR(SUMIF('Oct 22 - Nov 21, 2025'!$A:$A,"LEASE-BH-F12-2025B",'Oct 22 - Nov 21, 2025'!$L:$L),0)</f>
        <v>0.0</v>
      </c>
      <c r="K15" s="3" t="n">
        <f>IFERROR(SUMIF('Dec 22 - Jan 21, 2025'!$A:$A,"LEASE-BH-F12-2025B",'Dec 22 - Jan 21, 2025'!$M:$M),0)+IFERROR(SUMIF('Jan 22 - Feb 21, 2025'!$A:$A,"LEASE-BH-F12-2025B",'Jan 22 - Feb 21, 2025'!$M:$M),0)+IFERROR(SUMIF('Feb 22 - Mar 21, 2025'!$A:$A,"LEASE-BH-F12-2025B",'Feb 22 - Mar 21, 2025'!$M:$M),0)+IFERROR(SUMIF('Mar 22 - Apr 21, 2025'!$A:$A,"LEASE-BH-F12-2025B",'Mar 22 - Apr 21, 2025'!$M:$M),0)+IFERROR(SUMIF('Apr 22 - May 21, 2025'!$A:$A,"LEASE-BH-F12-2025B",'Apr 22 - May 21, 2025'!$M:$M),0)+IFERROR(SUMIF('May 22 - Jun 21, 2025'!$A:$A,"LEASE-BH-F12-2025B",'May 22 - Jun 21, 2025'!$M:$M),0)+IFERROR(SUMIF('Jun 22 - Jul 21, 2025'!$A:$A,"LEASE-BH-F12-2025B",'Jun 22 - Jul 21, 2025'!$M:$M),0)+IFERROR(SUMIF('Jul 22 - Aug 21, 2025'!$A:$A,"LEASE-BH-F12-2025B",'Jul 22 - Aug 21, 2025'!$M:$M),0)+IFERROR(SUMIF('Aug 22 - Sep 21, 2025'!$A:$A,"LEASE-BH-F12-2025B",'Aug 22 - Sep 21, 2025'!$M:$M),0)+IFERROR(SUMIF('Sep 22 - Oct 21, 2025'!$A:$A,"LEASE-BH-F12-2025B",'Sep 22 - Oct 21, 2025'!$M:$M),0)+IFERROR(SUMIF('Oct 22 - Nov 21, 2025'!$A:$A,"LEASE-BH-F12-2025B",'Oct 22 - Nov 21, 2025'!$M:$M),0)</f>
        <v>0.0</v>
      </c>
      <c r="L15" s="3" t="n">
        <f>IFERROR(SUMIF('Dec 22 - Jan 21, 2025'!$A:$A,"LEASE-BH-F12-2025B",'Dec 22 - Jan 21, 2025'!$N:$N),0)+IFERROR(SUMIF('Jan 22 - Feb 21, 2025'!$A:$A,"LEASE-BH-F12-2025B",'Jan 22 - Feb 21, 2025'!$N:$N),0)+IFERROR(SUMIF('Feb 22 - Mar 21, 2025'!$A:$A,"LEASE-BH-F12-2025B",'Feb 22 - Mar 21, 2025'!$N:$N),0)+IFERROR(SUMIF('Mar 22 - Apr 21, 2025'!$A:$A,"LEASE-BH-F12-2025B",'Mar 22 - Apr 21, 2025'!$N:$N),0)+IFERROR(SUMIF('Apr 22 - May 21, 2025'!$A:$A,"LEASE-BH-F12-2025B",'Apr 22 - May 21, 2025'!$N:$N),0)+IFERROR(SUMIF('May 22 - Jun 21, 2025'!$A:$A,"LEASE-BH-F12-2025B",'May 22 - Jun 21, 2025'!$N:$N),0)+IFERROR(SUMIF('Jun 22 - Jul 21, 2025'!$A:$A,"LEASE-BH-F12-2025B",'Jun 22 - Jul 21, 2025'!$N:$N),0)+IFERROR(SUMIF('Jul 22 - Aug 21, 2025'!$A:$A,"LEASE-BH-F12-2025B",'Jul 22 - Aug 21, 2025'!$N:$N),0)+IFERROR(SUMIF('Aug 22 - Sep 21, 2025'!$A:$A,"LEASE-BH-F12-2025B",'Aug 22 - Sep 21, 2025'!$N:$N),0)+IFERROR(SUMIF('Sep 22 - Oct 21, 2025'!$A:$A,"LEASE-BH-F12-2025B",'Sep 22 - Oct 21, 2025'!$N:$N),0)+IFERROR(SUMIF('Oct 22 - Nov 21, 2025'!$A:$A,"LEASE-BH-F12-2025B",'Oct 22 - Nov 21, 2025'!$N:$N),0)</f>
        <v>0.0</v>
      </c>
      <c r="M15" s="3" t="n">
        <f>IFERROR(SUMIF('Dec 22 - Jan 21, 2025'!$A:$A,"LEASE-BH-F12-2025B",'Dec 22 - Jan 21, 2025'!$O:$O),0)+IFERROR(SUMIF('Jan 22 - Feb 21, 2025'!$A:$A,"LEASE-BH-F12-2025B",'Jan 22 - Feb 21, 2025'!$O:$O),0)+IFERROR(SUMIF('Feb 22 - Mar 21, 2025'!$A:$A,"LEASE-BH-F12-2025B",'Feb 22 - Mar 21, 2025'!$O:$O),0)+IFERROR(SUMIF('Mar 22 - Apr 21, 2025'!$A:$A,"LEASE-BH-F12-2025B",'Mar 22 - Apr 21, 2025'!$O:$O),0)+IFERROR(SUMIF('Apr 22 - May 21, 2025'!$A:$A,"LEASE-BH-F12-2025B",'Apr 22 - May 21, 2025'!$O:$O),0)+IFERROR(SUMIF('May 22 - Jun 21, 2025'!$A:$A,"LEASE-BH-F12-2025B",'May 22 - Jun 21, 2025'!$O:$O),0)+IFERROR(SUMIF('Jun 22 - Jul 21, 2025'!$A:$A,"LEASE-BH-F12-2025B",'Jun 22 - Jul 21, 2025'!$O:$O),0)+IFERROR(SUMIF('Jul 22 - Aug 21, 2025'!$A:$A,"LEASE-BH-F12-2025B",'Jul 22 - Aug 21, 2025'!$O:$O),0)+IFERROR(SUMIF('Aug 22 - Sep 21, 2025'!$A:$A,"LEASE-BH-F12-2025B",'Aug 22 - Sep 21, 2025'!$O:$O),0)+IFERROR(SUMIF('Sep 22 - Oct 21, 2025'!$A:$A,"LEASE-BH-F12-2025B",'Sep 22 - Oct 21, 2025'!$O:$O),0)+IFERROR(SUMIF('Oct 22 - Nov 21, 2025'!$A:$A,"LEASE-BH-F12-2025B",'Oct 22 - Nov 21, 2025'!$O:$O),0)</f>
        <v>0.0</v>
      </c>
      <c r="N15" s="3" t="n">
        <f>IFERROR(SUMIF('Dec 22 - Jan 21, 2025'!$A:$A,"LEASE-BH-F12-2025B",'Dec 22 - Jan 21, 2025'!$P:$P),0)+IFERROR(SUMIF('Jan 22 - Feb 21, 2025'!$A:$A,"LEASE-BH-F12-2025B",'Jan 22 - Feb 21, 2025'!$P:$P),0)+IFERROR(SUMIF('Feb 22 - Mar 21, 2025'!$A:$A,"LEASE-BH-F12-2025B",'Feb 22 - Mar 21, 2025'!$P:$P),0)+IFERROR(SUMIF('Mar 22 - Apr 21, 2025'!$A:$A,"LEASE-BH-F12-2025B",'Mar 22 - Apr 21, 2025'!$P:$P),0)+IFERROR(SUMIF('Apr 22 - May 21, 2025'!$A:$A,"LEASE-BH-F12-2025B",'Apr 22 - May 21, 2025'!$P:$P),0)+IFERROR(SUMIF('May 22 - Jun 21, 2025'!$A:$A,"LEASE-BH-F12-2025B",'May 22 - Jun 21, 2025'!$P:$P),0)+IFERROR(SUMIF('Jun 22 - Jul 21, 2025'!$A:$A,"LEASE-BH-F12-2025B",'Jun 22 - Jul 21, 2025'!$P:$P),0)+IFERROR(SUMIF('Jul 22 - Aug 21, 2025'!$A:$A,"LEASE-BH-F12-2025B",'Jul 22 - Aug 21, 2025'!$P:$P),0)+IFERROR(SUMIF('Aug 22 - Sep 21, 2025'!$A:$A,"LEASE-BH-F12-2025B",'Aug 22 - Sep 21, 2025'!$P:$P),0)+IFERROR(SUMIF('Sep 22 - Oct 21, 2025'!$A:$A,"LEASE-BH-F12-2025B",'Sep 22 - Oct 21, 2025'!$P:$P),0)+IFERROR(SUMIF('Oct 22 - Nov 21, 2025'!$A:$A,"LEASE-BH-F12-2025B",'Oct 22 - Nov 21, 2025'!$P:$P),0)</f>
        <v>0.0</v>
      </c>
      <c r="O15" s="3" t="n">
        <f>IFERROR(SUMIF('Dec 22 - Jan 21, 2025'!$A:$A,"LEASE-BH-F12-2025B",'Dec 22 - Jan 21, 2025'!$I:$I),0)</f>
        <v>0.0</v>
      </c>
      <c r="P15" s="3" t="n">
        <f>IFERROR(SUMIF('Oct 22 - Nov 21, 2025'!$A:$A,"LEASE-BH-F12-2025B",'Oct 22 - Nov 21, 2025'!$K:$K),0)</f>
        <v>0.0</v>
      </c>
    </row>
    <row r="16">
      <c r="A16" t="inlineStr">
        <is>
          <t>LEASE-BH-F13-2025</t>
        </is>
      </c>
      <c r="B16" t="inlineStr">
        <is>
          <t>Flat 13 - 3 West Gate</t>
        </is>
      </c>
      <c r="C16" t="inlineStr">
        <is>
          <t>Achal (Delegated for Udayan)</t>
        </is>
      </c>
      <c r="D16" t="inlineStr">
        <is>
          <t>Mr Nathan Holland</t>
        </is>
      </c>
      <c r="E16" s="2" t="n">
        <v>45719.0</v>
      </c>
      <c r="F16" t="n">
        <v>3.0</v>
      </c>
      <c r="G16" s="3" t="n">
        <f>IFERROR(SUMIF('Dec 22 - Jan 21, 2025'!$A:$A,"LEASE-BH-F13-2025",'Dec 22 - Jan 21, 2025'!$G:$G),0)+IFERROR(SUMIF('Jan 22 - Feb 21, 2025'!$A:$A,"LEASE-BH-F13-2025",'Jan 22 - Feb 21, 2025'!$G:$G),0)+IFERROR(SUMIF('Feb 22 - Mar 21, 2025'!$A:$A,"LEASE-BH-F13-2025",'Feb 22 - Mar 21, 2025'!$G:$G),0)+IFERROR(SUMIF('Mar 22 - Apr 21, 2025'!$A:$A,"LEASE-BH-F13-2025",'Mar 22 - Apr 21, 2025'!$G:$G),0)+IFERROR(SUMIF('Apr 22 - May 21, 2025'!$A:$A,"LEASE-BH-F13-2025",'Apr 22 - May 21, 2025'!$G:$G),0)+IFERROR(SUMIF('May 22 - Jun 21, 2025'!$A:$A,"LEASE-BH-F13-2025",'May 22 - Jun 21, 2025'!$G:$G),0)+IFERROR(SUMIF('Jun 22 - Jul 21, 2025'!$A:$A,"LEASE-BH-F13-2025",'Jun 22 - Jul 21, 2025'!$G:$G),0)+IFERROR(SUMIF('Jul 22 - Aug 21, 2025'!$A:$A,"LEASE-BH-F13-2025",'Jul 22 - Aug 21, 2025'!$G:$G),0)+IFERROR(SUMIF('Aug 22 - Sep 21, 2025'!$A:$A,"LEASE-BH-F13-2025",'Aug 22 - Sep 21, 2025'!$G:$G),0)+IFERROR(SUMIF('Sep 22 - Oct 21, 2025'!$A:$A,"LEASE-BH-F13-2025",'Sep 22 - Oct 21, 2025'!$G:$G),0)+IFERROR(SUMIF('Oct 22 - Nov 21, 2025'!$A:$A,"LEASE-BH-F13-2025",'Oct 22 - Nov 21, 2025'!$G:$G),0)</f>
        <v>0.0</v>
      </c>
      <c r="H16" s="3" t="n">
        <f>IFERROR(SUMIF('Dec 22 - Jan 21, 2025'!$A:$A,"LEASE-BH-F13-2025",'Dec 22 - Jan 21, 2025'!$H:$H),0)+IFERROR(SUMIF('Jan 22 - Feb 21, 2025'!$A:$A,"LEASE-BH-F13-2025",'Jan 22 - Feb 21, 2025'!$H:$H),0)+IFERROR(SUMIF('Feb 22 - Mar 21, 2025'!$A:$A,"LEASE-BH-F13-2025",'Feb 22 - Mar 21, 2025'!$H:$H),0)+IFERROR(SUMIF('Mar 22 - Apr 21, 2025'!$A:$A,"LEASE-BH-F13-2025",'Mar 22 - Apr 21, 2025'!$H:$H),0)+IFERROR(SUMIF('Apr 22 - May 21, 2025'!$A:$A,"LEASE-BH-F13-2025",'Apr 22 - May 21, 2025'!$H:$H),0)+IFERROR(SUMIF('May 22 - Jun 21, 2025'!$A:$A,"LEASE-BH-F13-2025",'May 22 - Jun 21, 2025'!$H:$H),0)+IFERROR(SUMIF('Jun 22 - Jul 21, 2025'!$A:$A,"LEASE-BH-F13-2025",'Jun 22 - Jul 21, 2025'!$H:$H),0)+IFERROR(SUMIF('Jul 22 - Aug 21, 2025'!$A:$A,"LEASE-BH-F13-2025",'Jul 22 - Aug 21, 2025'!$H:$H),0)+IFERROR(SUMIF('Aug 22 - Sep 21, 2025'!$A:$A,"LEASE-BH-F13-2025",'Aug 22 - Sep 21, 2025'!$H:$H),0)+IFERROR(SUMIF('Sep 22 - Oct 21, 2025'!$A:$A,"LEASE-BH-F13-2025",'Sep 22 - Oct 21, 2025'!$H:$H),0)+IFERROR(SUMIF('Oct 22 - Nov 21, 2025'!$A:$A,"LEASE-BH-F13-2025",'Oct 22 - Nov 21, 2025'!$H:$H),0)</f>
        <v>0.0</v>
      </c>
      <c r="I16" s="3" t="n">
        <f>G16 - H16</f>
        <v>0.0</v>
      </c>
      <c r="J16" s="3" t="n">
        <f>IFERROR(SUMIF('Dec 22 - Jan 21, 2025'!$A:$A,"LEASE-BH-F13-2025",'Dec 22 - Jan 21, 2025'!$L:$L),0)+IFERROR(SUMIF('Jan 22 - Feb 21, 2025'!$A:$A,"LEASE-BH-F13-2025",'Jan 22 - Feb 21, 2025'!$L:$L),0)+IFERROR(SUMIF('Feb 22 - Mar 21, 2025'!$A:$A,"LEASE-BH-F13-2025",'Feb 22 - Mar 21, 2025'!$L:$L),0)+IFERROR(SUMIF('Mar 22 - Apr 21, 2025'!$A:$A,"LEASE-BH-F13-2025",'Mar 22 - Apr 21, 2025'!$L:$L),0)+IFERROR(SUMIF('Apr 22 - May 21, 2025'!$A:$A,"LEASE-BH-F13-2025",'Apr 22 - May 21, 2025'!$L:$L),0)+IFERROR(SUMIF('May 22 - Jun 21, 2025'!$A:$A,"LEASE-BH-F13-2025",'May 22 - Jun 21, 2025'!$L:$L),0)+IFERROR(SUMIF('Jun 22 - Jul 21, 2025'!$A:$A,"LEASE-BH-F13-2025",'Jun 22 - Jul 21, 2025'!$L:$L),0)+IFERROR(SUMIF('Jul 22 - Aug 21, 2025'!$A:$A,"LEASE-BH-F13-2025",'Jul 22 - Aug 21, 2025'!$L:$L),0)+IFERROR(SUMIF('Aug 22 - Sep 21, 2025'!$A:$A,"LEASE-BH-F13-2025",'Aug 22 - Sep 21, 2025'!$L:$L),0)+IFERROR(SUMIF('Sep 22 - Oct 21, 2025'!$A:$A,"LEASE-BH-F13-2025",'Sep 22 - Oct 21, 2025'!$L:$L),0)+IFERROR(SUMIF('Oct 22 - Nov 21, 2025'!$A:$A,"LEASE-BH-F13-2025",'Oct 22 - Nov 21, 2025'!$L:$L),0)</f>
        <v>0.0</v>
      </c>
      <c r="K16" s="3" t="n">
        <f>IFERROR(SUMIF('Dec 22 - Jan 21, 2025'!$A:$A,"LEASE-BH-F13-2025",'Dec 22 - Jan 21, 2025'!$M:$M),0)+IFERROR(SUMIF('Jan 22 - Feb 21, 2025'!$A:$A,"LEASE-BH-F13-2025",'Jan 22 - Feb 21, 2025'!$M:$M),0)+IFERROR(SUMIF('Feb 22 - Mar 21, 2025'!$A:$A,"LEASE-BH-F13-2025",'Feb 22 - Mar 21, 2025'!$M:$M),0)+IFERROR(SUMIF('Mar 22 - Apr 21, 2025'!$A:$A,"LEASE-BH-F13-2025",'Mar 22 - Apr 21, 2025'!$M:$M),0)+IFERROR(SUMIF('Apr 22 - May 21, 2025'!$A:$A,"LEASE-BH-F13-2025",'Apr 22 - May 21, 2025'!$M:$M),0)+IFERROR(SUMIF('May 22 - Jun 21, 2025'!$A:$A,"LEASE-BH-F13-2025",'May 22 - Jun 21, 2025'!$M:$M),0)+IFERROR(SUMIF('Jun 22 - Jul 21, 2025'!$A:$A,"LEASE-BH-F13-2025",'Jun 22 - Jul 21, 2025'!$M:$M),0)+IFERROR(SUMIF('Jul 22 - Aug 21, 2025'!$A:$A,"LEASE-BH-F13-2025",'Jul 22 - Aug 21, 2025'!$M:$M),0)+IFERROR(SUMIF('Aug 22 - Sep 21, 2025'!$A:$A,"LEASE-BH-F13-2025",'Aug 22 - Sep 21, 2025'!$M:$M),0)+IFERROR(SUMIF('Sep 22 - Oct 21, 2025'!$A:$A,"LEASE-BH-F13-2025",'Sep 22 - Oct 21, 2025'!$M:$M),0)+IFERROR(SUMIF('Oct 22 - Nov 21, 2025'!$A:$A,"LEASE-BH-F13-2025",'Oct 22 - Nov 21, 2025'!$M:$M),0)</f>
        <v>0.0</v>
      </c>
      <c r="L16" s="3" t="n">
        <f>IFERROR(SUMIF('Dec 22 - Jan 21, 2025'!$A:$A,"LEASE-BH-F13-2025",'Dec 22 - Jan 21, 2025'!$N:$N),0)+IFERROR(SUMIF('Jan 22 - Feb 21, 2025'!$A:$A,"LEASE-BH-F13-2025",'Jan 22 - Feb 21, 2025'!$N:$N),0)+IFERROR(SUMIF('Feb 22 - Mar 21, 2025'!$A:$A,"LEASE-BH-F13-2025",'Feb 22 - Mar 21, 2025'!$N:$N),0)+IFERROR(SUMIF('Mar 22 - Apr 21, 2025'!$A:$A,"LEASE-BH-F13-2025",'Mar 22 - Apr 21, 2025'!$N:$N),0)+IFERROR(SUMIF('Apr 22 - May 21, 2025'!$A:$A,"LEASE-BH-F13-2025",'Apr 22 - May 21, 2025'!$N:$N),0)+IFERROR(SUMIF('May 22 - Jun 21, 2025'!$A:$A,"LEASE-BH-F13-2025",'May 22 - Jun 21, 2025'!$N:$N),0)+IFERROR(SUMIF('Jun 22 - Jul 21, 2025'!$A:$A,"LEASE-BH-F13-2025",'Jun 22 - Jul 21, 2025'!$N:$N),0)+IFERROR(SUMIF('Jul 22 - Aug 21, 2025'!$A:$A,"LEASE-BH-F13-2025",'Jul 22 - Aug 21, 2025'!$N:$N),0)+IFERROR(SUMIF('Aug 22 - Sep 21, 2025'!$A:$A,"LEASE-BH-F13-2025",'Aug 22 - Sep 21, 2025'!$N:$N),0)+IFERROR(SUMIF('Sep 22 - Oct 21, 2025'!$A:$A,"LEASE-BH-F13-2025",'Sep 22 - Oct 21, 2025'!$N:$N),0)+IFERROR(SUMIF('Oct 22 - Nov 21, 2025'!$A:$A,"LEASE-BH-F13-2025",'Oct 22 - Nov 21, 2025'!$N:$N),0)</f>
        <v>0.0</v>
      </c>
      <c r="M16" s="3" t="n">
        <f>IFERROR(SUMIF('Dec 22 - Jan 21, 2025'!$A:$A,"LEASE-BH-F13-2025",'Dec 22 - Jan 21, 2025'!$O:$O),0)+IFERROR(SUMIF('Jan 22 - Feb 21, 2025'!$A:$A,"LEASE-BH-F13-2025",'Jan 22 - Feb 21, 2025'!$O:$O),0)+IFERROR(SUMIF('Feb 22 - Mar 21, 2025'!$A:$A,"LEASE-BH-F13-2025",'Feb 22 - Mar 21, 2025'!$O:$O),0)+IFERROR(SUMIF('Mar 22 - Apr 21, 2025'!$A:$A,"LEASE-BH-F13-2025",'Mar 22 - Apr 21, 2025'!$O:$O),0)+IFERROR(SUMIF('Apr 22 - May 21, 2025'!$A:$A,"LEASE-BH-F13-2025",'Apr 22 - May 21, 2025'!$O:$O),0)+IFERROR(SUMIF('May 22 - Jun 21, 2025'!$A:$A,"LEASE-BH-F13-2025",'May 22 - Jun 21, 2025'!$O:$O),0)+IFERROR(SUMIF('Jun 22 - Jul 21, 2025'!$A:$A,"LEASE-BH-F13-2025",'Jun 22 - Jul 21, 2025'!$O:$O),0)+IFERROR(SUMIF('Jul 22 - Aug 21, 2025'!$A:$A,"LEASE-BH-F13-2025",'Jul 22 - Aug 21, 2025'!$O:$O),0)+IFERROR(SUMIF('Aug 22 - Sep 21, 2025'!$A:$A,"LEASE-BH-F13-2025",'Aug 22 - Sep 21, 2025'!$O:$O),0)+IFERROR(SUMIF('Sep 22 - Oct 21, 2025'!$A:$A,"LEASE-BH-F13-2025",'Sep 22 - Oct 21, 2025'!$O:$O),0)+IFERROR(SUMIF('Oct 22 - Nov 21, 2025'!$A:$A,"LEASE-BH-F13-2025",'Oct 22 - Nov 21, 2025'!$O:$O),0)</f>
        <v>0.0</v>
      </c>
      <c r="N16" s="3" t="n">
        <f>IFERROR(SUMIF('Dec 22 - Jan 21, 2025'!$A:$A,"LEASE-BH-F13-2025",'Dec 22 - Jan 21, 2025'!$P:$P),0)+IFERROR(SUMIF('Jan 22 - Feb 21, 2025'!$A:$A,"LEASE-BH-F13-2025",'Jan 22 - Feb 21, 2025'!$P:$P),0)+IFERROR(SUMIF('Feb 22 - Mar 21, 2025'!$A:$A,"LEASE-BH-F13-2025",'Feb 22 - Mar 21, 2025'!$P:$P),0)+IFERROR(SUMIF('Mar 22 - Apr 21, 2025'!$A:$A,"LEASE-BH-F13-2025",'Mar 22 - Apr 21, 2025'!$P:$P),0)+IFERROR(SUMIF('Apr 22 - May 21, 2025'!$A:$A,"LEASE-BH-F13-2025",'Apr 22 - May 21, 2025'!$P:$P),0)+IFERROR(SUMIF('May 22 - Jun 21, 2025'!$A:$A,"LEASE-BH-F13-2025",'May 22 - Jun 21, 2025'!$P:$P),0)+IFERROR(SUMIF('Jun 22 - Jul 21, 2025'!$A:$A,"LEASE-BH-F13-2025",'Jun 22 - Jul 21, 2025'!$P:$P),0)+IFERROR(SUMIF('Jul 22 - Aug 21, 2025'!$A:$A,"LEASE-BH-F13-2025",'Jul 22 - Aug 21, 2025'!$P:$P),0)+IFERROR(SUMIF('Aug 22 - Sep 21, 2025'!$A:$A,"LEASE-BH-F13-2025",'Aug 22 - Sep 21, 2025'!$P:$P),0)+IFERROR(SUMIF('Sep 22 - Oct 21, 2025'!$A:$A,"LEASE-BH-F13-2025",'Sep 22 - Oct 21, 2025'!$P:$P),0)+IFERROR(SUMIF('Oct 22 - Nov 21, 2025'!$A:$A,"LEASE-BH-F13-2025",'Oct 22 - Nov 21, 2025'!$P:$P),0)</f>
        <v>0.0</v>
      </c>
      <c r="O16" s="3" t="n">
        <f>IFERROR(SUMIF('Dec 22 - Jan 21, 2025'!$A:$A,"LEASE-BH-F13-2025",'Dec 22 - Jan 21, 2025'!$I:$I),0)</f>
        <v>0.0</v>
      </c>
      <c r="P16" s="3" t="n">
        <f>IFERROR(SUMIF('Oct 22 - Nov 21, 2025'!$A:$A,"LEASE-BH-F13-2025",'Oct 22 - Nov 21, 2025'!$K:$K),0)</f>
        <v>0.0</v>
      </c>
    </row>
    <row r="17">
      <c r="A17" t="inlineStr">
        <is>
          <t>LEASE-BH-F14-2025</t>
        </is>
      </c>
      <c r="B17" t="inlineStr">
        <is>
          <t>Flat 14 - 3 West Gate</t>
        </is>
      </c>
      <c r="C17" t="inlineStr">
        <is>
          <t>Achal (Delegated for Udayan)</t>
        </is>
      </c>
      <c r="D17" t="inlineStr">
        <is>
          <t>Ms Sarah Buckle, Mr Matthew Lewsley</t>
        </is>
      </c>
      <c r="E17" s="2" t="n">
        <v>45744.0</v>
      </c>
      <c r="F17" t="n">
        <v>28.0</v>
      </c>
      <c r="G17" s="3" t="n">
        <f>IFERROR(SUMIF('Dec 22 - Jan 21, 2025'!$A:$A,"LEASE-BH-F14-2025",'Dec 22 - Jan 21, 2025'!$G:$G),0)+IFERROR(SUMIF('Jan 22 - Feb 21, 2025'!$A:$A,"LEASE-BH-F14-2025",'Jan 22 - Feb 21, 2025'!$G:$G),0)+IFERROR(SUMIF('Feb 22 - Mar 21, 2025'!$A:$A,"LEASE-BH-F14-2025",'Feb 22 - Mar 21, 2025'!$G:$G),0)+IFERROR(SUMIF('Mar 22 - Apr 21, 2025'!$A:$A,"LEASE-BH-F14-2025",'Mar 22 - Apr 21, 2025'!$G:$G),0)+IFERROR(SUMIF('Apr 22 - May 21, 2025'!$A:$A,"LEASE-BH-F14-2025",'Apr 22 - May 21, 2025'!$G:$G),0)+IFERROR(SUMIF('May 22 - Jun 21, 2025'!$A:$A,"LEASE-BH-F14-2025",'May 22 - Jun 21, 2025'!$G:$G),0)+IFERROR(SUMIF('Jun 22 - Jul 21, 2025'!$A:$A,"LEASE-BH-F14-2025",'Jun 22 - Jul 21, 2025'!$G:$G),0)+IFERROR(SUMIF('Jul 22 - Aug 21, 2025'!$A:$A,"LEASE-BH-F14-2025",'Jul 22 - Aug 21, 2025'!$G:$G),0)+IFERROR(SUMIF('Aug 22 - Sep 21, 2025'!$A:$A,"LEASE-BH-F14-2025",'Aug 22 - Sep 21, 2025'!$G:$G),0)+IFERROR(SUMIF('Sep 22 - Oct 21, 2025'!$A:$A,"LEASE-BH-F14-2025",'Sep 22 - Oct 21, 2025'!$G:$G),0)+IFERROR(SUMIF('Oct 22 - Nov 21, 2025'!$A:$A,"LEASE-BH-F14-2025",'Oct 22 - Nov 21, 2025'!$G:$G),0)</f>
        <v>0.0</v>
      </c>
      <c r="H17" s="3" t="n">
        <f>IFERROR(SUMIF('Dec 22 - Jan 21, 2025'!$A:$A,"LEASE-BH-F14-2025",'Dec 22 - Jan 21, 2025'!$H:$H),0)+IFERROR(SUMIF('Jan 22 - Feb 21, 2025'!$A:$A,"LEASE-BH-F14-2025",'Jan 22 - Feb 21, 2025'!$H:$H),0)+IFERROR(SUMIF('Feb 22 - Mar 21, 2025'!$A:$A,"LEASE-BH-F14-2025",'Feb 22 - Mar 21, 2025'!$H:$H),0)+IFERROR(SUMIF('Mar 22 - Apr 21, 2025'!$A:$A,"LEASE-BH-F14-2025",'Mar 22 - Apr 21, 2025'!$H:$H),0)+IFERROR(SUMIF('Apr 22 - May 21, 2025'!$A:$A,"LEASE-BH-F14-2025",'Apr 22 - May 21, 2025'!$H:$H),0)+IFERROR(SUMIF('May 22 - Jun 21, 2025'!$A:$A,"LEASE-BH-F14-2025",'May 22 - Jun 21, 2025'!$H:$H),0)+IFERROR(SUMIF('Jun 22 - Jul 21, 2025'!$A:$A,"LEASE-BH-F14-2025",'Jun 22 - Jul 21, 2025'!$H:$H),0)+IFERROR(SUMIF('Jul 22 - Aug 21, 2025'!$A:$A,"LEASE-BH-F14-2025",'Jul 22 - Aug 21, 2025'!$H:$H),0)+IFERROR(SUMIF('Aug 22 - Sep 21, 2025'!$A:$A,"LEASE-BH-F14-2025",'Aug 22 - Sep 21, 2025'!$H:$H),0)+IFERROR(SUMIF('Sep 22 - Oct 21, 2025'!$A:$A,"LEASE-BH-F14-2025",'Sep 22 - Oct 21, 2025'!$H:$H),0)+IFERROR(SUMIF('Oct 22 - Nov 21, 2025'!$A:$A,"LEASE-BH-F14-2025",'Oct 22 - Nov 21, 2025'!$H:$H),0)</f>
        <v>0.0</v>
      </c>
      <c r="I17" s="3" t="n">
        <f>G17 - H17</f>
        <v>0.0</v>
      </c>
      <c r="J17" s="3" t="n">
        <f>IFERROR(SUMIF('Dec 22 - Jan 21, 2025'!$A:$A,"LEASE-BH-F14-2025",'Dec 22 - Jan 21, 2025'!$L:$L),0)+IFERROR(SUMIF('Jan 22 - Feb 21, 2025'!$A:$A,"LEASE-BH-F14-2025",'Jan 22 - Feb 21, 2025'!$L:$L),0)+IFERROR(SUMIF('Feb 22 - Mar 21, 2025'!$A:$A,"LEASE-BH-F14-2025",'Feb 22 - Mar 21, 2025'!$L:$L),0)+IFERROR(SUMIF('Mar 22 - Apr 21, 2025'!$A:$A,"LEASE-BH-F14-2025",'Mar 22 - Apr 21, 2025'!$L:$L),0)+IFERROR(SUMIF('Apr 22 - May 21, 2025'!$A:$A,"LEASE-BH-F14-2025",'Apr 22 - May 21, 2025'!$L:$L),0)+IFERROR(SUMIF('May 22 - Jun 21, 2025'!$A:$A,"LEASE-BH-F14-2025",'May 22 - Jun 21, 2025'!$L:$L),0)+IFERROR(SUMIF('Jun 22 - Jul 21, 2025'!$A:$A,"LEASE-BH-F14-2025",'Jun 22 - Jul 21, 2025'!$L:$L),0)+IFERROR(SUMIF('Jul 22 - Aug 21, 2025'!$A:$A,"LEASE-BH-F14-2025",'Jul 22 - Aug 21, 2025'!$L:$L),0)+IFERROR(SUMIF('Aug 22 - Sep 21, 2025'!$A:$A,"LEASE-BH-F14-2025",'Aug 22 - Sep 21, 2025'!$L:$L),0)+IFERROR(SUMIF('Sep 22 - Oct 21, 2025'!$A:$A,"LEASE-BH-F14-2025",'Sep 22 - Oct 21, 2025'!$L:$L),0)+IFERROR(SUMIF('Oct 22 - Nov 21, 2025'!$A:$A,"LEASE-BH-F14-2025",'Oct 22 - Nov 21, 2025'!$L:$L),0)</f>
        <v>0.0</v>
      </c>
      <c r="K17" s="3" t="n">
        <f>IFERROR(SUMIF('Dec 22 - Jan 21, 2025'!$A:$A,"LEASE-BH-F14-2025",'Dec 22 - Jan 21, 2025'!$M:$M),0)+IFERROR(SUMIF('Jan 22 - Feb 21, 2025'!$A:$A,"LEASE-BH-F14-2025",'Jan 22 - Feb 21, 2025'!$M:$M),0)+IFERROR(SUMIF('Feb 22 - Mar 21, 2025'!$A:$A,"LEASE-BH-F14-2025",'Feb 22 - Mar 21, 2025'!$M:$M),0)+IFERROR(SUMIF('Mar 22 - Apr 21, 2025'!$A:$A,"LEASE-BH-F14-2025",'Mar 22 - Apr 21, 2025'!$M:$M),0)+IFERROR(SUMIF('Apr 22 - May 21, 2025'!$A:$A,"LEASE-BH-F14-2025",'Apr 22 - May 21, 2025'!$M:$M),0)+IFERROR(SUMIF('May 22 - Jun 21, 2025'!$A:$A,"LEASE-BH-F14-2025",'May 22 - Jun 21, 2025'!$M:$M),0)+IFERROR(SUMIF('Jun 22 - Jul 21, 2025'!$A:$A,"LEASE-BH-F14-2025",'Jun 22 - Jul 21, 2025'!$M:$M),0)+IFERROR(SUMIF('Jul 22 - Aug 21, 2025'!$A:$A,"LEASE-BH-F14-2025",'Jul 22 - Aug 21, 2025'!$M:$M),0)+IFERROR(SUMIF('Aug 22 - Sep 21, 2025'!$A:$A,"LEASE-BH-F14-2025",'Aug 22 - Sep 21, 2025'!$M:$M),0)+IFERROR(SUMIF('Sep 22 - Oct 21, 2025'!$A:$A,"LEASE-BH-F14-2025",'Sep 22 - Oct 21, 2025'!$M:$M),0)+IFERROR(SUMIF('Oct 22 - Nov 21, 2025'!$A:$A,"LEASE-BH-F14-2025",'Oct 22 - Nov 21, 2025'!$M:$M),0)</f>
        <v>0.0</v>
      </c>
      <c r="L17" s="3" t="n">
        <f>IFERROR(SUMIF('Dec 22 - Jan 21, 2025'!$A:$A,"LEASE-BH-F14-2025",'Dec 22 - Jan 21, 2025'!$N:$N),0)+IFERROR(SUMIF('Jan 22 - Feb 21, 2025'!$A:$A,"LEASE-BH-F14-2025",'Jan 22 - Feb 21, 2025'!$N:$N),0)+IFERROR(SUMIF('Feb 22 - Mar 21, 2025'!$A:$A,"LEASE-BH-F14-2025",'Feb 22 - Mar 21, 2025'!$N:$N),0)+IFERROR(SUMIF('Mar 22 - Apr 21, 2025'!$A:$A,"LEASE-BH-F14-2025",'Mar 22 - Apr 21, 2025'!$N:$N),0)+IFERROR(SUMIF('Apr 22 - May 21, 2025'!$A:$A,"LEASE-BH-F14-2025",'Apr 22 - May 21, 2025'!$N:$N),0)+IFERROR(SUMIF('May 22 - Jun 21, 2025'!$A:$A,"LEASE-BH-F14-2025",'May 22 - Jun 21, 2025'!$N:$N),0)+IFERROR(SUMIF('Jun 22 - Jul 21, 2025'!$A:$A,"LEASE-BH-F14-2025",'Jun 22 - Jul 21, 2025'!$N:$N),0)+IFERROR(SUMIF('Jul 22 - Aug 21, 2025'!$A:$A,"LEASE-BH-F14-2025",'Jul 22 - Aug 21, 2025'!$N:$N),0)+IFERROR(SUMIF('Aug 22 - Sep 21, 2025'!$A:$A,"LEASE-BH-F14-2025",'Aug 22 - Sep 21, 2025'!$N:$N),0)+IFERROR(SUMIF('Sep 22 - Oct 21, 2025'!$A:$A,"LEASE-BH-F14-2025",'Sep 22 - Oct 21, 2025'!$N:$N),0)+IFERROR(SUMIF('Oct 22 - Nov 21, 2025'!$A:$A,"LEASE-BH-F14-2025",'Oct 22 - Nov 21, 2025'!$N:$N),0)</f>
        <v>0.0</v>
      </c>
      <c r="M17" s="3" t="n">
        <f>IFERROR(SUMIF('Dec 22 - Jan 21, 2025'!$A:$A,"LEASE-BH-F14-2025",'Dec 22 - Jan 21, 2025'!$O:$O),0)+IFERROR(SUMIF('Jan 22 - Feb 21, 2025'!$A:$A,"LEASE-BH-F14-2025",'Jan 22 - Feb 21, 2025'!$O:$O),0)+IFERROR(SUMIF('Feb 22 - Mar 21, 2025'!$A:$A,"LEASE-BH-F14-2025",'Feb 22 - Mar 21, 2025'!$O:$O),0)+IFERROR(SUMIF('Mar 22 - Apr 21, 2025'!$A:$A,"LEASE-BH-F14-2025",'Mar 22 - Apr 21, 2025'!$O:$O),0)+IFERROR(SUMIF('Apr 22 - May 21, 2025'!$A:$A,"LEASE-BH-F14-2025",'Apr 22 - May 21, 2025'!$O:$O),0)+IFERROR(SUMIF('May 22 - Jun 21, 2025'!$A:$A,"LEASE-BH-F14-2025",'May 22 - Jun 21, 2025'!$O:$O),0)+IFERROR(SUMIF('Jun 22 - Jul 21, 2025'!$A:$A,"LEASE-BH-F14-2025",'Jun 22 - Jul 21, 2025'!$O:$O),0)+IFERROR(SUMIF('Jul 22 - Aug 21, 2025'!$A:$A,"LEASE-BH-F14-2025",'Jul 22 - Aug 21, 2025'!$O:$O),0)+IFERROR(SUMIF('Aug 22 - Sep 21, 2025'!$A:$A,"LEASE-BH-F14-2025",'Aug 22 - Sep 21, 2025'!$O:$O),0)+IFERROR(SUMIF('Sep 22 - Oct 21, 2025'!$A:$A,"LEASE-BH-F14-2025",'Sep 22 - Oct 21, 2025'!$O:$O),0)+IFERROR(SUMIF('Oct 22 - Nov 21, 2025'!$A:$A,"LEASE-BH-F14-2025",'Oct 22 - Nov 21, 2025'!$O:$O),0)</f>
        <v>0.0</v>
      </c>
      <c r="N17" s="3" t="n">
        <f>IFERROR(SUMIF('Dec 22 - Jan 21, 2025'!$A:$A,"LEASE-BH-F14-2025",'Dec 22 - Jan 21, 2025'!$P:$P),0)+IFERROR(SUMIF('Jan 22 - Feb 21, 2025'!$A:$A,"LEASE-BH-F14-2025",'Jan 22 - Feb 21, 2025'!$P:$P),0)+IFERROR(SUMIF('Feb 22 - Mar 21, 2025'!$A:$A,"LEASE-BH-F14-2025",'Feb 22 - Mar 21, 2025'!$P:$P),0)+IFERROR(SUMIF('Mar 22 - Apr 21, 2025'!$A:$A,"LEASE-BH-F14-2025",'Mar 22 - Apr 21, 2025'!$P:$P),0)+IFERROR(SUMIF('Apr 22 - May 21, 2025'!$A:$A,"LEASE-BH-F14-2025",'Apr 22 - May 21, 2025'!$P:$P),0)+IFERROR(SUMIF('May 22 - Jun 21, 2025'!$A:$A,"LEASE-BH-F14-2025",'May 22 - Jun 21, 2025'!$P:$P),0)+IFERROR(SUMIF('Jun 22 - Jul 21, 2025'!$A:$A,"LEASE-BH-F14-2025",'Jun 22 - Jul 21, 2025'!$P:$P),0)+IFERROR(SUMIF('Jul 22 - Aug 21, 2025'!$A:$A,"LEASE-BH-F14-2025",'Jul 22 - Aug 21, 2025'!$P:$P),0)+IFERROR(SUMIF('Aug 22 - Sep 21, 2025'!$A:$A,"LEASE-BH-F14-2025",'Aug 22 - Sep 21, 2025'!$P:$P),0)+IFERROR(SUMIF('Sep 22 - Oct 21, 2025'!$A:$A,"LEASE-BH-F14-2025",'Sep 22 - Oct 21, 2025'!$P:$P),0)+IFERROR(SUMIF('Oct 22 - Nov 21, 2025'!$A:$A,"LEASE-BH-F14-2025",'Oct 22 - Nov 21, 2025'!$P:$P),0)</f>
        <v>0.0</v>
      </c>
      <c r="O17" s="3" t="n">
        <f>IFERROR(SUMIF('Dec 22 - Jan 21, 2025'!$A:$A,"LEASE-BH-F14-2025",'Dec 22 - Jan 21, 2025'!$I:$I),0)</f>
        <v>0.0</v>
      </c>
      <c r="P17" s="3" t="n">
        <f>IFERROR(SUMIF('Oct 22 - Nov 21, 2025'!$A:$A,"LEASE-BH-F14-2025",'Oct 22 - Nov 21, 2025'!$K:$K),0)</f>
        <v>0.0</v>
      </c>
    </row>
    <row r="18">
      <c r="A18" t="inlineStr">
        <is>
          <t>LEASE-BH-F15-2025</t>
        </is>
      </c>
      <c r="B18" t="inlineStr">
        <is>
          <t>Flat 15 - 3 West Gate</t>
        </is>
      </c>
      <c r="C18" t="inlineStr">
        <is>
          <t>Achal (Delegated for Udayan)</t>
        </is>
      </c>
      <c r="D18" t="inlineStr">
        <is>
          <t>Ms Lucy Cassell</t>
        </is>
      </c>
      <c r="E18" s="2" t="n">
        <v>45703.0</v>
      </c>
      <c r="F18" t="n">
        <v>15.0</v>
      </c>
      <c r="G18" s="3" t="n">
        <f>IFERROR(SUMIF('Dec 22 - Jan 21, 2025'!$A:$A,"LEASE-BH-F15-2025",'Dec 22 - Jan 21, 2025'!$G:$G),0)+IFERROR(SUMIF('Jan 22 - Feb 21, 2025'!$A:$A,"LEASE-BH-F15-2025",'Jan 22 - Feb 21, 2025'!$G:$G),0)+IFERROR(SUMIF('Feb 22 - Mar 21, 2025'!$A:$A,"LEASE-BH-F15-2025",'Feb 22 - Mar 21, 2025'!$G:$G),0)+IFERROR(SUMIF('Mar 22 - Apr 21, 2025'!$A:$A,"LEASE-BH-F15-2025",'Mar 22 - Apr 21, 2025'!$G:$G),0)+IFERROR(SUMIF('Apr 22 - May 21, 2025'!$A:$A,"LEASE-BH-F15-2025",'Apr 22 - May 21, 2025'!$G:$G),0)+IFERROR(SUMIF('May 22 - Jun 21, 2025'!$A:$A,"LEASE-BH-F15-2025",'May 22 - Jun 21, 2025'!$G:$G),0)+IFERROR(SUMIF('Jun 22 - Jul 21, 2025'!$A:$A,"LEASE-BH-F15-2025",'Jun 22 - Jul 21, 2025'!$G:$G),0)+IFERROR(SUMIF('Jul 22 - Aug 21, 2025'!$A:$A,"LEASE-BH-F15-2025",'Jul 22 - Aug 21, 2025'!$G:$G),0)+IFERROR(SUMIF('Aug 22 - Sep 21, 2025'!$A:$A,"LEASE-BH-F15-2025",'Aug 22 - Sep 21, 2025'!$G:$G),0)+IFERROR(SUMIF('Sep 22 - Oct 21, 2025'!$A:$A,"LEASE-BH-F15-2025",'Sep 22 - Oct 21, 2025'!$G:$G),0)+IFERROR(SUMIF('Oct 22 - Nov 21, 2025'!$A:$A,"LEASE-BH-F15-2025",'Oct 22 - Nov 21, 2025'!$G:$G),0)</f>
        <v>0.0</v>
      </c>
      <c r="H18" s="3" t="n">
        <f>IFERROR(SUMIF('Dec 22 - Jan 21, 2025'!$A:$A,"LEASE-BH-F15-2025",'Dec 22 - Jan 21, 2025'!$H:$H),0)+IFERROR(SUMIF('Jan 22 - Feb 21, 2025'!$A:$A,"LEASE-BH-F15-2025",'Jan 22 - Feb 21, 2025'!$H:$H),0)+IFERROR(SUMIF('Feb 22 - Mar 21, 2025'!$A:$A,"LEASE-BH-F15-2025",'Feb 22 - Mar 21, 2025'!$H:$H),0)+IFERROR(SUMIF('Mar 22 - Apr 21, 2025'!$A:$A,"LEASE-BH-F15-2025",'Mar 22 - Apr 21, 2025'!$H:$H),0)+IFERROR(SUMIF('Apr 22 - May 21, 2025'!$A:$A,"LEASE-BH-F15-2025",'Apr 22 - May 21, 2025'!$H:$H),0)+IFERROR(SUMIF('May 22 - Jun 21, 2025'!$A:$A,"LEASE-BH-F15-2025",'May 22 - Jun 21, 2025'!$H:$H),0)+IFERROR(SUMIF('Jun 22 - Jul 21, 2025'!$A:$A,"LEASE-BH-F15-2025",'Jun 22 - Jul 21, 2025'!$H:$H),0)+IFERROR(SUMIF('Jul 22 - Aug 21, 2025'!$A:$A,"LEASE-BH-F15-2025",'Jul 22 - Aug 21, 2025'!$H:$H),0)+IFERROR(SUMIF('Aug 22 - Sep 21, 2025'!$A:$A,"LEASE-BH-F15-2025",'Aug 22 - Sep 21, 2025'!$H:$H),0)+IFERROR(SUMIF('Sep 22 - Oct 21, 2025'!$A:$A,"LEASE-BH-F15-2025",'Sep 22 - Oct 21, 2025'!$H:$H),0)+IFERROR(SUMIF('Oct 22 - Nov 21, 2025'!$A:$A,"LEASE-BH-F15-2025",'Oct 22 - Nov 21, 2025'!$H:$H),0)</f>
        <v>0.0</v>
      </c>
      <c r="I18" s="3" t="n">
        <f>G18 - H18</f>
        <v>0.0</v>
      </c>
      <c r="J18" s="3" t="n">
        <f>IFERROR(SUMIF('Dec 22 - Jan 21, 2025'!$A:$A,"LEASE-BH-F15-2025",'Dec 22 - Jan 21, 2025'!$L:$L),0)+IFERROR(SUMIF('Jan 22 - Feb 21, 2025'!$A:$A,"LEASE-BH-F15-2025",'Jan 22 - Feb 21, 2025'!$L:$L),0)+IFERROR(SUMIF('Feb 22 - Mar 21, 2025'!$A:$A,"LEASE-BH-F15-2025",'Feb 22 - Mar 21, 2025'!$L:$L),0)+IFERROR(SUMIF('Mar 22 - Apr 21, 2025'!$A:$A,"LEASE-BH-F15-2025",'Mar 22 - Apr 21, 2025'!$L:$L),0)+IFERROR(SUMIF('Apr 22 - May 21, 2025'!$A:$A,"LEASE-BH-F15-2025",'Apr 22 - May 21, 2025'!$L:$L),0)+IFERROR(SUMIF('May 22 - Jun 21, 2025'!$A:$A,"LEASE-BH-F15-2025",'May 22 - Jun 21, 2025'!$L:$L),0)+IFERROR(SUMIF('Jun 22 - Jul 21, 2025'!$A:$A,"LEASE-BH-F15-2025",'Jun 22 - Jul 21, 2025'!$L:$L),0)+IFERROR(SUMIF('Jul 22 - Aug 21, 2025'!$A:$A,"LEASE-BH-F15-2025",'Jul 22 - Aug 21, 2025'!$L:$L),0)+IFERROR(SUMIF('Aug 22 - Sep 21, 2025'!$A:$A,"LEASE-BH-F15-2025",'Aug 22 - Sep 21, 2025'!$L:$L),0)+IFERROR(SUMIF('Sep 22 - Oct 21, 2025'!$A:$A,"LEASE-BH-F15-2025",'Sep 22 - Oct 21, 2025'!$L:$L),0)+IFERROR(SUMIF('Oct 22 - Nov 21, 2025'!$A:$A,"LEASE-BH-F15-2025",'Oct 22 - Nov 21, 2025'!$L:$L),0)</f>
        <v>0.0</v>
      </c>
      <c r="K18" s="3" t="n">
        <f>IFERROR(SUMIF('Dec 22 - Jan 21, 2025'!$A:$A,"LEASE-BH-F15-2025",'Dec 22 - Jan 21, 2025'!$M:$M),0)+IFERROR(SUMIF('Jan 22 - Feb 21, 2025'!$A:$A,"LEASE-BH-F15-2025",'Jan 22 - Feb 21, 2025'!$M:$M),0)+IFERROR(SUMIF('Feb 22 - Mar 21, 2025'!$A:$A,"LEASE-BH-F15-2025",'Feb 22 - Mar 21, 2025'!$M:$M),0)+IFERROR(SUMIF('Mar 22 - Apr 21, 2025'!$A:$A,"LEASE-BH-F15-2025",'Mar 22 - Apr 21, 2025'!$M:$M),0)+IFERROR(SUMIF('Apr 22 - May 21, 2025'!$A:$A,"LEASE-BH-F15-2025",'Apr 22 - May 21, 2025'!$M:$M),0)+IFERROR(SUMIF('May 22 - Jun 21, 2025'!$A:$A,"LEASE-BH-F15-2025",'May 22 - Jun 21, 2025'!$M:$M),0)+IFERROR(SUMIF('Jun 22 - Jul 21, 2025'!$A:$A,"LEASE-BH-F15-2025",'Jun 22 - Jul 21, 2025'!$M:$M),0)+IFERROR(SUMIF('Jul 22 - Aug 21, 2025'!$A:$A,"LEASE-BH-F15-2025",'Jul 22 - Aug 21, 2025'!$M:$M),0)+IFERROR(SUMIF('Aug 22 - Sep 21, 2025'!$A:$A,"LEASE-BH-F15-2025",'Aug 22 - Sep 21, 2025'!$M:$M),0)+IFERROR(SUMIF('Sep 22 - Oct 21, 2025'!$A:$A,"LEASE-BH-F15-2025",'Sep 22 - Oct 21, 2025'!$M:$M),0)+IFERROR(SUMIF('Oct 22 - Nov 21, 2025'!$A:$A,"LEASE-BH-F15-2025",'Oct 22 - Nov 21, 2025'!$M:$M),0)</f>
        <v>0.0</v>
      </c>
      <c r="L18" s="3" t="n">
        <f>IFERROR(SUMIF('Dec 22 - Jan 21, 2025'!$A:$A,"LEASE-BH-F15-2025",'Dec 22 - Jan 21, 2025'!$N:$N),0)+IFERROR(SUMIF('Jan 22 - Feb 21, 2025'!$A:$A,"LEASE-BH-F15-2025",'Jan 22 - Feb 21, 2025'!$N:$N),0)+IFERROR(SUMIF('Feb 22 - Mar 21, 2025'!$A:$A,"LEASE-BH-F15-2025",'Feb 22 - Mar 21, 2025'!$N:$N),0)+IFERROR(SUMIF('Mar 22 - Apr 21, 2025'!$A:$A,"LEASE-BH-F15-2025",'Mar 22 - Apr 21, 2025'!$N:$N),0)+IFERROR(SUMIF('Apr 22 - May 21, 2025'!$A:$A,"LEASE-BH-F15-2025",'Apr 22 - May 21, 2025'!$N:$N),0)+IFERROR(SUMIF('May 22 - Jun 21, 2025'!$A:$A,"LEASE-BH-F15-2025",'May 22 - Jun 21, 2025'!$N:$N),0)+IFERROR(SUMIF('Jun 22 - Jul 21, 2025'!$A:$A,"LEASE-BH-F15-2025",'Jun 22 - Jul 21, 2025'!$N:$N),0)+IFERROR(SUMIF('Jul 22 - Aug 21, 2025'!$A:$A,"LEASE-BH-F15-2025",'Jul 22 - Aug 21, 2025'!$N:$N),0)+IFERROR(SUMIF('Aug 22 - Sep 21, 2025'!$A:$A,"LEASE-BH-F15-2025",'Aug 22 - Sep 21, 2025'!$N:$N),0)+IFERROR(SUMIF('Sep 22 - Oct 21, 2025'!$A:$A,"LEASE-BH-F15-2025",'Sep 22 - Oct 21, 2025'!$N:$N),0)+IFERROR(SUMIF('Oct 22 - Nov 21, 2025'!$A:$A,"LEASE-BH-F15-2025",'Oct 22 - Nov 21, 2025'!$N:$N),0)</f>
        <v>0.0</v>
      </c>
      <c r="M18" s="3" t="n">
        <f>IFERROR(SUMIF('Dec 22 - Jan 21, 2025'!$A:$A,"LEASE-BH-F15-2025",'Dec 22 - Jan 21, 2025'!$O:$O),0)+IFERROR(SUMIF('Jan 22 - Feb 21, 2025'!$A:$A,"LEASE-BH-F15-2025",'Jan 22 - Feb 21, 2025'!$O:$O),0)+IFERROR(SUMIF('Feb 22 - Mar 21, 2025'!$A:$A,"LEASE-BH-F15-2025",'Feb 22 - Mar 21, 2025'!$O:$O),0)+IFERROR(SUMIF('Mar 22 - Apr 21, 2025'!$A:$A,"LEASE-BH-F15-2025",'Mar 22 - Apr 21, 2025'!$O:$O),0)+IFERROR(SUMIF('Apr 22 - May 21, 2025'!$A:$A,"LEASE-BH-F15-2025",'Apr 22 - May 21, 2025'!$O:$O),0)+IFERROR(SUMIF('May 22 - Jun 21, 2025'!$A:$A,"LEASE-BH-F15-2025",'May 22 - Jun 21, 2025'!$O:$O),0)+IFERROR(SUMIF('Jun 22 - Jul 21, 2025'!$A:$A,"LEASE-BH-F15-2025",'Jun 22 - Jul 21, 2025'!$O:$O),0)+IFERROR(SUMIF('Jul 22 - Aug 21, 2025'!$A:$A,"LEASE-BH-F15-2025",'Jul 22 - Aug 21, 2025'!$O:$O),0)+IFERROR(SUMIF('Aug 22 - Sep 21, 2025'!$A:$A,"LEASE-BH-F15-2025",'Aug 22 - Sep 21, 2025'!$O:$O),0)+IFERROR(SUMIF('Sep 22 - Oct 21, 2025'!$A:$A,"LEASE-BH-F15-2025",'Sep 22 - Oct 21, 2025'!$O:$O),0)+IFERROR(SUMIF('Oct 22 - Nov 21, 2025'!$A:$A,"LEASE-BH-F15-2025",'Oct 22 - Nov 21, 2025'!$O:$O),0)</f>
        <v>0.0</v>
      </c>
      <c r="N18" s="3" t="n">
        <f>IFERROR(SUMIF('Dec 22 - Jan 21, 2025'!$A:$A,"LEASE-BH-F15-2025",'Dec 22 - Jan 21, 2025'!$P:$P),0)+IFERROR(SUMIF('Jan 22 - Feb 21, 2025'!$A:$A,"LEASE-BH-F15-2025",'Jan 22 - Feb 21, 2025'!$P:$P),0)+IFERROR(SUMIF('Feb 22 - Mar 21, 2025'!$A:$A,"LEASE-BH-F15-2025",'Feb 22 - Mar 21, 2025'!$P:$P),0)+IFERROR(SUMIF('Mar 22 - Apr 21, 2025'!$A:$A,"LEASE-BH-F15-2025",'Mar 22 - Apr 21, 2025'!$P:$P),0)+IFERROR(SUMIF('Apr 22 - May 21, 2025'!$A:$A,"LEASE-BH-F15-2025",'Apr 22 - May 21, 2025'!$P:$P),0)+IFERROR(SUMIF('May 22 - Jun 21, 2025'!$A:$A,"LEASE-BH-F15-2025",'May 22 - Jun 21, 2025'!$P:$P),0)+IFERROR(SUMIF('Jun 22 - Jul 21, 2025'!$A:$A,"LEASE-BH-F15-2025",'Jun 22 - Jul 21, 2025'!$P:$P),0)+IFERROR(SUMIF('Jul 22 - Aug 21, 2025'!$A:$A,"LEASE-BH-F15-2025",'Jul 22 - Aug 21, 2025'!$P:$P),0)+IFERROR(SUMIF('Aug 22 - Sep 21, 2025'!$A:$A,"LEASE-BH-F15-2025",'Aug 22 - Sep 21, 2025'!$P:$P),0)+IFERROR(SUMIF('Sep 22 - Oct 21, 2025'!$A:$A,"LEASE-BH-F15-2025",'Sep 22 - Oct 21, 2025'!$P:$P),0)+IFERROR(SUMIF('Oct 22 - Nov 21, 2025'!$A:$A,"LEASE-BH-F15-2025",'Oct 22 - Nov 21, 2025'!$P:$P),0)</f>
        <v>0.0</v>
      </c>
      <c r="O18" s="3" t="n">
        <f>IFERROR(SUMIF('Dec 22 - Jan 21, 2025'!$A:$A,"LEASE-BH-F15-2025",'Dec 22 - Jan 21, 2025'!$I:$I),0)</f>
        <v>0.0</v>
      </c>
      <c r="P18" s="3" t="n">
        <f>IFERROR(SUMIF('Oct 22 - Nov 21, 2025'!$A:$A,"LEASE-BH-F15-2025",'Oct 22 - Nov 21, 2025'!$K:$K),0)</f>
        <v>0.0</v>
      </c>
    </row>
    <row r="19">
      <c r="A19" t="inlineStr">
        <is>
          <t>LEASE-BH-F16-2025</t>
        </is>
      </c>
      <c r="B19" t="inlineStr">
        <is>
          <t>Flat 16 - 3 West Gate</t>
        </is>
      </c>
      <c r="C19" t="inlineStr">
        <is>
          <t>Achal (Delegated for Udayan)</t>
        </is>
      </c>
      <c r="D19" t="inlineStr">
        <is>
          <t>Mr Riley Paul Beresford, Ms Gina Louise Judge</t>
        </is>
      </c>
      <c r="E19" s="2" t="n">
        <v>45726.0</v>
      </c>
      <c r="F19" t="n">
        <v>10.0</v>
      </c>
      <c r="G19" s="3" t="n">
        <f>IFERROR(SUMIF('Dec 22 - Jan 21, 2025'!$A:$A,"LEASE-BH-F16-2025",'Dec 22 - Jan 21, 2025'!$G:$G),0)+IFERROR(SUMIF('Jan 22 - Feb 21, 2025'!$A:$A,"LEASE-BH-F16-2025",'Jan 22 - Feb 21, 2025'!$G:$G),0)+IFERROR(SUMIF('Feb 22 - Mar 21, 2025'!$A:$A,"LEASE-BH-F16-2025",'Feb 22 - Mar 21, 2025'!$G:$G),0)+IFERROR(SUMIF('Mar 22 - Apr 21, 2025'!$A:$A,"LEASE-BH-F16-2025",'Mar 22 - Apr 21, 2025'!$G:$G),0)+IFERROR(SUMIF('Apr 22 - May 21, 2025'!$A:$A,"LEASE-BH-F16-2025",'Apr 22 - May 21, 2025'!$G:$G),0)+IFERROR(SUMIF('May 22 - Jun 21, 2025'!$A:$A,"LEASE-BH-F16-2025",'May 22 - Jun 21, 2025'!$G:$G),0)+IFERROR(SUMIF('Jun 22 - Jul 21, 2025'!$A:$A,"LEASE-BH-F16-2025",'Jun 22 - Jul 21, 2025'!$G:$G),0)+IFERROR(SUMIF('Jul 22 - Aug 21, 2025'!$A:$A,"LEASE-BH-F16-2025",'Jul 22 - Aug 21, 2025'!$G:$G),0)+IFERROR(SUMIF('Aug 22 - Sep 21, 2025'!$A:$A,"LEASE-BH-F16-2025",'Aug 22 - Sep 21, 2025'!$G:$G),0)+IFERROR(SUMIF('Sep 22 - Oct 21, 2025'!$A:$A,"LEASE-BH-F16-2025",'Sep 22 - Oct 21, 2025'!$G:$G),0)+IFERROR(SUMIF('Oct 22 - Nov 21, 2025'!$A:$A,"LEASE-BH-F16-2025",'Oct 22 - Nov 21, 2025'!$G:$G),0)</f>
        <v>0.0</v>
      </c>
      <c r="H19" s="3" t="n">
        <f>IFERROR(SUMIF('Dec 22 - Jan 21, 2025'!$A:$A,"LEASE-BH-F16-2025",'Dec 22 - Jan 21, 2025'!$H:$H),0)+IFERROR(SUMIF('Jan 22 - Feb 21, 2025'!$A:$A,"LEASE-BH-F16-2025",'Jan 22 - Feb 21, 2025'!$H:$H),0)+IFERROR(SUMIF('Feb 22 - Mar 21, 2025'!$A:$A,"LEASE-BH-F16-2025",'Feb 22 - Mar 21, 2025'!$H:$H),0)+IFERROR(SUMIF('Mar 22 - Apr 21, 2025'!$A:$A,"LEASE-BH-F16-2025",'Mar 22 - Apr 21, 2025'!$H:$H),0)+IFERROR(SUMIF('Apr 22 - May 21, 2025'!$A:$A,"LEASE-BH-F16-2025",'Apr 22 - May 21, 2025'!$H:$H),0)+IFERROR(SUMIF('May 22 - Jun 21, 2025'!$A:$A,"LEASE-BH-F16-2025",'May 22 - Jun 21, 2025'!$H:$H),0)+IFERROR(SUMIF('Jun 22 - Jul 21, 2025'!$A:$A,"LEASE-BH-F16-2025",'Jun 22 - Jul 21, 2025'!$H:$H),0)+IFERROR(SUMIF('Jul 22 - Aug 21, 2025'!$A:$A,"LEASE-BH-F16-2025",'Jul 22 - Aug 21, 2025'!$H:$H),0)+IFERROR(SUMIF('Aug 22 - Sep 21, 2025'!$A:$A,"LEASE-BH-F16-2025",'Aug 22 - Sep 21, 2025'!$H:$H),0)+IFERROR(SUMIF('Sep 22 - Oct 21, 2025'!$A:$A,"LEASE-BH-F16-2025",'Sep 22 - Oct 21, 2025'!$H:$H),0)+IFERROR(SUMIF('Oct 22 - Nov 21, 2025'!$A:$A,"LEASE-BH-F16-2025",'Oct 22 - Nov 21, 2025'!$H:$H),0)</f>
        <v>0.0</v>
      </c>
      <c r="I19" s="3" t="n">
        <f>G19 - H19</f>
        <v>0.0</v>
      </c>
      <c r="J19" s="3" t="n">
        <f>IFERROR(SUMIF('Dec 22 - Jan 21, 2025'!$A:$A,"LEASE-BH-F16-2025",'Dec 22 - Jan 21, 2025'!$L:$L),0)+IFERROR(SUMIF('Jan 22 - Feb 21, 2025'!$A:$A,"LEASE-BH-F16-2025",'Jan 22 - Feb 21, 2025'!$L:$L),0)+IFERROR(SUMIF('Feb 22 - Mar 21, 2025'!$A:$A,"LEASE-BH-F16-2025",'Feb 22 - Mar 21, 2025'!$L:$L),0)+IFERROR(SUMIF('Mar 22 - Apr 21, 2025'!$A:$A,"LEASE-BH-F16-2025",'Mar 22 - Apr 21, 2025'!$L:$L),0)+IFERROR(SUMIF('Apr 22 - May 21, 2025'!$A:$A,"LEASE-BH-F16-2025",'Apr 22 - May 21, 2025'!$L:$L),0)+IFERROR(SUMIF('May 22 - Jun 21, 2025'!$A:$A,"LEASE-BH-F16-2025",'May 22 - Jun 21, 2025'!$L:$L),0)+IFERROR(SUMIF('Jun 22 - Jul 21, 2025'!$A:$A,"LEASE-BH-F16-2025",'Jun 22 - Jul 21, 2025'!$L:$L),0)+IFERROR(SUMIF('Jul 22 - Aug 21, 2025'!$A:$A,"LEASE-BH-F16-2025",'Jul 22 - Aug 21, 2025'!$L:$L),0)+IFERROR(SUMIF('Aug 22 - Sep 21, 2025'!$A:$A,"LEASE-BH-F16-2025",'Aug 22 - Sep 21, 2025'!$L:$L),0)+IFERROR(SUMIF('Sep 22 - Oct 21, 2025'!$A:$A,"LEASE-BH-F16-2025",'Sep 22 - Oct 21, 2025'!$L:$L),0)+IFERROR(SUMIF('Oct 22 - Nov 21, 2025'!$A:$A,"LEASE-BH-F16-2025",'Oct 22 - Nov 21, 2025'!$L:$L),0)</f>
        <v>0.0</v>
      </c>
      <c r="K19" s="3" t="n">
        <f>IFERROR(SUMIF('Dec 22 - Jan 21, 2025'!$A:$A,"LEASE-BH-F16-2025",'Dec 22 - Jan 21, 2025'!$M:$M),0)+IFERROR(SUMIF('Jan 22 - Feb 21, 2025'!$A:$A,"LEASE-BH-F16-2025",'Jan 22 - Feb 21, 2025'!$M:$M),0)+IFERROR(SUMIF('Feb 22 - Mar 21, 2025'!$A:$A,"LEASE-BH-F16-2025",'Feb 22 - Mar 21, 2025'!$M:$M),0)+IFERROR(SUMIF('Mar 22 - Apr 21, 2025'!$A:$A,"LEASE-BH-F16-2025",'Mar 22 - Apr 21, 2025'!$M:$M),0)+IFERROR(SUMIF('Apr 22 - May 21, 2025'!$A:$A,"LEASE-BH-F16-2025",'Apr 22 - May 21, 2025'!$M:$M),0)+IFERROR(SUMIF('May 22 - Jun 21, 2025'!$A:$A,"LEASE-BH-F16-2025",'May 22 - Jun 21, 2025'!$M:$M),0)+IFERROR(SUMIF('Jun 22 - Jul 21, 2025'!$A:$A,"LEASE-BH-F16-2025",'Jun 22 - Jul 21, 2025'!$M:$M),0)+IFERROR(SUMIF('Jul 22 - Aug 21, 2025'!$A:$A,"LEASE-BH-F16-2025",'Jul 22 - Aug 21, 2025'!$M:$M),0)+IFERROR(SUMIF('Aug 22 - Sep 21, 2025'!$A:$A,"LEASE-BH-F16-2025",'Aug 22 - Sep 21, 2025'!$M:$M),0)+IFERROR(SUMIF('Sep 22 - Oct 21, 2025'!$A:$A,"LEASE-BH-F16-2025",'Sep 22 - Oct 21, 2025'!$M:$M),0)+IFERROR(SUMIF('Oct 22 - Nov 21, 2025'!$A:$A,"LEASE-BH-F16-2025",'Oct 22 - Nov 21, 2025'!$M:$M),0)</f>
        <v>0.0</v>
      </c>
      <c r="L19" s="3" t="n">
        <f>IFERROR(SUMIF('Dec 22 - Jan 21, 2025'!$A:$A,"LEASE-BH-F16-2025",'Dec 22 - Jan 21, 2025'!$N:$N),0)+IFERROR(SUMIF('Jan 22 - Feb 21, 2025'!$A:$A,"LEASE-BH-F16-2025",'Jan 22 - Feb 21, 2025'!$N:$N),0)+IFERROR(SUMIF('Feb 22 - Mar 21, 2025'!$A:$A,"LEASE-BH-F16-2025",'Feb 22 - Mar 21, 2025'!$N:$N),0)+IFERROR(SUMIF('Mar 22 - Apr 21, 2025'!$A:$A,"LEASE-BH-F16-2025",'Mar 22 - Apr 21, 2025'!$N:$N),0)+IFERROR(SUMIF('Apr 22 - May 21, 2025'!$A:$A,"LEASE-BH-F16-2025",'Apr 22 - May 21, 2025'!$N:$N),0)+IFERROR(SUMIF('May 22 - Jun 21, 2025'!$A:$A,"LEASE-BH-F16-2025",'May 22 - Jun 21, 2025'!$N:$N),0)+IFERROR(SUMIF('Jun 22 - Jul 21, 2025'!$A:$A,"LEASE-BH-F16-2025",'Jun 22 - Jul 21, 2025'!$N:$N),0)+IFERROR(SUMIF('Jul 22 - Aug 21, 2025'!$A:$A,"LEASE-BH-F16-2025",'Jul 22 - Aug 21, 2025'!$N:$N),0)+IFERROR(SUMIF('Aug 22 - Sep 21, 2025'!$A:$A,"LEASE-BH-F16-2025",'Aug 22 - Sep 21, 2025'!$N:$N),0)+IFERROR(SUMIF('Sep 22 - Oct 21, 2025'!$A:$A,"LEASE-BH-F16-2025",'Sep 22 - Oct 21, 2025'!$N:$N),0)+IFERROR(SUMIF('Oct 22 - Nov 21, 2025'!$A:$A,"LEASE-BH-F16-2025",'Oct 22 - Nov 21, 2025'!$N:$N),0)</f>
        <v>0.0</v>
      </c>
      <c r="M19" s="3" t="n">
        <f>IFERROR(SUMIF('Dec 22 - Jan 21, 2025'!$A:$A,"LEASE-BH-F16-2025",'Dec 22 - Jan 21, 2025'!$O:$O),0)+IFERROR(SUMIF('Jan 22 - Feb 21, 2025'!$A:$A,"LEASE-BH-F16-2025",'Jan 22 - Feb 21, 2025'!$O:$O),0)+IFERROR(SUMIF('Feb 22 - Mar 21, 2025'!$A:$A,"LEASE-BH-F16-2025",'Feb 22 - Mar 21, 2025'!$O:$O),0)+IFERROR(SUMIF('Mar 22 - Apr 21, 2025'!$A:$A,"LEASE-BH-F16-2025",'Mar 22 - Apr 21, 2025'!$O:$O),0)+IFERROR(SUMIF('Apr 22 - May 21, 2025'!$A:$A,"LEASE-BH-F16-2025",'Apr 22 - May 21, 2025'!$O:$O),0)+IFERROR(SUMIF('May 22 - Jun 21, 2025'!$A:$A,"LEASE-BH-F16-2025",'May 22 - Jun 21, 2025'!$O:$O),0)+IFERROR(SUMIF('Jun 22 - Jul 21, 2025'!$A:$A,"LEASE-BH-F16-2025",'Jun 22 - Jul 21, 2025'!$O:$O),0)+IFERROR(SUMIF('Jul 22 - Aug 21, 2025'!$A:$A,"LEASE-BH-F16-2025",'Jul 22 - Aug 21, 2025'!$O:$O),0)+IFERROR(SUMIF('Aug 22 - Sep 21, 2025'!$A:$A,"LEASE-BH-F16-2025",'Aug 22 - Sep 21, 2025'!$O:$O),0)+IFERROR(SUMIF('Sep 22 - Oct 21, 2025'!$A:$A,"LEASE-BH-F16-2025",'Sep 22 - Oct 21, 2025'!$O:$O),0)+IFERROR(SUMIF('Oct 22 - Nov 21, 2025'!$A:$A,"LEASE-BH-F16-2025",'Oct 22 - Nov 21, 2025'!$O:$O),0)</f>
        <v>0.0</v>
      </c>
      <c r="N19" s="3" t="n">
        <f>IFERROR(SUMIF('Dec 22 - Jan 21, 2025'!$A:$A,"LEASE-BH-F16-2025",'Dec 22 - Jan 21, 2025'!$P:$P),0)+IFERROR(SUMIF('Jan 22 - Feb 21, 2025'!$A:$A,"LEASE-BH-F16-2025",'Jan 22 - Feb 21, 2025'!$P:$P),0)+IFERROR(SUMIF('Feb 22 - Mar 21, 2025'!$A:$A,"LEASE-BH-F16-2025",'Feb 22 - Mar 21, 2025'!$P:$P),0)+IFERROR(SUMIF('Mar 22 - Apr 21, 2025'!$A:$A,"LEASE-BH-F16-2025",'Mar 22 - Apr 21, 2025'!$P:$P),0)+IFERROR(SUMIF('Apr 22 - May 21, 2025'!$A:$A,"LEASE-BH-F16-2025",'Apr 22 - May 21, 2025'!$P:$P),0)+IFERROR(SUMIF('May 22 - Jun 21, 2025'!$A:$A,"LEASE-BH-F16-2025",'May 22 - Jun 21, 2025'!$P:$P),0)+IFERROR(SUMIF('Jun 22 - Jul 21, 2025'!$A:$A,"LEASE-BH-F16-2025",'Jun 22 - Jul 21, 2025'!$P:$P),0)+IFERROR(SUMIF('Jul 22 - Aug 21, 2025'!$A:$A,"LEASE-BH-F16-2025",'Jul 22 - Aug 21, 2025'!$P:$P),0)+IFERROR(SUMIF('Aug 22 - Sep 21, 2025'!$A:$A,"LEASE-BH-F16-2025",'Aug 22 - Sep 21, 2025'!$P:$P),0)+IFERROR(SUMIF('Sep 22 - Oct 21, 2025'!$A:$A,"LEASE-BH-F16-2025",'Sep 22 - Oct 21, 2025'!$P:$P),0)+IFERROR(SUMIF('Oct 22 - Nov 21, 2025'!$A:$A,"LEASE-BH-F16-2025",'Oct 22 - Nov 21, 2025'!$P:$P),0)</f>
        <v>0.0</v>
      </c>
      <c r="O19" s="3" t="n">
        <f>IFERROR(SUMIF('Dec 22 - Jan 21, 2025'!$A:$A,"LEASE-BH-F16-2025",'Dec 22 - Jan 21, 2025'!$I:$I),0)</f>
        <v>0.0</v>
      </c>
      <c r="P19" s="3" t="n">
        <f>IFERROR(SUMIF('Oct 22 - Nov 21, 2025'!$A:$A,"LEASE-BH-F16-2025",'Oct 22 - Nov 21, 2025'!$K:$K),0)</f>
        <v>0.0</v>
      </c>
    </row>
    <row r="20">
      <c r="A20" t="inlineStr">
        <is>
          <t>LEASE-BH-F17-2025</t>
        </is>
      </c>
      <c r="B20" t="inlineStr">
        <is>
          <t>Flat 17 - 3 West Gate</t>
        </is>
      </c>
      <c r="C20" t="inlineStr">
        <is>
          <t>Achal (Delegated for Udayan)</t>
        </is>
      </c>
      <c r="D20" t="inlineStr">
        <is>
          <t>Mr Harsh Patel</t>
        </is>
      </c>
      <c r="E20" s="2" t="n">
        <v>45705.0</v>
      </c>
      <c r="F20" t="n">
        <v>17.0</v>
      </c>
      <c r="G20" s="3" t="n">
        <f>IFERROR(SUMIF('Dec 22 - Jan 21, 2025'!$A:$A,"LEASE-BH-F17-2025",'Dec 22 - Jan 21, 2025'!$G:$G),0)+IFERROR(SUMIF('Jan 22 - Feb 21, 2025'!$A:$A,"LEASE-BH-F17-2025",'Jan 22 - Feb 21, 2025'!$G:$G),0)+IFERROR(SUMIF('Feb 22 - Mar 21, 2025'!$A:$A,"LEASE-BH-F17-2025",'Feb 22 - Mar 21, 2025'!$G:$G),0)+IFERROR(SUMIF('Mar 22 - Apr 21, 2025'!$A:$A,"LEASE-BH-F17-2025",'Mar 22 - Apr 21, 2025'!$G:$G),0)+IFERROR(SUMIF('Apr 22 - May 21, 2025'!$A:$A,"LEASE-BH-F17-2025",'Apr 22 - May 21, 2025'!$G:$G),0)+IFERROR(SUMIF('May 22 - Jun 21, 2025'!$A:$A,"LEASE-BH-F17-2025",'May 22 - Jun 21, 2025'!$G:$G),0)+IFERROR(SUMIF('Jun 22 - Jul 21, 2025'!$A:$A,"LEASE-BH-F17-2025",'Jun 22 - Jul 21, 2025'!$G:$G),0)+IFERROR(SUMIF('Jul 22 - Aug 21, 2025'!$A:$A,"LEASE-BH-F17-2025",'Jul 22 - Aug 21, 2025'!$G:$G),0)+IFERROR(SUMIF('Aug 22 - Sep 21, 2025'!$A:$A,"LEASE-BH-F17-2025",'Aug 22 - Sep 21, 2025'!$G:$G),0)+IFERROR(SUMIF('Sep 22 - Oct 21, 2025'!$A:$A,"LEASE-BH-F17-2025",'Sep 22 - Oct 21, 2025'!$G:$G),0)+IFERROR(SUMIF('Oct 22 - Nov 21, 2025'!$A:$A,"LEASE-BH-F17-2025",'Oct 22 - Nov 21, 2025'!$G:$G),0)</f>
        <v>0.0</v>
      </c>
      <c r="H20" s="3" t="n">
        <f>IFERROR(SUMIF('Dec 22 - Jan 21, 2025'!$A:$A,"LEASE-BH-F17-2025",'Dec 22 - Jan 21, 2025'!$H:$H),0)+IFERROR(SUMIF('Jan 22 - Feb 21, 2025'!$A:$A,"LEASE-BH-F17-2025",'Jan 22 - Feb 21, 2025'!$H:$H),0)+IFERROR(SUMIF('Feb 22 - Mar 21, 2025'!$A:$A,"LEASE-BH-F17-2025",'Feb 22 - Mar 21, 2025'!$H:$H),0)+IFERROR(SUMIF('Mar 22 - Apr 21, 2025'!$A:$A,"LEASE-BH-F17-2025",'Mar 22 - Apr 21, 2025'!$H:$H),0)+IFERROR(SUMIF('Apr 22 - May 21, 2025'!$A:$A,"LEASE-BH-F17-2025",'Apr 22 - May 21, 2025'!$H:$H),0)+IFERROR(SUMIF('May 22 - Jun 21, 2025'!$A:$A,"LEASE-BH-F17-2025",'May 22 - Jun 21, 2025'!$H:$H),0)+IFERROR(SUMIF('Jun 22 - Jul 21, 2025'!$A:$A,"LEASE-BH-F17-2025",'Jun 22 - Jul 21, 2025'!$H:$H),0)+IFERROR(SUMIF('Jul 22 - Aug 21, 2025'!$A:$A,"LEASE-BH-F17-2025",'Jul 22 - Aug 21, 2025'!$H:$H),0)+IFERROR(SUMIF('Aug 22 - Sep 21, 2025'!$A:$A,"LEASE-BH-F17-2025",'Aug 22 - Sep 21, 2025'!$H:$H),0)+IFERROR(SUMIF('Sep 22 - Oct 21, 2025'!$A:$A,"LEASE-BH-F17-2025",'Sep 22 - Oct 21, 2025'!$H:$H),0)+IFERROR(SUMIF('Oct 22 - Nov 21, 2025'!$A:$A,"LEASE-BH-F17-2025",'Oct 22 - Nov 21, 2025'!$H:$H),0)</f>
        <v>0.0</v>
      </c>
      <c r="I20" s="3" t="n">
        <f>G20 - H20</f>
        <v>0.0</v>
      </c>
      <c r="J20" s="3" t="n">
        <f>IFERROR(SUMIF('Dec 22 - Jan 21, 2025'!$A:$A,"LEASE-BH-F17-2025",'Dec 22 - Jan 21, 2025'!$L:$L),0)+IFERROR(SUMIF('Jan 22 - Feb 21, 2025'!$A:$A,"LEASE-BH-F17-2025",'Jan 22 - Feb 21, 2025'!$L:$L),0)+IFERROR(SUMIF('Feb 22 - Mar 21, 2025'!$A:$A,"LEASE-BH-F17-2025",'Feb 22 - Mar 21, 2025'!$L:$L),0)+IFERROR(SUMIF('Mar 22 - Apr 21, 2025'!$A:$A,"LEASE-BH-F17-2025",'Mar 22 - Apr 21, 2025'!$L:$L),0)+IFERROR(SUMIF('Apr 22 - May 21, 2025'!$A:$A,"LEASE-BH-F17-2025",'Apr 22 - May 21, 2025'!$L:$L),0)+IFERROR(SUMIF('May 22 - Jun 21, 2025'!$A:$A,"LEASE-BH-F17-2025",'May 22 - Jun 21, 2025'!$L:$L),0)+IFERROR(SUMIF('Jun 22 - Jul 21, 2025'!$A:$A,"LEASE-BH-F17-2025",'Jun 22 - Jul 21, 2025'!$L:$L),0)+IFERROR(SUMIF('Jul 22 - Aug 21, 2025'!$A:$A,"LEASE-BH-F17-2025",'Jul 22 - Aug 21, 2025'!$L:$L),0)+IFERROR(SUMIF('Aug 22 - Sep 21, 2025'!$A:$A,"LEASE-BH-F17-2025",'Aug 22 - Sep 21, 2025'!$L:$L),0)+IFERROR(SUMIF('Sep 22 - Oct 21, 2025'!$A:$A,"LEASE-BH-F17-2025",'Sep 22 - Oct 21, 2025'!$L:$L),0)+IFERROR(SUMIF('Oct 22 - Nov 21, 2025'!$A:$A,"LEASE-BH-F17-2025",'Oct 22 - Nov 21, 2025'!$L:$L),0)</f>
        <v>0.0</v>
      </c>
      <c r="K20" s="3" t="n">
        <f>IFERROR(SUMIF('Dec 22 - Jan 21, 2025'!$A:$A,"LEASE-BH-F17-2025",'Dec 22 - Jan 21, 2025'!$M:$M),0)+IFERROR(SUMIF('Jan 22 - Feb 21, 2025'!$A:$A,"LEASE-BH-F17-2025",'Jan 22 - Feb 21, 2025'!$M:$M),0)+IFERROR(SUMIF('Feb 22 - Mar 21, 2025'!$A:$A,"LEASE-BH-F17-2025",'Feb 22 - Mar 21, 2025'!$M:$M),0)+IFERROR(SUMIF('Mar 22 - Apr 21, 2025'!$A:$A,"LEASE-BH-F17-2025",'Mar 22 - Apr 21, 2025'!$M:$M),0)+IFERROR(SUMIF('Apr 22 - May 21, 2025'!$A:$A,"LEASE-BH-F17-2025",'Apr 22 - May 21, 2025'!$M:$M),0)+IFERROR(SUMIF('May 22 - Jun 21, 2025'!$A:$A,"LEASE-BH-F17-2025",'May 22 - Jun 21, 2025'!$M:$M),0)+IFERROR(SUMIF('Jun 22 - Jul 21, 2025'!$A:$A,"LEASE-BH-F17-2025",'Jun 22 - Jul 21, 2025'!$M:$M),0)+IFERROR(SUMIF('Jul 22 - Aug 21, 2025'!$A:$A,"LEASE-BH-F17-2025",'Jul 22 - Aug 21, 2025'!$M:$M),0)+IFERROR(SUMIF('Aug 22 - Sep 21, 2025'!$A:$A,"LEASE-BH-F17-2025",'Aug 22 - Sep 21, 2025'!$M:$M),0)+IFERROR(SUMIF('Sep 22 - Oct 21, 2025'!$A:$A,"LEASE-BH-F17-2025",'Sep 22 - Oct 21, 2025'!$M:$M),0)+IFERROR(SUMIF('Oct 22 - Nov 21, 2025'!$A:$A,"LEASE-BH-F17-2025",'Oct 22 - Nov 21, 2025'!$M:$M),0)</f>
        <v>0.0</v>
      </c>
      <c r="L20" s="3" t="n">
        <f>IFERROR(SUMIF('Dec 22 - Jan 21, 2025'!$A:$A,"LEASE-BH-F17-2025",'Dec 22 - Jan 21, 2025'!$N:$N),0)+IFERROR(SUMIF('Jan 22 - Feb 21, 2025'!$A:$A,"LEASE-BH-F17-2025",'Jan 22 - Feb 21, 2025'!$N:$N),0)+IFERROR(SUMIF('Feb 22 - Mar 21, 2025'!$A:$A,"LEASE-BH-F17-2025",'Feb 22 - Mar 21, 2025'!$N:$N),0)+IFERROR(SUMIF('Mar 22 - Apr 21, 2025'!$A:$A,"LEASE-BH-F17-2025",'Mar 22 - Apr 21, 2025'!$N:$N),0)+IFERROR(SUMIF('Apr 22 - May 21, 2025'!$A:$A,"LEASE-BH-F17-2025",'Apr 22 - May 21, 2025'!$N:$N),0)+IFERROR(SUMIF('May 22 - Jun 21, 2025'!$A:$A,"LEASE-BH-F17-2025",'May 22 - Jun 21, 2025'!$N:$N),0)+IFERROR(SUMIF('Jun 22 - Jul 21, 2025'!$A:$A,"LEASE-BH-F17-2025",'Jun 22 - Jul 21, 2025'!$N:$N),0)+IFERROR(SUMIF('Jul 22 - Aug 21, 2025'!$A:$A,"LEASE-BH-F17-2025",'Jul 22 - Aug 21, 2025'!$N:$N),0)+IFERROR(SUMIF('Aug 22 - Sep 21, 2025'!$A:$A,"LEASE-BH-F17-2025",'Aug 22 - Sep 21, 2025'!$N:$N),0)+IFERROR(SUMIF('Sep 22 - Oct 21, 2025'!$A:$A,"LEASE-BH-F17-2025",'Sep 22 - Oct 21, 2025'!$N:$N),0)+IFERROR(SUMIF('Oct 22 - Nov 21, 2025'!$A:$A,"LEASE-BH-F17-2025",'Oct 22 - Nov 21, 2025'!$N:$N),0)</f>
        <v>0.0</v>
      </c>
      <c r="M20" s="3" t="n">
        <f>IFERROR(SUMIF('Dec 22 - Jan 21, 2025'!$A:$A,"LEASE-BH-F17-2025",'Dec 22 - Jan 21, 2025'!$O:$O),0)+IFERROR(SUMIF('Jan 22 - Feb 21, 2025'!$A:$A,"LEASE-BH-F17-2025",'Jan 22 - Feb 21, 2025'!$O:$O),0)+IFERROR(SUMIF('Feb 22 - Mar 21, 2025'!$A:$A,"LEASE-BH-F17-2025",'Feb 22 - Mar 21, 2025'!$O:$O),0)+IFERROR(SUMIF('Mar 22 - Apr 21, 2025'!$A:$A,"LEASE-BH-F17-2025",'Mar 22 - Apr 21, 2025'!$O:$O),0)+IFERROR(SUMIF('Apr 22 - May 21, 2025'!$A:$A,"LEASE-BH-F17-2025",'Apr 22 - May 21, 2025'!$O:$O),0)+IFERROR(SUMIF('May 22 - Jun 21, 2025'!$A:$A,"LEASE-BH-F17-2025",'May 22 - Jun 21, 2025'!$O:$O),0)+IFERROR(SUMIF('Jun 22 - Jul 21, 2025'!$A:$A,"LEASE-BH-F17-2025",'Jun 22 - Jul 21, 2025'!$O:$O),0)+IFERROR(SUMIF('Jul 22 - Aug 21, 2025'!$A:$A,"LEASE-BH-F17-2025",'Jul 22 - Aug 21, 2025'!$O:$O),0)+IFERROR(SUMIF('Aug 22 - Sep 21, 2025'!$A:$A,"LEASE-BH-F17-2025",'Aug 22 - Sep 21, 2025'!$O:$O),0)+IFERROR(SUMIF('Sep 22 - Oct 21, 2025'!$A:$A,"LEASE-BH-F17-2025",'Sep 22 - Oct 21, 2025'!$O:$O),0)+IFERROR(SUMIF('Oct 22 - Nov 21, 2025'!$A:$A,"LEASE-BH-F17-2025",'Oct 22 - Nov 21, 2025'!$O:$O),0)</f>
        <v>0.0</v>
      </c>
      <c r="N20" s="3" t="n">
        <f>IFERROR(SUMIF('Dec 22 - Jan 21, 2025'!$A:$A,"LEASE-BH-F17-2025",'Dec 22 - Jan 21, 2025'!$P:$P),0)+IFERROR(SUMIF('Jan 22 - Feb 21, 2025'!$A:$A,"LEASE-BH-F17-2025",'Jan 22 - Feb 21, 2025'!$P:$P),0)+IFERROR(SUMIF('Feb 22 - Mar 21, 2025'!$A:$A,"LEASE-BH-F17-2025",'Feb 22 - Mar 21, 2025'!$P:$P),0)+IFERROR(SUMIF('Mar 22 - Apr 21, 2025'!$A:$A,"LEASE-BH-F17-2025",'Mar 22 - Apr 21, 2025'!$P:$P),0)+IFERROR(SUMIF('Apr 22 - May 21, 2025'!$A:$A,"LEASE-BH-F17-2025",'Apr 22 - May 21, 2025'!$P:$P),0)+IFERROR(SUMIF('May 22 - Jun 21, 2025'!$A:$A,"LEASE-BH-F17-2025",'May 22 - Jun 21, 2025'!$P:$P),0)+IFERROR(SUMIF('Jun 22 - Jul 21, 2025'!$A:$A,"LEASE-BH-F17-2025",'Jun 22 - Jul 21, 2025'!$P:$P),0)+IFERROR(SUMIF('Jul 22 - Aug 21, 2025'!$A:$A,"LEASE-BH-F17-2025",'Jul 22 - Aug 21, 2025'!$P:$P),0)+IFERROR(SUMIF('Aug 22 - Sep 21, 2025'!$A:$A,"LEASE-BH-F17-2025",'Aug 22 - Sep 21, 2025'!$P:$P),0)+IFERROR(SUMIF('Sep 22 - Oct 21, 2025'!$A:$A,"LEASE-BH-F17-2025",'Sep 22 - Oct 21, 2025'!$P:$P),0)+IFERROR(SUMIF('Oct 22 - Nov 21, 2025'!$A:$A,"LEASE-BH-F17-2025",'Oct 22 - Nov 21, 2025'!$P:$P),0)</f>
        <v>0.0</v>
      </c>
      <c r="O20" s="3" t="n">
        <f>IFERROR(SUMIF('Dec 22 - Jan 21, 2025'!$A:$A,"LEASE-BH-F17-2025",'Dec 22 - Jan 21, 2025'!$I:$I),0)</f>
        <v>0.0</v>
      </c>
      <c r="P20" s="3" t="n">
        <f>IFERROR(SUMIF('Oct 22 - Nov 21, 2025'!$A:$A,"LEASE-BH-F17-2025",'Oct 22 - Nov 21, 2025'!$K:$K),0)</f>
        <v>0.0</v>
      </c>
    </row>
    <row r="21">
      <c r="A21" t="inlineStr">
        <is>
          <t>LEASE-BH-F18-2025</t>
        </is>
      </c>
      <c r="B21" t="inlineStr">
        <is>
          <t>Flat 18 - 3 West Gate</t>
        </is>
      </c>
      <c r="C21" t="inlineStr">
        <is>
          <t>Achal (Delegated for Udayan)</t>
        </is>
      </c>
      <c r="D21" t="inlineStr">
        <is>
          <t>Marie Dinko</t>
        </is>
      </c>
      <c r="E21" s="2" t="n">
        <v>45687.0</v>
      </c>
      <c r="F21" t="n">
        <v>30.0</v>
      </c>
      <c r="G21" s="3" t="n">
        <f>IFERROR(SUMIF('Dec 22 - Jan 21, 2025'!$A:$A,"LEASE-BH-F18-2025",'Dec 22 - Jan 21, 2025'!$G:$G),0)+IFERROR(SUMIF('Jan 22 - Feb 21, 2025'!$A:$A,"LEASE-BH-F18-2025",'Jan 22 - Feb 21, 2025'!$G:$G),0)+IFERROR(SUMIF('Feb 22 - Mar 21, 2025'!$A:$A,"LEASE-BH-F18-2025",'Feb 22 - Mar 21, 2025'!$G:$G),0)+IFERROR(SUMIF('Mar 22 - Apr 21, 2025'!$A:$A,"LEASE-BH-F18-2025",'Mar 22 - Apr 21, 2025'!$G:$G),0)+IFERROR(SUMIF('Apr 22 - May 21, 2025'!$A:$A,"LEASE-BH-F18-2025",'Apr 22 - May 21, 2025'!$G:$G),0)+IFERROR(SUMIF('May 22 - Jun 21, 2025'!$A:$A,"LEASE-BH-F18-2025",'May 22 - Jun 21, 2025'!$G:$G),0)+IFERROR(SUMIF('Jun 22 - Jul 21, 2025'!$A:$A,"LEASE-BH-F18-2025",'Jun 22 - Jul 21, 2025'!$G:$G),0)+IFERROR(SUMIF('Jul 22 - Aug 21, 2025'!$A:$A,"LEASE-BH-F18-2025",'Jul 22 - Aug 21, 2025'!$G:$G),0)+IFERROR(SUMIF('Aug 22 - Sep 21, 2025'!$A:$A,"LEASE-BH-F18-2025",'Aug 22 - Sep 21, 2025'!$G:$G),0)+IFERROR(SUMIF('Sep 22 - Oct 21, 2025'!$A:$A,"LEASE-BH-F18-2025",'Sep 22 - Oct 21, 2025'!$G:$G),0)+IFERROR(SUMIF('Oct 22 - Nov 21, 2025'!$A:$A,"LEASE-BH-F18-2025",'Oct 22 - Nov 21, 2025'!$G:$G),0)</f>
        <v>0.0</v>
      </c>
      <c r="H21" s="3" t="n">
        <f>IFERROR(SUMIF('Dec 22 - Jan 21, 2025'!$A:$A,"LEASE-BH-F18-2025",'Dec 22 - Jan 21, 2025'!$H:$H),0)+IFERROR(SUMIF('Jan 22 - Feb 21, 2025'!$A:$A,"LEASE-BH-F18-2025",'Jan 22 - Feb 21, 2025'!$H:$H),0)+IFERROR(SUMIF('Feb 22 - Mar 21, 2025'!$A:$A,"LEASE-BH-F18-2025",'Feb 22 - Mar 21, 2025'!$H:$H),0)+IFERROR(SUMIF('Mar 22 - Apr 21, 2025'!$A:$A,"LEASE-BH-F18-2025",'Mar 22 - Apr 21, 2025'!$H:$H),0)+IFERROR(SUMIF('Apr 22 - May 21, 2025'!$A:$A,"LEASE-BH-F18-2025",'Apr 22 - May 21, 2025'!$H:$H),0)+IFERROR(SUMIF('May 22 - Jun 21, 2025'!$A:$A,"LEASE-BH-F18-2025",'May 22 - Jun 21, 2025'!$H:$H),0)+IFERROR(SUMIF('Jun 22 - Jul 21, 2025'!$A:$A,"LEASE-BH-F18-2025",'Jun 22 - Jul 21, 2025'!$H:$H),0)+IFERROR(SUMIF('Jul 22 - Aug 21, 2025'!$A:$A,"LEASE-BH-F18-2025",'Jul 22 - Aug 21, 2025'!$H:$H),0)+IFERROR(SUMIF('Aug 22 - Sep 21, 2025'!$A:$A,"LEASE-BH-F18-2025",'Aug 22 - Sep 21, 2025'!$H:$H),0)+IFERROR(SUMIF('Sep 22 - Oct 21, 2025'!$A:$A,"LEASE-BH-F18-2025",'Sep 22 - Oct 21, 2025'!$H:$H),0)+IFERROR(SUMIF('Oct 22 - Nov 21, 2025'!$A:$A,"LEASE-BH-F18-2025",'Oct 22 - Nov 21, 2025'!$H:$H),0)</f>
        <v>0.0</v>
      </c>
      <c r="I21" s="3" t="n">
        <f>G21 - H21</f>
        <v>0.0</v>
      </c>
      <c r="J21" s="3" t="n">
        <f>IFERROR(SUMIF('Dec 22 - Jan 21, 2025'!$A:$A,"LEASE-BH-F18-2025",'Dec 22 - Jan 21, 2025'!$L:$L),0)+IFERROR(SUMIF('Jan 22 - Feb 21, 2025'!$A:$A,"LEASE-BH-F18-2025",'Jan 22 - Feb 21, 2025'!$L:$L),0)+IFERROR(SUMIF('Feb 22 - Mar 21, 2025'!$A:$A,"LEASE-BH-F18-2025",'Feb 22 - Mar 21, 2025'!$L:$L),0)+IFERROR(SUMIF('Mar 22 - Apr 21, 2025'!$A:$A,"LEASE-BH-F18-2025",'Mar 22 - Apr 21, 2025'!$L:$L),0)+IFERROR(SUMIF('Apr 22 - May 21, 2025'!$A:$A,"LEASE-BH-F18-2025",'Apr 22 - May 21, 2025'!$L:$L),0)+IFERROR(SUMIF('May 22 - Jun 21, 2025'!$A:$A,"LEASE-BH-F18-2025",'May 22 - Jun 21, 2025'!$L:$L),0)+IFERROR(SUMIF('Jun 22 - Jul 21, 2025'!$A:$A,"LEASE-BH-F18-2025",'Jun 22 - Jul 21, 2025'!$L:$L),0)+IFERROR(SUMIF('Jul 22 - Aug 21, 2025'!$A:$A,"LEASE-BH-F18-2025",'Jul 22 - Aug 21, 2025'!$L:$L),0)+IFERROR(SUMIF('Aug 22 - Sep 21, 2025'!$A:$A,"LEASE-BH-F18-2025",'Aug 22 - Sep 21, 2025'!$L:$L),0)+IFERROR(SUMIF('Sep 22 - Oct 21, 2025'!$A:$A,"LEASE-BH-F18-2025",'Sep 22 - Oct 21, 2025'!$L:$L),0)+IFERROR(SUMIF('Oct 22 - Nov 21, 2025'!$A:$A,"LEASE-BH-F18-2025",'Oct 22 - Nov 21, 2025'!$L:$L),0)</f>
        <v>0.0</v>
      </c>
      <c r="K21" s="3" t="n">
        <f>IFERROR(SUMIF('Dec 22 - Jan 21, 2025'!$A:$A,"LEASE-BH-F18-2025",'Dec 22 - Jan 21, 2025'!$M:$M),0)+IFERROR(SUMIF('Jan 22 - Feb 21, 2025'!$A:$A,"LEASE-BH-F18-2025",'Jan 22 - Feb 21, 2025'!$M:$M),0)+IFERROR(SUMIF('Feb 22 - Mar 21, 2025'!$A:$A,"LEASE-BH-F18-2025",'Feb 22 - Mar 21, 2025'!$M:$M),0)+IFERROR(SUMIF('Mar 22 - Apr 21, 2025'!$A:$A,"LEASE-BH-F18-2025",'Mar 22 - Apr 21, 2025'!$M:$M),0)+IFERROR(SUMIF('Apr 22 - May 21, 2025'!$A:$A,"LEASE-BH-F18-2025",'Apr 22 - May 21, 2025'!$M:$M),0)+IFERROR(SUMIF('May 22 - Jun 21, 2025'!$A:$A,"LEASE-BH-F18-2025",'May 22 - Jun 21, 2025'!$M:$M),0)+IFERROR(SUMIF('Jun 22 - Jul 21, 2025'!$A:$A,"LEASE-BH-F18-2025",'Jun 22 - Jul 21, 2025'!$M:$M),0)+IFERROR(SUMIF('Jul 22 - Aug 21, 2025'!$A:$A,"LEASE-BH-F18-2025",'Jul 22 - Aug 21, 2025'!$M:$M),0)+IFERROR(SUMIF('Aug 22 - Sep 21, 2025'!$A:$A,"LEASE-BH-F18-2025",'Aug 22 - Sep 21, 2025'!$M:$M),0)+IFERROR(SUMIF('Sep 22 - Oct 21, 2025'!$A:$A,"LEASE-BH-F18-2025",'Sep 22 - Oct 21, 2025'!$M:$M),0)+IFERROR(SUMIF('Oct 22 - Nov 21, 2025'!$A:$A,"LEASE-BH-F18-2025",'Oct 22 - Nov 21, 2025'!$M:$M),0)</f>
        <v>0.0</v>
      </c>
      <c r="L21" s="3" t="n">
        <f>IFERROR(SUMIF('Dec 22 - Jan 21, 2025'!$A:$A,"LEASE-BH-F18-2025",'Dec 22 - Jan 21, 2025'!$N:$N),0)+IFERROR(SUMIF('Jan 22 - Feb 21, 2025'!$A:$A,"LEASE-BH-F18-2025",'Jan 22 - Feb 21, 2025'!$N:$N),0)+IFERROR(SUMIF('Feb 22 - Mar 21, 2025'!$A:$A,"LEASE-BH-F18-2025",'Feb 22 - Mar 21, 2025'!$N:$N),0)+IFERROR(SUMIF('Mar 22 - Apr 21, 2025'!$A:$A,"LEASE-BH-F18-2025",'Mar 22 - Apr 21, 2025'!$N:$N),0)+IFERROR(SUMIF('Apr 22 - May 21, 2025'!$A:$A,"LEASE-BH-F18-2025",'Apr 22 - May 21, 2025'!$N:$N),0)+IFERROR(SUMIF('May 22 - Jun 21, 2025'!$A:$A,"LEASE-BH-F18-2025",'May 22 - Jun 21, 2025'!$N:$N),0)+IFERROR(SUMIF('Jun 22 - Jul 21, 2025'!$A:$A,"LEASE-BH-F18-2025",'Jun 22 - Jul 21, 2025'!$N:$N),0)+IFERROR(SUMIF('Jul 22 - Aug 21, 2025'!$A:$A,"LEASE-BH-F18-2025",'Jul 22 - Aug 21, 2025'!$N:$N),0)+IFERROR(SUMIF('Aug 22 - Sep 21, 2025'!$A:$A,"LEASE-BH-F18-2025",'Aug 22 - Sep 21, 2025'!$N:$N),0)+IFERROR(SUMIF('Sep 22 - Oct 21, 2025'!$A:$A,"LEASE-BH-F18-2025",'Sep 22 - Oct 21, 2025'!$N:$N),0)+IFERROR(SUMIF('Oct 22 - Nov 21, 2025'!$A:$A,"LEASE-BH-F18-2025",'Oct 22 - Nov 21, 2025'!$N:$N),0)</f>
        <v>0.0</v>
      </c>
      <c r="M21" s="3" t="n">
        <f>IFERROR(SUMIF('Dec 22 - Jan 21, 2025'!$A:$A,"LEASE-BH-F18-2025",'Dec 22 - Jan 21, 2025'!$O:$O),0)+IFERROR(SUMIF('Jan 22 - Feb 21, 2025'!$A:$A,"LEASE-BH-F18-2025",'Jan 22 - Feb 21, 2025'!$O:$O),0)+IFERROR(SUMIF('Feb 22 - Mar 21, 2025'!$A:$A,"LEASE-BH-F18-2025",'Feb 22 - Mar 21, 2025'!$O:$O),0)+IFERROR(SUMIF('Mar 22 - Apr 21, 2025'!$A:$A,"LEASE-BH-F18-2025",'Mar 22 - Apr 21, 2025'!$O:$O),0)+IFERROR(SUMIF('Apr 22 - May 21, 2025'!$A:$A,"LEASE-BH-F18-2025",'Apr 22 - May 21, 2025'!$O:$O),0)+IFERROR(SUMIF('May 22 - Jun 21, 2025'!$A:$A,"LEASE-BH-F18-2025",'May 22 - Jun 21, 2025'!$O:$O),0)+IFERROR(SUMIF('Jun 22 - Jul 21, 2025'!$A:$A,"LEASE-BH-F18-2025",'Jun 22 - Jul 21, 2025'!$O:$O),0)+IFERROR(SUMIF('Jul 22 - Aug 21, 2025'!$A:$A,"LEASE-BH-F18-2025",'Jul 22 - Aug 21, 2025'!$O:$O),0)+IFERROR(SUMIF('Aug 22 - Sep 21, 2025'!$A:$A,"LEASE-BH-F18-2025",'Aug 22 - Sep 21, 2025'!$O:$O),0)+IFERROR(SUMIF('Sep 22 - Oct 21, 2025'!$A:$A,"LEASE-BH-F18-2025",'Sep 22 - Oct 21, 2025'!$O:$O),0)+IFERROR(SUMIF('Oct 22 - Nov 21, 2025'!$A:$A,"LEASE-BH-F18-2025",'Oct 22 - Nov 21, 2025'!$O:$O),0)</f>
        <v>0.0</v>
      </c>
      <c r="N21" s="3" t="n">
        <f>IFERROR(SUMIF('Dec 22 - Jan 21, 2025'!$A:$A,"LEASE-BH-F18-2025",'Dec 22 - Jan 21, 2025'!$P:$P),0)+IFERROR(SUMIF('Jan 22 - Feb 21, 2025'!$A:$A,"LEASE-BH-F18-2025",'Jan 22 - Feb 21, 2025'!$P:$P),0)+IFERROR(SUMIF('Feb 22 - Mar 21, 2025'!$A:$A,"LEASE-BH-F18-2025",'Feb 22 - Mar 21, 2025'!$P:$P),0)+IFERROR(SUMIF('Mar 22 - Apr 21, 2025'!$A:$A,"LEASE-BH-F18-2025",'Mar 22 - Apr 21, 2025'!$P:$P),0)+IFERROR(SUMIF('Apr 22 - May 21, 2025'!$A:$A,"LEASE-BH-F18-2025",'Apr 22 - May 21, 2025'!$P:$P),0)+IFERROR(SUMIF('May 22 - Jun 21, 2025'!$A:$A,"LEASE-BH-F18-2025",'May 22 - Jun 21, 2025'!$P:$P),0)+IFERROR(SUMIF('Jun 22 - Jul 21, 2025'!$A:$A,"LEASE-BH-F18-2025",'Jun 22 - Jul 21, 2025'!$P:$P),0)+IFERROR(SUMIF('Jul 22 - Aug 21, 2025'!$A:$A,"LEASE-BH-F18-2025",'Jul 22 - Aug 21, 2025'!$P:$P),0)+IFERROR(SUMIF('Aug 22 - Sep 21, 2025'!$A:$A,"LEASE-BH-F18-2025",'Aug 22 - Sep 21, 2025'!$P:$P),0)+IFERROR(SUMIF('Sep 22 - Oct 21, 2025'!$A:$A,"LEASE-BH-F18-2025",'Sep 22 - Oct 21, 2025'!$P:$P),0)+IFERROR(SUMIF('Oct 22 - Nov 21, 2025'!$A:$A,"LEASE-BH-F18-2025",'Oct 22 - Nov 21, 2025'!$P:$P),0)</f>
        <v>0.0</v>
      </c>
      <c r="O21" s="3" t="n">
        <f>IFERROR(SUMIF('Dec 22 - Jan 21, 2025'!$A:$A,"LEASE-BH-F18-2025",'Dec 22 - Jan 21, 2025'!$I:$I),0)</f>
        <v>0.0</v>
      </c>
      <c r="P21" s="3" t="n">
        <f>IFERROR(SUMIF('Oct 22 - Nov 21, 2025'!$A:$A,"LEASE-BH-F18-2025",'Oct 22 - Nov 21, 2025'!$K:$K),0)</f>
        <v>0.0</v>
      </c>
    </row>
    <row r="22">
      <c r="A22" t="inlineStr">
        <is>
          <t>LEASE-BH-F18-2025B</t>
        </is>
      </c>
      <c r="B22" t="inlineStr">
        <is>
          <t>Flat 18 - 3 West Gate</t>
        </is>
      </c>
      <c r="C22" t="inlineStr">
        <is>
          <t>Achal (Delegated for Udayan)</t>
        </is>
      </c>
      <c r="D22" t="inlineStr">
        <is>
          <t>Nirmali Gedara and Janith Hetti Arachchilage</t>
        </is>
      </c>
      <c r="E22" s="2" t="n">
        <v>45818.0</v>
      </c>
      <c r="F22" t="n">
        <v>10.0</v>
      </c>
      <c r="G22" s="3" t="n">
        <f>IFERROR(SUMIF('Dec 22 - Jan 21, 2025'!$A:$A,"LEASE-BH-F18-2025B",'Dec 22 - Jan 21, 2025'!$G:$G),0)+IFERROR(SUMIF('Jan 22 - Feb 21, 2025'!$A:$A,"LEASE-BH-F18-2025B",'Jan 22 - Feb 21, 2025'!$G:$G),0)+IFERROR(SUMIF('Feb 22 - Mar 21, 2025'!$A:$A,"LEASE-BH-F18-2025B",'Feb 22 - Mar 21, 2025'!$G:$G),0)+IFERROR(SUMIF('Mar 22 - Apr 21, 2025'!$A:$A,"LEASE-BH-F18-2025B",'Mar 22 - Apr 21, 2025'!$G:$G),0)+IFERROR(SUMIF('Apr 22 - May 21, 2025'!$A:$A,"LEASE-BH-F18-2025B",'Apr 22 - May 21, 2025'!$G:$G),0)+IFERROR(SUMIF('May 22 - Jun 21, 2025'!$A:$A,"LEASE-BH-F18-2025B",'May 22 - Jun 21, 2025'!$G:$G),0)+IFERROR(SUMIF('Jun 22 - Jul 21, 2025'!$A:$A,"LEASE-BH-F18-2025B",'Jun 22 - Jul 21, 2025'!$G:$G),0)+IFERROR(SUMIF('Jul 22 - Aug 21, 2025'!$A:$A,"LEASE-BH-F18-2025B",'Jul 22 - Aug 21, 2025'!$G:$G),0)+IFERROR(SUMIF('Aug 22 - Sep 21, 2025'!$A:$A,"LEASE-BH-F18-2025B",'Aug 22 - Sep 21, 2025'!$G:$G),0)+IFERROR(SUMIF('Sep 22 - Oct 21, 2025'!$A:$A,"LEASE-BH-F18-2025B",'Sep 22 - Oct 21, 2025'!$G:$G),0)+IFERROR(SUMIF('Oct 22 - Nov 21, 2025'!$A:$A,"LEASE-BH-F18-2025B",'Oct 22 - Nov 21, 2025'!$G:$G),0)</f>
        <v>0.0</v>
      </c>
      <c r="H22" s="3" t="n">
        <f>IFERROR(SUMIF('Dec 22 - Jan 21, 2025'!$A:$A,"LEASE-BH-F18-2025B",'Dec 22 - Jan 21, 2025'!$H:$H),0)+IFERROR(SUMIF('Jan 22 - Feb 21, 2025'!$A:$A,"LEASE-BH-F18-2025B",'Jan 22 - Feb 21, 2025'!$H:$H),0)+IFERROR(SUMIF('Feb 22 - Mar 21, 2025'!$A:$A,"LEASE-BH-F18-2025B",'Feb 22 - Mar 21, 2025'!$H:$H),0)+IFERROR(SUMIF('Mar 22 - Apr 21, 2025'!$A:$A,"LEASE-BH-F18-2025B",'Mar 22 - Apr 21, 2025'!$H:$H),0)+IFERROR(SUMIF('Apr 22 - May 21, 2025'!$A:$A,"LEASE-BH-F18-2025B",'Apr 22 - May 21, 2025'!$H:$H),0)+IFERROR(SUMIF('May 22 - Jun 21, 2025'!$A:$A,"LEASE-BH-F18-2025B",'May 22 - Jun 21, 2025'!$H:$H),0)+IFERROR(SUMIF('Jun 22 - Jul 21, 2025'!$A:$A,"LEASE-BH-F18-2025B",'Jun 22 - Jul 21, 2025'!$H:$H),0)+IFERROR(SUMIF('Jul 22 - Aug 21, 2025'!$A:$A,"LEASE-BH-F18-2025B",'Jul 22 - Aug 21, 2025'!$H:$H),0)+IFERROR(SUMIF('Aug 22 - Sep 21, 2025'!$A:$A,"LEASE-BH-F18-2025B",'Aug 22 - Sep 21, 2025'!$H:$H),0)+IFERROR(SUMIF('Sep 22 - Oct 21, 2025'!$A:$A,"LEASE-BH-F18-2025B",'Sep 22 - Oct 21, 2025'!$H:$H),0)+IFERROR(SUMIF('Oct 22 - Nov 21, 2025'!$A:$A,"LEASE-BH-F18-2025B",'Oct 22 - Nov 21, 2025'!$H:$H),0)</f>
        <v>0.0</v>
      </c>
      <c r="I22" s="3" t="n">
        <f>G22 - H22</f>
        <v>0.0</v>
      </c>
      <c r="J22" s="3" t="n">
        <f>IFERROR(SUMIF('Dec 22 - Jan 21, 2025'!$A:$A,"LEASE-BH-F18-2025B",'Dec 22 - Jan 21, 2025'!$L:$L),0)+IFERROR(SUMIF('Jan 22 - Feb 21, 2025'!$A:$A,"LEASE-BH-F18-2025B",'Jan 22 - Feb 21, 2025'!$L:$L),0)+IFERROR(SUMIF('Feb 22 - Mar 21, 2025'!$A:$A,"LEASE-BH-F18-2025B",'Feb 22 - Mar 21, 2025'!$L:$L),0)+IFERROR(SUMIF('Mar 22 - Apr 21, 2025'!$A:$A,"LEASE-BH-F18-2025B",'Mar 22 - Apr 21, 2025'!$L:$L),0)+IFERROR(SUMIF('Apr 22 - May 21, 2025'!$A:$A,"LEASE-BH-F18-2025B",'Apr 22 - May 21, 2025'!$L:$L),0)+IFERROR(SUMIF('May 22 - Jun 21, 2025'!$A:$A,"LEASE-BH-F18-2025B",'May 22 - Jun 21, 2025'!$L:$L),0)+IFERROR(SUMIF('Jun 22 - Jul 21, 2025'!$A:$A,"LEASE-BH-F18-2025B",'Jun 22 - Jul 21, 2025'!$L:$L),0)+IFERROR(SUMIF('Jul 22 - Aug 21, 2025'!$A:$A,"LEASE-BH-F18-2025B",'Jul 22 - Aug 21, 2025'!$L:$L),0)+IFERROR(SUMIF('Aug 22 - Sep 21, 2025'!$A:$A,"LEASE-BH-F18-2025B",'Aug 22 - Sep 21, 2025'!$L:$L),0)+IFERROR(SUMIF('Sep 22 - Oct 21, 2025'!$A:$A,"LEASE-BH-F18-2025B",'Sep 22 - Oct 21, 2025'!$L:$L),0)+IFERROR(SUMIF('Oct 22 - Nov 21, 2025'!$A:$A,"LEASE-BH-F18-2025B",'Oct 22 - Nov 21, 2025'!$L:$L),0)</f>
        <v>0.0</v>
      </c>
      <c r="K22" s="3" t="n">
        <f>IFERROR(SUMIF('Dec 22 - Jan 21, 2025'!$A:$A,"LEASE-BH-F18-2025B",'Dec 22 - Jan 21, 2025'!$M:$M),0)+IFERROR(SUMIF('Jan 22 - Feb 21, 2025'!$A:$A,"LEASE-BH-F18-2025B",'Jan 22 - Feb 21, 2025'!$M:$M),0)+IFERROR(SUMIF('Feb 22 - Mar 21, 2025'!$A:$A,"LEASE-BH-F18-2025B",'Feb 22 - Mar 21, 2025'!$M:$M),0)+IFERROR(SUMIF('Mar 22 - Apr 21, 2025'!$A:$A,"LEASE-BH-F18-2025B",'Mar 22 - Apr 21, 2025'!$M:$M),0)+IFERROR(SUMIF('Apr 22 - May 21, 2025'!$A:$A,"LEASE-BH-F18-2025B",'Apr 22 - May 21, 2025'!$M:$M),0)+IFERROR(SUMIF('May 22 - Jun 21, 2025'!$A:$A,"LEASE-BH-F18-2025B",'May 22 - Jun 21, 2025'!$M:$M),0)+IFERROR(SUMIF('Jun 22 - Jul 21, 2025'!$A:$A,"LEASE-BH-F18-2025B",'Jun 22 - Jul 21, 2025'!$M:$M),0)+IFERROR(SUMIF('Jul 22 - Aug 21, 2025'!$A:$A,"LEASE-BH-F18-2025B",'Jul 22 - Aug 21, 2025'!$M:$M),0)+IFERROR(SUMIF('Aug 22 - Sep 21, 2025'!$A:$A,"LEASE-BH-F18-2025B",'Aug 22 - Sep 21, 2025'!$M:$M),0)+IFERROR(SUMIF('Sep 22 - Oct 21, 2025'!$A:$A,"LEASE-BH-F18-2025B",'Sep 22 - Oct 21, 2025'!$M:$M),0)+IFERROR(SUMIF('Oct 22 - Nov 21, 2025'!$A:$A,"LEASE-BH-F18-2025B",'Oct 22 - Nov 21, 2025'!$M:$M),0)</f>
        <v>0.0</v>
      </c>
      <c r="L22" s="3" t="n">
        <f>IFERROR(SUMIF('Dec 22 - Jan 21, 2025'!$A:$A,"LEASE-BH-F18-2025B",'Dec 22 - Jan 21, 2025'!$N:$N),0)+IFERROR(SUMIF('Jan 22 - Feb 21, 2025'!$A:$A,"LEASE-BH-F18-2025B",'Jan 22 - Feb 21, 2025'!$N:$N),0)+IFERROR(SUMIF('Feb 22 - Mar 21, 2025'!$A:$A,"LEASE-BH-F18-2025B",'Feb 22 - Mar 21, 2025'!$N:$N),0)+IFERROR(SUMIF('Mar 22 - Apr 21, 2025'!$A:$A,"LEASE-BH-F18-2025B",'Mar 22 - Apr 21, 2025'!$N:$N),0)+IFERROR(SUMIF('Apr 22 - May 21, 2025'!$A:$A,"LEASE-BH-F18-2025B",'Apr 22 - May 21, 2025'!$N:$N),0)+IFERROR(SUMIF('May 22 - Jun 21, 2025'!$A:$A,"LEASE-BH-F18-2025B",'May 22 - Jun 21, 2025'!$N:$N),0)+IFERROR(SUMIF('Jun 22 - Jul 21, 2025'!$A:$A,"LEASE-BH-F18-2025B",'Jun 22 - Jul 21, 2025'!$N:$N),0)+IFERROR(SUMIF('Jul 22 - Aug 21, 2025'!$A:$A,"LEASE-BH-F18-2025B",'Jul 22 - Aug 21, 2025'!$N:$N),0)+IFERROR(SUMIF('Aug 22 - Sep 21, 2025'!$A:$A,"LEASE-BH-F18-2025B",'Aug 22 - Sep 21, 2025'!$N:$N),0)+IFERROR(SUMIF('Sep 22 - Oct 21, 2025'!$A:$A,"LEASE-BH-F18-2025B",'Sep 22 - Oct 21, 2025'!$N:$N),0)+IFERROR(SUMIF('Oct 22 - Nov 21, 2025'!$A:$A,"LEASE-BH-F18-2025B",'Oct 22 - Nov 21, 2025'!$N:$N),0)</f>
        <v>0.0</v>
      </c>
      <c r="M22" s="3" t="n">
        <f>IFERROR(SUMIF('Dec 22 - Jan 21, 2025'!$A:$A,"LEASE-BH-F18-2025B",'Dec 22 - Jan 21, 2025'!$O:$O),0)+IFERROR(SUMIF('Jan 22 - Feb 21, 2025'!$A:$A,"LEASE-BH-F18-2025B",'Jan 22 - Feb 21, 2025'!$O:$O),0)+IFERROR(SUMIF('Feb 22 - Mar 21, 2025'!$A:$A,"LEASE-BH-F18-2025B",'Feb 22 - Mar 21, 2025'!$O:$O),0)+IFERROR(SUMIF('Mar 22 - Apr 21, 2025'!$A:$A,"LEASE-BH-F18-2025B",'Mar 22 - Apr 21, 2025'!$O:$O),0)+IFERROR(SUMIF('Apr 22 - May 21, 2025'!$A:$A,"LEASE-BH-F18-2025B",'Apr 22 - May 21, 2025'!$O:$O),0)+IFERROR(SUMIF('May 22 - Jun 21, 2025'!$A:$A,"LEASE-BH-F18-2025B",'May 22 - Jun 21, 2025'!$O:$O),0)+IFERROR(SUMIF('Jun 22 - Jul 21, 2025'!$A:$A,"LEASE-BH-F18-2025B",'Jun 22 - Jul 21, 2025'!$O:$O),0)+IFERROR(SUMIF('Jul 22 - Aug 21, 2025'!$A:$A,"LEASE-BH-F18-2025B",'Jul 22 - Aug 21, 2025'!$O:$O),0)+IFERROR(SUMIF('Aug 22 - Sep 21, 2025'!$A:$A,"LEASE-BH-F18-2025B",'Aug 22 - Sep 21, 2025'!$O:$O),0)+IFERROR(SUMIF('Sep 22 - Oct 21, 2025'!$A:$A,"LEASE-BH-F18-2025B",'Sep 22 - Oct 21, 2025'!$O:$O),0)+IFERROR(SUMIF('Oct 22 - Nov 21, 2025'!$A:$A,"LEASE-BH-F18-2025B",'Oct 22 - Nov 21, 2025'!$O:$O),0)</f>
        <v>0.0</v>
      </c>
      <c r="N22" s="3" t="n">
        <f>IFERROR(SUMIF('Dec 22 - Jan 21, 2025'!$A:$A,"LEASE-BH-F18-2025B",'Dec 22 - Jan 21, 2025'!$P:$P),0)+IFERROR(SUMIF('Jan 22 - Feb 21, 2025'!$A:$A,"LEASE-BH-F18-2025B",'Jan 22 - Feb 21, 2025'!$P:$P),0)+IFERROR(SUMIF('Feb 22 - Mar 21, 2025'!$A:$A,"LEASE-BH-F18-2025B",'Feb 22 - Mar 21, 2025'!$P:$P),0)+IFERROR(SUMIF('Mar 22 - Apr 21, 2025'!$A:$A,"LEASE-BH-F18-2025B",'Mar 22 - Apr 21, 2025'!$P:$P),0)+IFERROR(SUMIF('Apr 22 - May 21, 2025'!$A:$A,"LEASE-BH-F18-2025B",'Apr 22 - May 21, 2025'!$P:$P),0)+IFERROR(SUMIF('May 22 - Jun 21, 2025'!$A:$A,"LEASE-BH-F18-2025B",'May 22 - Jun 21, 2025'!$P:$P),0)+IFERROR(SUMIF('Jun 22 - Jul 21, 2025'!$A:$A,"LEASE-BH-F18-2025B",'Jun 22 - Jul 21, 2025'!$P:$P),0)+IFERROR(SUMIF('Jul 22 - Aug 21, 2025'!$A:$A,"LEASE-BH-F18-2025B",'Jul 22 - Aug 21, 2025'!$P:$P),0)+IFERROR(SUMIF('Aug 22 - Sep 21, 2025'!$A:$A,"LEASE-BH-F18-2025B",'Aug 22 - Sep 21, 2025'!$P:$P),0)+IFERROR(SUMIF('Sep 22 - Oct 21, 2025'!$A:$A,"LEASE-BH-F18-2025B",'Sep 22 - Oct 21, 2025'!$P:$P),0)+IFERROR(SUMIF('Oct 22 - Nov 21, 2025'!$A:$A,"LEASE-BH-F18-2025B",'Oct 22 - Nov 21, 2025'!$P:$P),0)</f>
        <v>0.0</v>
      </c>
      <c r="O22" s="3" t="n">
        <f>IFERROR(SUMIF('Dec 22 - Jan 21, 2025'!$A:$A,"LEASE-BH-F18-2025B",'Dec 22 - Jan 21, 2025'!$I:$I),0)</f>
        <v>0.0</v>
      </c>
      <c r="P22" s="3" t="n">
        <f>IFERROR(SUMIF('Oct 22 - Nov 21, 2025'!$A:$A,"LEASE-BH-F18-2025B",'Oct 22 - Nov 21, 2025'!$K:$K),0)</f>
        <v>0.0</v>
      </c>
    </row>
    <row r="23">
      <c r="A23" t="inlineStr">
        <is>
          <t>LEASE-BH-F19-2025</t>
        </is>
      </c>
      <c r="B23" t="inlineStr">
        <is>
          <t>Flat 19 - 3 West Gate</t>
        </is>
      </c>
      <c r="C23" t="inlineStr">
        <is>
          <t>Achal (Delegated for Udayan)</t>
        </is>
      </c>
      <c r="D23" t="inlineStr">
        <is>
          <t>Mr Joshua Banks, Miss Layla Middlemass</t>
        </is>
      </c>
      <c r="E23" s="2" t="n">
        <v>45730.0</v>
      </c>
      <c r="F23" t="n">
        <v>14.0</v>
      </c>
      <c r="G23" s="3" t="n">
        <f>IFERROR(SUMIF('Dec 22 - Jan 21, 2025'!$A:$A,"LEASE-BH-F19-2025",'Dec 22 - Jan 21, 2025'!$G:$G),0)+IFERROR(SUMIF('Jan 22 - Feb 21, 2025'!$A:$A,"LEASE-BH-F19-2025",'Jan 22 - Feb 21, 2025'!$G:$G),0)+IFERROR(SUMIF('Feb 22 - Mar 21, 2025'!$A:$A,"LEASE-BH-F19-2025",'Feb 22 - Mar 21, 2025'!$G:$G),0)+IFERROR(SUMIF('Mar 22 - Apr 21, 2025'!$A:$A,"LEASE-BH-F19-2025",'Mar 22 - Apr 21, 2025'!$G:$G),0)+IFERROR(SUMIF('Apr 22 - May 21, 2025'!$A:$A,"LEASE-BH-F19-2025",'Apr 22 - May 21, 2025'!$G:$G),0)+IFERROR(SUMIF('May 22 - Jun 21, 2025'!$A:$A,"LEASE-BH-F19-2025",'May 22 - Jun 21, 2025'!$G:$G),0)+IFERROR(SUMIF('Jun 22 - Jul 21, 2025'!$A:$A,"LEASE-BH-F19-2025",'Jun 22 - Jul 21, 2025'!$G:$G),0)+IFERROR(SUMIF('Jul 22 - Aug 21, 2025'!$A:$A,"LEASE-BH-F19-2025",'Jul 22 - Aug 21, 2025'!$G:$G),0)+IFERROR(SUMIF('Aug 22 - Sep 21, 2025'!$A:$A,"LEASE-BH-F19-2025",'Aug 22 - Sep 21, 2025'!$G:$G),0)+IFERROR(SUMIF('Sep 22 - Oct 21, 2025'!$A:$A,"LEASE-BH-F19-2025",'Sep 22 - Oct 21, 2025'!$G:$G),0)+IFERROR(SUMIF('Oct 22 - Nov 21, 2025'!$A:$A,"LEASE-BH-F19-2025",'Oct 22 - Nov 21, 2025'!$G:$G),0)</f>
        <v>0.0</v>
      </c>
      <c r="H23" s="3" t="n">
        <f>IFERROR(SUMIF('Dec 22 - Jan 21, 2025'!$A:$A,"LEASE-BH-F19-2025",'Dec 22 - Jan 21, 2025'!$H:$H),0)+IFERROR(SUMIF('Jan 22 - Feb 21, 2025'!$A:$A,"LEASE-BH-F19-2025",'Jan 22 - Feb 21, 2025'!$H:$H),0)+IFERROR(SUMIF('Feb 22 - Mar 21, 2025'!$A:$A,"LEASE-BH-F19-2025",'Feb 22 - Mar 21, 2025'!$H:$H),0)+IFERROR(SUMIF('Mar 22 - Apr 21, 2025'!$A:$A,"LEASE-BH-F19-2025",'Mar 22 - Apr 21, 2025'!$H:$H),0)+IFERROR(SUMIF('Apr 22 - May 21, 2025'!$A:$A,"LEASE-BH-F19-2025",'Apr 22 - May 21, 2025'!$H:$H),0)+IFERROR(SUMIF('May 22 - Jun 21, 2025'!$A:$A,"LEASE-BH-F19-2025",'May 22 - Jun 21, 2025'!$H:$H),0)+IFERROR(SUMIF('Jun 22 - Jul 21, 2025'!$A:$A,"LEASE-BH-F19-2025",'Jun 22 - Jul 21, 2025'!$H:$H),0)+IFERROR(SUMIF('Jul 22 - Aug 21, 2025'!$A:$A,"LEASE-BH-F19-2025",'Jul 22 - Aug 21, 2025'!$H:$H),0)+IFERROR(SUMIF('Aug 22 - Sep 21, 2025'!$A:$A,"LEASE-BH-F19-2025",'Aug 22 - Sep 21, 2025'!$H:$H),0)+IFERROR(SUMIF('Sep 22 - Oct 21, 2025'!$A:$A,"LEASE-BH-F19-2025",'Sep 22 - Oct 21, 2025'!$H:$H),0)+IFERROR(SUMIF('Oct 22 - Nov 21, 2025'!$A:$A,"LEASE-BH-F19-2025",'Oct 22 - Nov 21, 2025'!$H:$H),0)</f>
        <v>0.0</v>
      </c>
      <c r="I23" s="3" t="n">
        <f>G23 - H23</f>
        <v>0.0</v>
      </c>
      <c r="J23" s="3" t="n">
        <f>IFERROR(SUMIF('Dec 22 - Jan 21, 2025'!$A:$A,"LEASE-BH-F19-2025",'Dec 22 - Jan 21, 2025'!$L:$L),0)+IFERROR(SUMIF('Jan 22 - Feb 21, 2025'!$A:$A,"LEASE-BH-F19-2025",'Jan 22 - Feb 21, 2025'!$L:$L),0)+IFERROR(SUMIF('Feb 22 - Mar 21, 2025'!$A:$A,"LEASE-BH-F19-2025",'Feb 22 - Mar 21, 2025'!$L:$L),0)+IFERROR(SUMIF('Mar 22 - Apr 21, 2025'!$A:$A,"LEASE-BH-F19-2025",'Mar 22 - Apr 21, 2025'!$L:$L),0)+IFERROR(SUMIF('Apr 22 - May 21, 2025'!$A:$A,"LEASE-BH-F19-2025",'Apr 22 - May 21, 2025'!$L:$L),0)+IFERROR(SUMIF('May 22 - Jun 21, 2025'!$A:$A,"LEASE-BH-F19-2025",'May 22 - Jun 21, 2025'!$L:$L),0)+IFERROR(SUMIF('Jun 22 - Jul 21, 2025'!$A:$A,"LEASE-BH-F19-2025",'Jun 22 - Jul 21, 2025'!$L:$L),0)+IFERROR(SUMIF('Jul 22 - Aug 21, 2025'!$A:$A,"LEASE-BH-F19-2025",'Jul 22 - Aug 21, 2025'!$L:$L),0)+IFERROR(SUMIF('Aug 22 - Sep 21, 2025'!$A:$A,"LEASE-BH-F19-2025",'Aug 22 - Sep 21, 2025'!$L:$L),0)+IFERROR(SUMIF('Sep 22 - Oct 21, 2025'!$A:$A,"LEASE-BH-F19-2025",'Sep 22 - Oct 21, 2025'!$L:$L),0)+IFERROR(SUMIF('Oct 22 - Nov 21, 2025'!$A:$A,"LEASE-BH-F19-2025",'Oct 22 - Nov 21, 2025'!$L:$L),0)</f>
        <v>0.0</v>
      </c>
      <c r="K23" s="3" t="n">
        <f>IFERROR(SUMIF('Dec 22 - Jan 21, 2025'!$A:$A,"LEASE-BH-F19-2025",'Dec 22 - Jan 21, 2025'!$M:$M),0)+IFERROR(SUMIF('Jan 22 - Feb 21, 2025'!$A:$A,"LEASE-BH-F19-2025",'Jan 22 - Feb 21, 2025'!$M:$M),0)+IFERROR(SUMIF('Feb 22 - Mar 21, 2025'!$A:$A,"LEASE-BH-F19-2025",'Feb 22 - Mar 21, 2025'!$M:$M),0)+IFERROR(SUMIF('Mar 22 - Apr 21, 2025'!$A:$A,"LEASE-BH-F19-2025",'Mar 22 - Apr 21, 2025'!$M:$M),0)+IFERROR(SUMIF('Apr 22 - May 21, 2025'!$A:$A,"LEASE-BH-F19-2025",'Apr 22 - May 21, 2025'!$M:$M),0)+IFERROR(SUMIF('May 22 - Jun 21, 2025'!$A:$A,"LEASE-BH-F19-2025",'May 22 - Jun 21, 2025'!$M:$M),0)+IFERROR(SUMIF('Jun 22 - Jul 21, 2025'!$A:$A,"LEASE-BH-F19-2025",'Jun 22 - Jul 21, 2025'!$M:$M),0)+IFERROR(SUMIF('Jul 22 - Aug 21, 2025'!$A:$A,"LEASE-BH-F19-2025",'Jul 22 - Aug 21, 2025'!$M:$M),0)+IFERROR(SUMIF('Aug 22 - Sep 21, 2025'!$A:$A,"LEASE-BH-F19-2025",'Aug 22 - Sep 21, 2025'!$M:$M),0)+IFERROR(SUMIF('Sep 22 - Oct 21, 2025'!$A:$A,"LEASE-BH-F19-2025",'Sep 22 - Oct 21, 2025'!$M:$M),0)+IFERROR(SUMIF('Oct 22 - Nov 21, 2025'!$A:$A,"LEASE-BH-F19-2025",'Oct 22 - Nov 21, 2025'!$M:$M),0)</f>
        <v>0.0</v>
      </c>
      <c r="L23" s="3" t="n">
        <f>IFERROR(SUMIF('Dec 22 - Jan 21, 2025'!$A:$A,"LEASE-BH-F19-2025",'Dec 22 - Jan 21, 2025'!$N:$N),0)+IFERROR(SUMIF('Jan 22 - Feb 21, 2025'!$A:$A,"LEASE-BH-F19-2025",'Jan 22 - Feb 21, 2025'!$N:$N),0)+IFERROR(SUMIF('Feb 22 - Mar 21, 2025'!$A:$A,"LEASE-BH-F19-2025",'Feb 22 - Mar 21, 2025'!$N:$N),0)+IFERROR(SUMIF('Mar 22 - Apr 21, 2025'!$A:$A,"LEASE-BH-F19-2025",'Mar 22 - Apr 21, 2025'!$N:$N),0)+IFERROR(SUMIF('Apr 22 - May 21, 2025'!$A:$A,"LEASE-BH-F19-2025",'Apr 22 - May 21, 2025'!$N:$N),0)+IFERROR(SUMIF('May 22 - Jun 21, 2025'!$A:$A,"LEASE-BH-F19-2025",'May 22 - Jun 21, 2025'!$N:$N),0)+IFERROR(SUMIF('Jun 22 - Jul 21, 2025'!$A:$A,"LEASE-BH-F19-2025",'Jun 22 - Jul 21, 2025'!$N:$N),0)+IFERROR(SUMIF('Jul 22 - Aug 21, 2025'!$A:$A,"LEASE-BH-F19-2025",'Jul 22 - Aug 21, 2025'!$N:$N),0)+IFERROR(SUMIF('Aug 22 - Sep 21, 2025'!$A:$A,"LEASE-BH-F19-2025",'Aug 22 - Sep 21, 2025'!$N:$N),0)+IFERROR(SUMIF('Sep 22 - Oct 21, 2025'!$A:$A,"LEASE-BH-F19-2025",'Sep 22 - Oct 21, 2025'!$N:$N),0)+IFERROR(SUMIF('Oct 22 - Nov 21, 2025'!$A:$A,"LEASE-BH-F19-2025",'Oct 22 - Nov 21, 2025'!$N:$N),0)</f>
        <v>0.0</v>
      </c>
      <c r="M23" s="3" t="n">
        <f>IFERROR(SUMIF('Dec 22 - Jan 21, 2025'!$A:$A,"LEASE-BH-F19-2025",'Dec 22 - Jan 21, 2025'!$O:$O),0)+IFERROR(SUMIF('Jan 22 - Feb 21, 2025'!$A:$A,"LEASE-BH-F19-2025",'Jan 22 - Feb 21, 2025'!$O:$O),0)+IFERROR(SUMIF('Feb 22 - Mar 21, 2025'!$A:$A,"LEASE-BH-F19-2025",'Feb 22 - Mar 21, 2025'!$O:$O),0)+IFERROR(SUMIF('Mar 22 - Apr 21, 2025'!$A:$A,"LEASE-BH-F19-2025",'Mar 22 - Apr 21, 2025'!$O:$O),0)+IFERROR(SUMIF('Apr 22 - May 21, 2025'!$A:$A,"LEASE-BH-F19-2025",'Apr 22 - May 21, 2025'!$O:$O),0)+IFERROR(SUMIF('May 22 - Jun 21, 2025'!$A:$A,"LEASE-BH-F19-2025",'May 22 - Jun 21, 2025'!$O:$O),0)+IFERROR(SUMIF('Jun 22 - Jul 21, 2025'!$A:$A,"LEASE-BH-F19-2025",'Jun 22 - Jul 21, 2025'!$O:$O),0)+IFERROR(SUMIF('Jul 22 - Aug 21, 2025'!$A:$A,"LEASE-BH-F19-2025",'Jul 22 - Aug 21, 2025'!$O:$O),0)+IFERROR(SUMIF('Aug 22 - Sep 21, 2025'!$A:$A,"LEASE-BH-F19-2025",'Aug 22 - Sep 21, 2025'!$O:$O),0)+IFERROR(SUMIF('Sep 22 - Oct 21, 2025'!$A:$A,"LEASE-BH-F19-2025",'Sep 22 - Oct 21, 2025'!$O:$O),0)+IFERROR(SUMIF('Oct 22 - Nov 21, 2025'!$A:$A,"LEASE-BH-F19-2025",'Oct 22 - Nov 21, 2025'!$O:$O),0)</f>
        <v>0.0</v>
      </c>
      <c r="N23" s="3" t="n">
        <f>IFERROR(SUMIF('Dec 22 - Jan 21, 2025'!$A:$A,"LEASE-BH-F19-2025",'Dec 22 - Jan 21, 2025'!$P:$P),0)+IFERROR(SUMIF('Jan 22 - Feb 21, 2025'!$A:$A,"LEASE-BH-F19-2025",'Jan 22 - Feb 21, 2025'!$P:$P),0)+IFERROR(SUMIF('Feb 22 - Mar 21, 2025'!$A:$A,"LEASE-BH-F19-2025",'Feb 22 - Mar 21, 2025'!$P:$P),0)+IFERROR(SUMIF('Mar 22 - Apr 21, 2025'!$A:$A,"LEASE-BH-F19-2025",'Mar 22 - Apr 21, 2025'!$P:$P),0)+IFERROR(SUMIF('Apr 22 - May 21, 2025'!$A:$A,"LEASE-BH-F19-2025",'Apr 22 - May 21, 2025'!$P:$P),0)+IFERROR(SUMIF('May 22 - Jun 21, 2025'!$A:$A,"LEASE-BH-F19-2025",'May 22 - Jun 21, 2025'!$P:$P),0)+IFERROR(SUMIF('Jun 22 - Jul 21, 2025'!$A:$A,"LEASE-BH-F19-2025",'Jun 22 - Jul 21, 2025'!$P:$P),0)+IFERROR(SUMIF('Jul 22 - Aug 21, 2025'!$A:$A,"LEASE-BH-F19-2025",'Jul 22 - Aug 21, 2025'!$P:$P),0)+IFERROR(SUMIF('Aug 22 - Sep 21, 2025'!$A:$A,"LEASE-BH-F19-2025",'Aug 22 - Sep 21, 2025'!$P:$P),0)+IFERROR(SUMIF('Sep 22 - Oct 21, 2025'!$A:$A,"LEASE-BH-F19-2025",'Sep 22 - Oct 21, 2025'!$P:$P),0)+IFERROR(SUMIF('Oct 22 - Nov 21, 2025'!$A:$A,"LEASE-BH-F19-2025",'Oct 22 - Nov 21, 2025'!$P:$P),0)</f>
        <v>0.0</v>
      </c>
      <c r="O23" s="3" t="n">
        <f>IFERROR(SUMIF('Dec 22 - Jan 21, 2025'!$A:$A,"LEASE-BH-F19-2025",'Dec 22 - Jan 21, 2025'!$I:$I),0)</f>
        <v>0.0</v>
      </c>
      <c r="P23" s="3" t="n">
        <f>IFERROR(SUMIF('Oct 22 - Nov 21, 2025'!$A:$A,"LEASE-BH-F19-2025",'Oct 22 - Nov 21, 2025'!$K:$K),0)</f>
        <v>0.0</v>
      </c>
    </row>
    <row r="24">
      <c r="A24" t="inlineStr">
        <is>
          <t>LEASE-BH-F19-2025B</t>
        </is>
      </c>
      <c r="B24" t="inlineStr">
        <is>
          <t>Flat 19 - 3 West Gate</t>
        </is>
      </c>
      <c r="C24" t="inlineStr">
        <is>
          <t>Achal (Delegated for Udayan)</t>
        </is>
      </c>
      <c r="D24" t="inlineStr">
        <is>
          <t>Charanya Kaliamoorthy</t>
        </is>
      </c>
      <c r="E24" s="2" t="n">
        <v>45901.0</v>
      </c>
      <c r="F24" t="n">
        <v>1.0</v>
      </c>
      <c r="G24" s="3" t="n">
        <f>IFERROR(SUMIF('Dec 22 - Jan 21, 2025'!$A:$A,"LEASE-BH-F19-2025B",'Dec 22 - Jan 21, 2025'!$G:$G),0)+IFERROR(SUMIF('Jan 22 - Feb 21, 2025'!$A:$A,"LEASE-BH-F19-2025B",'Jan 22 - Feb 21, 2025'!$G:$G),0)+IFERROR(SUMIF('Feb 22 - Mar 21, 2025'!$A:$A,"LEASE-BH-F19-2025B",'Feb 22 - Mar 21, 2025'!$G:$G),0)+IFERROR(SUMIF('Mar 22 - Apr 21, 2025'!$A:$A,"LEASE-BH-F19-2025B",'Mar 22 - Apr 21, 2025'!$G:$G),0)+IFERROR(SUMIF('Apr 22 - May 21, 2025'!$A:$A,"LEASE-BH-F19-2025B",'Apr 22 - May 21, 2025'!$G:$G),0)+IFERROR(SUMIF('May 22 - Jun 21, 2025'!$A:$A,"LEASE-BH-F19-2025B",'May 22 - Jun 21, 2025'!$G:$G),0)+IFERROR(SUMIF('Jun 22 - Jul 21, 2025'!$A:$A,"LEASE-BH-F19-2025B",'Jun 22 - Jul 21, 2025'!$G:$G),0)+IFERROR(SUMIF('Jul 22 - Aug 21, 2025'!$A:$A,"LEASE-BH-F19-2025B",'Jul 22 - Aug 21, 2025'!$G:$G),0)+IFERROR(SUMIF('Aug 22 - Sep 21, 2025'!$A:$A,"LEASE-BH-F19-2025B",'Aug 22 - Sep 21, 2025'!$G:$G),0)+IFERROR(SUMIF('Sep 22 - Oct 21, 2025'!$A:$A,"LEASE-BH-F19-2025B",'Sep 22 - Oct 21, 2025'!$G:$G),0)+IFERROR(SUMIF('Oct 22 - Nov 21, 2025'!$A:$A,"LEASE-BH-F19-2025B",'Oct 22 - Nov 21, 2025'!$G:$G),0)</f>
        <v>0.0</v>
      </c>
      <c r="H24" s="3" t="n">
        <f>IFERROR(SUMIF('Dec 22 - Jan 21, 2025'!$A:$A,"LEASE-BH-F19-2025B",'Dec 22 - Jan 21, 2025'!$H:$H),0)+IFERROR(SUMIF('Jan 22 - Feb 21, 2025'!$A:$A,"LEASE-BH-F19-2025B",'Jan 22 - Feb 21, 2025'!$H:$H),0)+IFERROR(SUMIF('Feb 22 - Mar 21, 2025'!$A:$A,"LEASE-BH-F19-2025B",'Feb 22 - Mar 21, 2025'!$H:$H),0)+IFERROR(SUMIF('Mar 22 - Apr 21, 2025'!$A:$A,"LEASE-BH-F19-2025B",'Mar 22 - Apr 21, 2025'!$H:$H),0)+IFERROR(SUMIF('Apr 22 - May 21, 2025'!$A:$A,"LEASE-BH-F19-2025B",'Apr 22 - May 21, 2025'!$H:$H),0)+IFERROR(SUMIF('May 22 - Jun 21, 2025'!$A:$A,"LEASE-BH-F19-2025B",'May 22 - Jun 21, 2025'!$H:$H),0)+IFERROR(SUMIF('Jun 22 - Jul 21, 2025'!$A:$A,"LEASE-BH-F19-2025B",'Jun 22 - Jul 21, 2025'!$H:$H),0)+IFERROR(SUMIF('Jul 22 - Aug 21, 2025'!$A:$A,"LEASE-BH-F19-2025B",'Jul 22 - Aug 21, 2025'!$H:$H),0)+IFERROR(SUMIF('Aug 22 - Sep 21, 2025'!$A:$A,"LEASE-BH-F19-2025B",'Aug 22 - Sep 21, 2025'!$H:$H),0)+IFERROR(SUMIF('Sep 22 - Oct 21, 2025'!$A:$A,"LEASE-BH-F19-2025B",'Sep 22 - Oct 21, 2025'!$H:$H),0)+IFERROR(SUMIF('Oct 22 - Nov 21, 2025'!$A:$A,"LEASE-BH-F19-2025B",'Oct 22 - Nov 21, 2025'!$H:$H),0)</f>
        <v>0.0</v>
      </c>
      <c r="I24" s="3" t="n">
        <f>G24 - H24</f>
        <v>0.0</v>
      </c>
      <c r="J24" s="3" t="n">
        <f>IFERROR(SUMIF('Dec 22 - Jan 21, 2025'!$A:$A,"LEASE-BH-F19-2025B",'Dec 22 - Jan 21, 2025'!$L:$L),0)+IFERROR(SUMIF('Jan 22 - Feb 21, 2025'!$A:$A,"LEASE-BH-F19-2025B",'Jan 22 - Feb 21, 2025'!$L:$L),0)+IFERROR(SUMIF('Feb 22 - Mar 21, 2025'!$A:$A,"LEASE-BH-F19-2025B",'Feb 22 - Mar 21, 2025'!$L:$L),0)+IFERROR(SUMIF('Mar 22 - Apr 21, 2025'!$A:$A,"LEASE-BH-F19-2025B",'Mar 22 - Apr 21, 2025'!$L:$L),0)+IFERROR(SUMIF('Apr 22 - May 21, 2025'!$A:$A,"LEASE-BH-F19-2025B",'Apr 22 - May 21, 2025'!$L:$L),0)+IFERROR(SUMIF('May 22 - Jun 21, 2025'!$A:$A,"LEASE-BH-F19-2025B",'May 22 - Jun 21, 2025'!$L:$L),0)+IFERROR(SUMIF('Jun 22 - Jul 21, 2025'!$A:$A,"LEASE-BH-F19-2025B",'Jun 22 - Jul 21, 2025'!$L:$L),0)+IFERROR(SUMIF('Jul 22 - Aug 21, 2025'!$A:$A,"LEASE-BH-F19-2025B",'Jul 22 - Aug 21, 2025'!$L:$L),0)+IFERROR(SUMIF('Aug 22 - Sep 21, 2025'!$A:$A,"LEASE-BH-F19-2025B",'Aug 22 - Sep 21, 2025'!$L:$L),0)+IFERROR(SUMIF('Sep 22 - Oct 21, 2025'!$A:$A,"LEASE-BH-F19-2025B",'Sep 22 - Oct 21, 2025'!$L:$L),0)+IFERROR(SUMIF('Oct 22 - Nov 21, 2025'!$A:$A,"LEASE-BH-F19-2025B",'Oct 22 - Nov 21, 2025'!$L:$L),0)</f>
        <v>0.0</v>
      </c>
      <c r="K24" s="3" t="n">
        <f>IFERROR(SUMIF('Dec 22 - Jan 21, 2025'!$A:$A,"LEASE-BH-F19-2025B",'Dec 22 - Jan 21, 2025'!$M:$M),0)+IFERROR(SUMIF('Jan 22 - Feb 21, 2025'!$A:$A,"LEASE-BH-F19-2025B",'Jan 22 - Feb 21, 2025'!$M:$M),0)+IFERROR(SUMIF('Feb 22 - Mar 21, 2025'!$A:$A,"LEASE-BH-F19-2025B",'Feb 22 - Mar 21, 2025'!$M:$M),0)+IFERROR(SUMIF('Mar 22 - Apr 21, 2025'!$A:$A,"LEASE-BH-F19-2025B",'Mar 22 - Apr 21, 2025'!$M:$M),0)+IFERROR(SUMIF('Apr 22 - May 21, 2025'!$A:$A,"LEASE-BH-F19-2025B",'Apr 22 - May 21, 2025'!$M:$M),0)+IFERROR(SUMIF('May 22 - Jun 21, 2025'!$A:$A,"LEASE-BH-F19-2025B",'May 22 - Jun 21, 2025'!$M:$M),0)+IFERROR(SUMIF('Jun 22 - Jul 21, 2025'!$A:$A,"LEASE-BH-F19-2025B",'Jun 22 - Jul 21, 2025'!$M:$M),0)+IFERROR(SUMIF('Jul 22 - Aug 21, 2025'!$A:$A,"LEASE-BH-F19-2025B",'Jul 22 - Aug 21, 2025'!$M:$M),0)+IFERROR(SUMIF('Aug 22 - Sep 21, 2025'!$A:$A,"LEASE-BH-F19-2025B",'Aug 22 - Sep 21, 2025'!$M:$M),0)+IFERROR(SUMIF('Sep 22 - Oct 21, 2025'!$A:$A,"LEASE-BH-F19-2025B",'Sep 22 - Oct 21, 2025'!$M:$M),0)+IFERROR(SUMIF('Oct 22 - Nov 21, 2025'!$A:$A,"LEASE-BH-F19-2025B",'Oct 22 - Nov 21, 2025'!$M:$M),0)</f>
        <v>0.0</v>
      </c>
      <c r="L24" s="3" t="n">
        <f>IFERROR(SUMIF('Dec 22 - Jan 21, 2025'!$A:$A,"LEASE-BH-F19-2025B",'Dec 22 - Jan 21, 2025'!$N:$N),0)+IFERROR(SUMIF('Jan 22 - Feb 21, 2025'!$A:$A,"LEASE-BH-F19-2025B",'Jan 22 - Feb 21, 2025'!$N:$N),0)+IFERROR(SUMIF('Feb 22 - Mar 21, 2025'!$A:$A,"LEASE-BH-F19-2025B",'Feb 22 - Mar 21, 2025'!$N:$N),0)+IFERROR(SUMIF('Mar 22 - Apr 21, 2025'!$A:$A,"LEASE-BH-F19-2025B",'Mar 22 - Apr 21, 2025'!$N:$N),0)+IFERROR(SUMIF('Apr 22 - May 21, 2025'!$A:$A,"LEASE-BH-F19-2025B",'Apr 22 - May 21, 2025'!$N:$N),0)+IFERROR(SUMIF('May 22 - Jun 21, 2025'!$A:$A,"LEASE-BH-F19-2025B",'May 22 - Jun 21, 2025'!$N:$N),0)+IFERROR(SUMIF('Jun 22 - Jul 21, 2025'!$A:$A,"LEASE-BH-F19-2025B",'Jun 22 - Jul 21, 2025'!$N:$N),0)+IFERROR(SUMIF('Jul 22 - Aug 21, 2025'!$A:$A,"LEASE-BH-F19-2025B",'Jul 22 - Aug 21, 2025'!$N:$N),0)+IFERROR(SUMIF('Aug 22 - Sep 21, 2025'!$A:$A,"LEASE-BH-F19-2025B",'Aug 22 - Sep 21, 2025'!$N:$N),0)+IFERROR(SUMIF('Sep 22 - Oct 21, 2025'!$A:$A,"LEASE-BH-F19-2025B",'Sep 22 - Oct 21, 2025'!$N:$N),0)+IFERROR(SUMIF('Oct 22 - Nov 21, 2025'!$A:$A,"LEASE-BH-F19-2025B",'Oct 22 - Nov 21, 2025'!$N:$N),0)</f>
        <v>0.0</v>
      </c>
      <c r="M24" s="3" t="n">
        <f>IFERROR(SUMIF('Dec 22 - Jan 21, 2025'!$A:$A,"LEASE-BH-F19-2025B",'Dec 22 - Jan 21, 2025'!$O:$O),0)+IFERROR(SUMIF('Jan 22 - Feb 21, 2025'!$A:$A,"LEASE-BH-F19-2025B",'Jan 22 - Feb 21, 2025'!$O:$O),0)+IFERROR(SUMIF('Feb 22 - Mar 21, 2025'!$A:$A,"LEASE-BH-F19-2025B",'Feb 22 - Mar 21, 2025'!$O:$O),0)+IFERROR(SUMIF('Mar 22 - Apr 21, 2025'!$A:$A,"LEASE-BH-F19-2025B",'Mar 22 - Apr 21, 2025'!$O:$O),0)+IFERROR(SUMIF('Apr 22 - May 21, 2025'!$A:$A,"LEASE-BH-F19-2025B",'Apr 22 - May 21, 2025'!$O:$O),0)+IFERROR(SUMIF('May 22 - Jun 21, 2025'!$A:$A,"LEASE-BH-F19-2025B",'May 22 - Jun 21, 2025'!$O:$O),0)+IFERROR(SUMIF('Jun 22 - Jul 21, 2025'!$A:$A,"LEASE-BH-F19-2025B",'Jun 22 - Jul 21, 2025'!$O:$O),0)+IFERROR(SUMIF('Jul 22 - Aug 21, 2025'!$A:$A,"LEASE-BH-F19-2025B",'Jul 22 - Aug 21, 2025'!$O:$O),0)+IFERROR(SUMIF('Aug 22 - Sep 21, 2025'!$A:$A,"LEASE-BH-F19-2025B",'Aug 22 - Sep 21, 2025'!$O:$O),0)+IFERROR(SUMIF('Sep 22 - Oct 21, 2025'!$A:$A,"LEASE-BH-F19-2025B",'Sep 22 - Oct 21, 2025'!$O:$O),0)+IFERROR(SUMIF('Oct 22 - Nov 21, 2025'!$A:$A,"LEASE-BH-F19-2025B",'Oct 22 - Nov 21, 2025'!$O:$O),0)</f>
        <v>0.0</v>
      </c>
      <c r="N24" s="3" t="n">
        <f>IFERROR(SUMIF('Dec 22 - Jan 21, 2025'!$A:$A,"LEASE-BH-F19-2025B",'Dec 22 - Jan 21, 2025'!$P:$P),0)+IFERROR(SUMIF('Jan 22 - Feb 21, 2025'!$A:$A,"LEASE-BH-F19-2025B",'Jan 22 - Feb 21, 2025'!$P:$P),0)+IFERROR(SUMIF('Feb 22 - Mar 21, 2025'!$A:$A,"LEASE-BH-F19-2025B",'Feb 22 - Mar 21, 2025'!$P:$P),0)+IFERROR(SUMIF('Mar 22 - Apr 21, 2025'!$A:$A,"LEASE-BH-F19-2025B",'Mar 22 - Apr 21, 2025'!$P:$P),0)+IFERROR(SUMIF('Apr 22 - May 21, 2025'!$A:$A,"LEASE-BH-F19-2025B",'Apr 22 - May 21, 2025'!$P:$P),0)+IFERROR(SUMIF('May 22 - Jun 21, 2025'!$A:$A,"LEASE-BH-F19-2025B",'May 22 - Jun 21, 2025'!$P:$P),0)+IFERROR(SUMIF('Jun 22 - Jul 21, 2025'!$A:$A,"LEASE-BH-F19-2025B",'Jun 22 - Jul 21, 2025'!$P:$P),0)+IFERROR(SUMIF('Jul 22 - Aug 21, 2025'!$A:$A,"LEASE-BH-F19-2025B",'Jul 22 - Aug 21, 2025'!$P:$P),0)+IFERROR(SUMIF('Aug 22 - Sep 21, 2025'!$A:$A,"LEASE-BH-F19-2025B",'Aug 22 - Sep 21, 2025'!$P:$P),0)+IFERROR(SUMIF('Sep 22 - Oct 21, 2025'!$A:$A,"LEASE-BH-F19-2025B",'Sep 22 - Oct 21, 2025'!$P:$P),0)+IFERROR(SUMIF('Oct 22 - Nov 21, 2025'!$A:$A,"LEASE-BH-F19-2025B",'Oct 22 - Nov 21, 2025'!$P:$P),0)</f>
        <v>0.0</v>
      </c>
      <c r="O24" s="3" t="n">
        <f>IFERROR(SUMIF('Dec 22 - Jan 21, 2025'!$A:$A,"LEASE-BH-F19-2025B",'Dec 22 - Jan 21, 2025'!$I:$I),0)</f>
        <v>0.0</v>
      </c>
      <c r="P24" s="3" t="n">
        <f>IFERROR(SUMIF('Oct 22 - Nov 21, 2025'!$A:$A,"LEASE-BH-F19-2025B",'Oct 22 - Nov 21, 2025'!$K:$K),0)</f>
        <v>0.0</v>
      </c>
    </row>
    <row r="25">
      <c r="A25" t="inlineStr">
        <is>
          <t>LEASE-BH-F20-2025</t>
        </is>
      </c>
      <c r="B25" t="inlineStr">
        <is>
          <t>Flat 20 - 3 West Gate</t>
        </is>
      </c>
      <c r="C25" t="inlineStr">
        <is>
          <t>Achal (Delegated for Udayan)</t>
        </is>
      </c>
      <c r="D25" t="inlineStr">
        <is>
          <t>Mr James Kay</t>
        </is>
      </c>
      <c r="E25" s="2" t="n">
        <v>45732.0</v>
      </c>
      <c r="F25" t="n">
        <v>16.0</v>
      </c>
      <c r="G25" s="3" t="n">
        <f>IFERROR(SUMIF('Dec 22 - Jan 21, 2025'!$A:$A,"LEASE-BH-F20-2025",'Dec 22 - Jan 21, 2025'!$G:$G),0)+IFERROR(SUMIF('Jan 22 - Feb 21, 2025'!$A:$A,"LEASE-BH-F20-2025",'Jan 22 - Feb 21, 2025'!$G:$G),0)+IFERROR(SUMIF('Feb 22 - Mar 21, 2025'!$A:$A,"LEASE-BH-F20-2025",'Feb 22 - Mar 21, 2025'!$G:$G),0)+IFERROR(SUMIF('Mar 22 - Apr 21, 2025'!$A:$A,"LEASE-BH-F20-2025",'Mar 22 - Apr 21, 2025'!$G:$G),0)+IFERROR(SUMIF('Apr 22 - May 21, 2025'!$A:$A,"LEASE-BH-F20-2025",'Apr 22 - May 21, 2025'!$G:$G),0)+IFERROR(SUMIF('May 22 - Jun 21, 2025'!$A:$A,"LEASE-BH-F20-2025",'May 22 - Jun 21, 2025'!$G:$G),0)+IFERROR(SUMIF('Jun 22 - Jul 21, 2025'!$A:$A,"LEASE-BH-F20-2025",'Jun 22 - Jul 21, 2025'!$G:$G),0)+IFERROR(SUMIF('Jul 22 - Aug 21, 2025'!$A:$A,"LEASE-BH-F20-2025",'Jul 22 - Aug 21, 2025'!$G:$G),0)+IFERROR(SUMIF('Aug 22 - Sep 21, 2025'!$A:$A,"LEASE-BH-F20-2025",'Aug 22 - Sep 21, 2025'!$G:$G),0)+IFERROR(SUMIF('Sep 22 - Oct 21, 2025'!$A:$A,"LEASE-BH-F20-2025",'Sep 22 - Oct 21, 2025'!$G:$G),0)+IFERROR(SUMIF('Oct 22 - Nov 21, 2025'!$A:$A,"LEASE-BH-F20-2025",'Oct 22 - Nov 21, 2025'!$G:$G),0)</f>
        <v>0.0</v>
      </c>
      <c r="H25" s="3" t="n">
        <f>IFERROR(SUMIF('Dec 22 - Jan 21, 2025'!$A:$A,"LEASE-BH-F20-2025",'Dec 22 - Jan 21, 2025'!$H:$H),0)+IFERROR(SUMIF('Jan 22 - Feb 21, 2025'!$A:$A,"LEASE-BH-F20-2025",'Jan 22 - Feb 21, 2025'!$H:$H),0)+IFERROR(SUMIF('Feb 22 - Mar 21, 2025'!$A:$A,"LEASE-BH-F20-2025",'Feb 22 - Mar 21, 2025'!$H:$H),0)+IFERROR(SUMIF('Mar 22 - Apr 21, 2025'!$A:$A,"LEASE-BH-F20-2025",'Mar 22 - Apr 21, 2025'!$H:$H),0)+IFERROR(SUMIF('Apr 22 - May 21, 2025'!$A:$A,"LEASE-BH-F20-2025",'Apr 22 - May 21, 2025'!$H:$H),0)+IFERROR(SUMIF('May 22 - Jun 21, 2025'!$A:$A,"LEASE-BH-F20-2025",'May 22 - Jun 21, 2025'!$H:$H),0)+IFERROR(SUMIF('Jun 22 - Jul 21, 2025'!$A:$A,"LEASE-BH-F20-2025",'Jun 22 - Jul 21, 2025'!$H:$H),0)+IFERROR(SUMIF('Jul 22 - Aug 21, 2025'!$A:$A,"LEASE-BH-F20-2025",'Jul 22 - Aug 21, 2025'!$H:$H),0)+IFERROR(SUMIF('Aug 22 - Sep 21, 2025'!$A:$A,"LEASE-BH-F20-2025",'Aug 22 - Sep 21, 2025'!$H:$H),0)+IFERROR(SUMIF('Sep 22 - Oct 21, 2025'!$A:$A,"LEASE-BH-F20-2025",'Sep 22 - Oct 21, 2025'!$H:$H),0)+IFERROR(SUMIF('Oct 22 - Nov 21, 2025'!$A:$A,"LEASE-BH-F20-2025",'Oct 22 - Nov 21, 2025'!$H:$H),0)</f>
        <v>0.0</v>
      </c>
      <c r="I25" s="3" t="n">
        <f>G25 - H25</f>
        <v>0.0</v>
      </c>
      <c r="J25" s="3" t="n">
        <f>IFERROR(SUMIF('Dec 22 - Jan 21, 2025'!$A:$A,"LEASE-BH-F20-2025",'Dec 22 - Jan 21, 2025'!$L:$L),0)+IFERROR(SUMIF('Jan 22 - Feb 21, 2025'!$A:$A,"LEASE-BH-F20-2025",'Jan 22 - Feb 21, 2025'!$L:$L),0)+IFERROR(SUMIF('Feb 22 - Mar 21, 2025'!$A:$A,"LEASE-BH-F20-2025",'Feb 22 - Mar 21, 2025'!$L:$L),0)+IFERROR(SUMIF('Mar 22 - Apr 21, 2025'!$A:$A,"LEASE-BH-F20-2025",'Mar 22 - Apr 21, 2025'!$L:$L),0)+IFERROR(SUMIF('Apr 22 - May 21, 2025'!$A:$A,"LEASE-BH-F20-2025",'Apr 22 - May 21, 2025'!$L:$L),0)+IFERROR(SUMIF('May 22 - Jun 21, 2025'!$A:$A,"LEASE-BH-F20-2025",'May 22 - Jun 21, 2025'!$L:$L),0)+IFERROR(SUMIF('Jun 22 - Jul 21, 2025'!$A:$A,"LEASE-BH-F20-2025",'Jun 22 - Jul 21, 2025'!$L:$L),0)+IFERROR(SUMIF('Jul 22 - Aug 21, 2025'!$A:$A,"LEASE-BH-F20-2025",'Jul 22 - Aug 21, 2025'!$L:$L),0)+IFERROR(SUMIF('Aug 22 - Sep 21, 2025'!$A:$A,"LEASE-BH-F20-2025",'Aug 22 - Sep 21, 2025'!$L:$L),0)+IFERROR(SUMIF('Sep 22 - Oct 21, 2025'!$A:$A,"LEASE-BH-F20-2025",'Sep 22 - Oct 21, 2025'!$L:$L),0)+IFERROR(SUMIF('Oct 22 - Nov 21, 2025'!$A:$A,"LEASE-BH-F20-2025",'Oct 22 - Nov 21, 2025'!$L:$L),0)</f>
        <v>0.0</v>
      </c>
      <c r="K25" s="3" t="n">
        <f>IFERROR(SUMIF('Dec 22 - Jan 21, 2025'!$A:$A,"LEASE-BH-F20-2025",'Dec 22 - Jan 21, 2025'!$M:$M),0)+IFERROR(SUMIF('Jan 22 - Feb 21, 2025'!$A:$A,"LEASE-BH-F20-2025",'Jan 22 - Feb 21, 2025'!$M:$M),0)+IFERROR(SUMIF('Feb 22 - Mar 21, 2025'!$A:$A,"LEASE-BH-F20-2025",'Feb 22 - Mar 21, 2025'!$M:$M),0)+IFERROR(SUMIF('Mar 22 - Apr 21, 2025'!$A:$A,"LEASE-BH-F20-2025",'Mar 22 - Apr 21, 2025'!$M:$M),0)+IFERROR(SUMIF('Apr 22 - May 21, 2025'!$A:$A,"LEASE-BH-F20-2025",'Apr 22 - May 21, 2025'!$M:$M),0)+IFERROR(SUMIF('May 22 - Jun 21, 2025'!$A:$A,"LEASE-BH-F20-2025",'May 22 - Jun 21, 2025'!$M:$M),0)+IFERROR(SUMIF('Jun 22 - Jul 21, 2025'!$A:$A,"LEASE-BH-F20-2025",'Jun 22 - Jul 21, 2025'!$M:$M),0)+IFERROR(SUMIF('Jul 22 - Aug 21, 2025'!$A:$A,"LEASE-BH-F20-2025",'Jul 22 - Aug 21, 2025'!$M:$M),0)+IFERROR(SUMIF('Aug 22 - Sep 21, 2025'!$A:$A,"LEASE-BH-F20-2025",'Aug 22 - Sep 21, 2025'!$M:$M),0)+IFERROR(SUMIF('Sep 22 - Oct 21, 2025'!$A:$A,"LEASE-BH-F20-2025",'Sep 22 - Oct 21, 2025'!$M:$M),0)+IFERROR(SUMIF('Oct 22 - Nov 21, 2025'!$A:$A,"LEASE-BH-F20-2025",'Oct 22 - Nov 21, 2025'!$M:$M),0)</f>
        <v>0.0</v>
      </c>
      <c r="L25" s="3" t="n">
        <f>IFERROR(SUMIF('Dec 22 - Jan 21, 2025'!$A:$A,"LEASE-BH-F20-2025",'Dec 22 - Jan 21, 2025'!$N:$N),0)+IFERROR(SUMIF('Jan 22 - Feb 21, 2025'!$A:$A,"LEASE-BH-F20-2025",'Jan 22 - Feb 21, 2025'!$N:$N),0)+IFERROR(SUMIF('Feb 22 - Mar 21, 2025'!$A:$A,"LEASE-BH-F20-2025",'Feb 22 - Mar 21, 2025'!$N:$N),0)+IFERROR(SUMIF('Mar 22 - Apr 21, 2025'!$A:$A,"LEASE-BH-F20-2025",'Mar 22 - Apr 21, 2025'!$N:$N),0)+IFERROR(SUMIF('Apr 22 - May 21, 2025'!$A:$A,"LEASE-BH-F20-2025",'Apr 22 - May 21, 2025'!$N:$N),0)+IFERROR(SUMIF('May 22 - Jun 21, 2025'!$A:$A,"LEASE-BH-F20-2025",'May 22 - Jun 21, 2025'!$N:$N),0)+IFERROR(SUMIF('Jun 22 - Jul 21, 2025'!$A:$A,"LEASE-BH-F20-2025",'Jun 22 - Jul 21, 2025'!$N:$N),0)+IFERROR(SUMIF('Jul 22 - Aug 21, 2025'!$A:$A,"LEASE-BH-F20-2025",'Jul 22 - Aug 21, 2025'!$N:$N),0)+IFERROR(SUMIF('Aug 22 - Sep 21, 2025'!$A:$A,"LEASE-BH-F20-2025",'Aug 22 - Sep 21, 2025'!$N:$N),0)+IFERROR(SUMIF('Sep 22 - Oct 21, 2025'!$A:$A,"LEASE-BH-F20-2025",'Sep 22 - Oct 21, 2025'!$N:$N),0)+IFERROR(SUMIF('Oct 22 - Nov 21, 2025'!$A:$A,"LEASE-BH-F20-2025",'Oct 22 - Nov 21, 2025'!$N:$N),0)</f>
        <v>0.0</v>
      </c>
      <c r="M25" s="3" t="n">
        <f>IFERROR(SUMIF('Dec 22 - Jan 21, 2025'!$A:$A,"LEASE-BH-F20-2025",'Dec 22 - Jan 21, 2025'!$O:$O),0)+IFERROR(SUMIF('Jan 22 - Feb 21, 2025'!$A:$A,"LEASE-BH-F20-2025",'Jan 22 - Feb 21, 2025'!$O:$O),0)+IFERROR(SUMIF('Feb 22 - Mar 21, 2025'!$A:$A,"LEASE-BH-F20-2025",'Feb 22 - Mar 21, 2025'!$O:$O),0)+IFERROR(SUMIF('Mar 22 - Apr 21, 2025'!$A:$A,"LEASE-BH-F20-2025",'Mar 22 - Apr 21, 2025'!$O:$O),0)+IFERROR(SUMIF('Apr 22 - May 21, 2025'!$A:$A,"LEASE-BH-F20-2025",'Apr 22 - May 21, 2025'!$O:$O),0)+IFERROR(SUMIF('May 22 - Jun 21, 2025'!$A:$A,"LEASE-BH-F20-2025",'May 22 - Jun 21, 2025'!$O:$O),0)+IFERROR(SUMIF('Jun 22 - Jul 21, 2025'!$A:$A,"LEASE-BH-F20-2025",'Jun 22 - Jul 21, 2025'!$O:$O),0)+IFERROR(SUMIF('Jul 22 - Aug 21, 2025'!$A:$A,"LEASE-BH-F20-2025",'Jul 22 - Aug 21, 2025'!$O:$O),0)+IFERROR(SUMIF('Aug 22 - Sep 21, 2025'!$A:$A,"LEASE-BH-F20-2025",'Aug 22 - Sep 21, 2025'!$O:$O),0)+IFERROR(SUMIF('Sep 22 - Oct 21, 2025'!$A:$A,"LEASE-BH-F20-2025",'Sep 22 - Oct 21, 2025'!$O:$O),0)+IFERROR(SUMIF('Oct 22 - Nov 21, 2025'!$A:$A,"LEASE-BH-F20-2025",'Oct 22 - Nov 21, 2025'!$O:$O),0)</f>
        <v>0.0</v>
      </c>
      <c r="N25" s="3" t="n">
        <f>IFERROR(SUMIF('Dec 22 - Jan 21, 2025'!$A:$A,"LEASE-BH-F20-2025",'Dec 22 - Jan 21, 2025'!$P:$P),0)+IFERROR(SUMIF('Jan 22 - Feb 21, 2025'!$A:$A,"LEASE-BH-F20-2025",'Jan 22 - Feb 21, 2025'!$P:$P),0)+IFERROR(SUMIF('Feb 22 - Mar 21, 2025'!$A:$A,"LEASE-BH-F20-2025",'Feb 22 - Mar 21, 2025'!$P:$P),0)+IFERROR(SUMIF('Mar 22 - Apr 21, 2025'!$A:$A,"LEASE-BH-F20-2025",'Mar 22 - Apr 21, 2025'!$P:$P),0)+IFERROR(SUMIF('Apr 22 - May 21, 2025'!$A:$A,"LEASE-BH-F20-2025",'Apr 22 - May 21, 2025'!$P:$P),0)+IFERROR(SUMIF('May 22 - Jun 21, 2025'!$A:$A,"LEASE-BH-F20-2025",'May 22 - Jun 21, 2025'!$P:$P),0)+IFERROR(SUMIF('Jun 22 - Jul 21, 2025'!$A:$A,"LEASE-BH-F20-2025",'Jun 22 - Jul 21, 2025'!$P:$P),0)+IFERROR(SUMIF('Jul 22 - Aug 21, 2025'!$A:$A,"LEASE-BH-F20-2025",'Jul 22 - Aug 21, 2025'!$P:$P),0)+IFERROR(SUMIF('Aug 22 - Sep 21, 2025'!$A:$A,"LEASE-BH-F20-2025",'Aug 22 - Sep 21, 2025'!$P:$P),0)+IFERROR(SUMIF('Sep 22 - Oct 21, 2025'!$A:$A,"LEASE-BH-F20-2025",'Sep 22 - Oct 21, 2025'!$P:$P),0)+IFERROR(SUMIF('Oct 22 - Nov 21, 2025'!$A:$A,"LEASE-BH-F20-2025",'Oct 22 - Nov 21, 2025'!$P:$P),0)</f>
        <v>0.0</v>
      </c>
      <c r="O25" s="3" t="n">
        <f>IFERROR(SUMIF('Dec 22 - Jan 21, 2025'!$A:$A,"LEASE-BH-F20-2025",'Dec 22 - Jan 21, 2025'!$I:$I),0)</f>
        <v>0.0</v>
      </c>
      <c r="P25" s="3" t="n">
        <f>IFERROR(SUMIF('Oct 22 - Nov 21, 2025'!$A:$A,"LEASE-BH-F20-2025",'Oct 22 - Nov 21, 2025'!$K:$K),0)</f>
        <v>0.0</v>
      </c>
    </row>
    <row r="26">
      <c r="A26" t="inlineStr">
        <is>
          <t>LEASE-BH-F21-2025</t>
        </is>
      </c>
      <c r="B26" t="inlineStr">
        <is>
          <t>Flat 21 - 3 West Gate</t>
        </is>
      </c>
      <c r="C26" t="inlineStr">
        <is>
          <t>Achal (Delegated for Udayan)</t>
        </is>
      </c>
      <c r="D26" t="inlineStr">
        <is>
          <t>Mr Felwin Francis</t>
        </is>
      </c>
      <c r="E26" s="2" t="n">
        <v>45687.0</v>
      </c>
      <c r="F26" t="n">
        <v>30.0</v>
      </c>
      <c r="G26" s="3" t="n">
        <f>IFERROR(SUMIF('Dec 22 - Jan 21, 2025'!$A:$A,"LEASE-BH-F21-2025",'Dec 22 - Jan 21, 2025'!$G:$G),0)+IFERROR(SUMIF('Jan 22 - Feb 21, 2025'!$A:$A,"LEASE-BH-F21-2025",'Jan 22 - Feb 21, 2025'!$G:$G),0)+IFERROR(SUMIF('Feb 22 - Mar 21, 2025'!$A:$A,"LEASE-BH-F21-2025",'Feb 22 - Mar 21, 2025'!$G:$G),0)+IFERROR(SUMIF('Mar 22 - Apr 21, 2025'!$A:$A,"LEASE-BH-F21-2025",'Mar 22 - Apr 21, 2025'!$G:$G),0)+IFERROR(SUMIF('Apr 22 - May 21, 2025'!$A:$A,"LEASE-BH-F21-2025",'Apr 22 - May 21, 2025'!$G:$G),0)+IFERROR(SUMIF('May 22 - Jun 21, 2025'!$A:$A,"LEASE-BH-F21-2025",'May 22 - Jun 21, 2025'!$G:$G),0)+IFERROR(SUMIF('Jun 22 - Jul 21, 2025'!$A:$A,"LEASE-BH-F21-2025",'Jun 22 - Jul 21, 2025'!$G:$G),0)+IFERROR(SUMIF('Jul 22 - Aug 21, 2025'!$A:$A,"LEASE-BH-F21-2025",'Jul 22 - Aug 21, 2025'!$G:$G),0)+IFERROR(SUMIF('Aug 22 - Sep 21, 2025'!$A:$A,"LEASE-BH-F21-2025",'Aug 22 - Sep 21, 2025'!$G:$G),0)+IFERROR(SUMIF('Sep 22 - Oct 21, 2025'!$A:$A,"LEASE-BH-F21-2025",'Sep 22 - Oct 21, 2025'!$G:$G),0)+IFERROR(SUMIF('Oct 22 - Nov 21, 2025'!$A:$A,"LEASE-BH-F21-2025",'Oct 22 - Nov 21, 2025'!$G:$G),0)</f>
        <v>0.0</v>
      </c>
      <c r="H26" s="3" t="n">
        <f>IFERROR(SUMIF('Dec 22 - Jan 21, 2025'!$A:$A,"LEASE-BH-F21-2025",'Dec 22 - Jan 21, 2025'!$H:$H),0)+IFERROR(SUMIF('Jan 22 - Feb 21, 2025'!$A:$A,"LEASE-BH-F21-2025",'Jan 22 - Feb 21, 2025'!$H:$H),0)+IFERROR(SUMIF('Feb 22 - Mar 21, 2025'!$A:$A,"LEASE-BH-F21-2025",'Feb 22 - Mar 21, 2025'!$H:$H),0)+IFERROR(SUMIF('Mar 22 - Apr 21, 2025'!$A:$A,"LEASE-BH-F21-2025",'Mar 22 - Apr 21, 2025'!$H:$H),0)+IFERROR(SUMIF('Apr 22 - May 21, 2025'!$A:$A,"LEASE-BH-F21-2025",'Apr 22 - May 21, 2025'!$H:$H),0)+IFERROR(SUMIF('May 22 - Jun 21, 2025'!$A:$A,"LEASE-BH-F21-2025",'May 22 - Jun 21, 2025'!$H:$H),0)+IFERROR(SUMIF('Jun 22 - Jul 21, 2025'!$A:$A,"LEASE-BH-F21-2025",'Jun 22 - Jul 21, 2025'!$H:$H),0)+IFERROR(SUMIF('Jul 22 - Aug 21, 2025'!$A:$A,"LEASE-BH-F21-2025",'Jul 22 - Aug 21, 2025'!$H:$H),0)+IFERROR(SUMIF('Aug 22 - Sep 21, 2025'!$A:$A,"LEASE-BH-F21-2025",'Aug 22 - Sep 21, 2025'!$H:$H),0)+IFERROR(SUMIF('Sep 22 - Oct 21, 2025'!$A:$A,"LEASE-BH-F21-2025",'Sep 22 - Oct 21, 2025'!$H:$H),0)+IFERROR(SUMIF('Oct 22 - Nov 21, 2025'!$A:$A,"LEASE-BH-F21-2025",'Oct 22 - Nov 21, 2025'!$H:$H),0)</f>
        <v>0.0</v>
      </c>
      <c r="I26" s="3" t="n">
        <f>G26 - H26</f>
        <v>0.0</v>
      </c>
      <c r="J26" s="3" t="n">
        <f>IFERROR(SUMIF('Dec 22 - Jan 21, 2025'!$A:$A,"LEASE-BH-F21-2025",'Dec 22 - Jan 21, 2025'!$L:$L),0)+IFERROR(SUMIF('Jan 22 - Feb 21, 2025'!$A:$A,"LEASE-BH-F21-2025",'Jan 22 - Feb 21, 2025'!$L:$L),0)+IFERROR(SUMIF('Feb 22 - Mar 21, 2025'!$A:$A,"LEASE-BH-F21-2025",'Feb 22 - Mar 21, 2025'!$L:$L),0)+IFERROR(SUMIF('Mar 22 - Apr 21, 2025'!$A:$A,"LEASE-BH-F21-2025",'Mar 22 - Apr 21, 2025'!$L:$L),0)+IFERROR(SUMIF('Apr 22 - May 21, 2025'!$A:$A,"LEASE-BH-F21-2025",'Apr 22 - May 21, 2025'!$L:$L),0)+IFERROR(SUMIF('May 22 - Jun 21, 2025'!$A:$A,"LEASE-BH-F21-2025",'May 22 - Jun 21, 2025'!$L:$L),0)+IFERROR(SUMIF('Jun 22 - Jul 21, 2025'!$A:$A,"LEASE-BH-F21-2025",'Jun 22 - Jul 21, 2025'!$L:$L),0)+IFERROR(SUMIF('Jul 22 - Aug 21, 2025'!$A:$A,"LEASE-BH-F21-2025",'Jul 22 - Aug 21, 2025'!$L:$L),0)+IFERROR(SUMIF('Aug 22 - Sep 21, 2025'!$A:$A,"LEASE-BH-F21-2025",'Aug 22 - Sep 21, 2025'!$L:$L),0)+IFERROR(SUMIF('Sep 22 - Oct 21, 2025'!$A:$A,"LEASE-BH-F21-2025",'Sep 22 - Oct 21, 2025'!$L:$L),0)+IFERROR(SUMIF('Oct 22 - Nov 21, 2025'!$A:$A,"LEASE-BH-F21-2025",'Oct 22 - Nov 21, 2025'!$L:$L),0)</f>
        <v>0.0</v>
      </c>
      <c r="K26" s="3" t="n">
        <f>IFERROR(SUMIF('Dec 22 - Jan 21, 2025'!$A:$A,"LEASE-BH-F21-2025",'Dec 22 - Jan 21, 2025'!$M:$M),0)+IFERROR(SUMIF('Jan 22 - Feb 21, 2025'!$A:$A,"LEASE-BH-F21-2025",'Jan 22 - Feb 21, 2025'!$M:$M),0)+IFERROR(SUMIF('Feb 22 - Mar 21, 2025'!$A:$A,"LEASE-BH-F21-2025",'Feb 22 - Mar 21, 2025'!$M:$M),0)+IFERROR(SUMIF('Mar 22 - Apr 21, 2025'!$A:$A,"LEASE-BH-F21-2025",'Mar 22 - Apr 21, 2025'!$M:$M),0)+IFERROR(SUMIF('Apr 22 - May 21, 2025'!$A:$A,"LEASE-BH-F21-2025",'Apr 22 - May 21, 2025'!$M:$M),0)+IFERROR(SUMIF('May 22 - Jun 21, 2025'!$A:$A,"LEASE-BH-F21-2025",'May 22 - Jun 21, 2025'!$M:$M),0)+IFERROR(SUMIF('Jun 22 - Jul 21, 2025'!$A:$A,"LEASE-BH-F21-2025",'Jun 22 - Jul 21, 2025'!$M:$M),0)+IFERROR(SUMIF('Jul 22 - Aug 21, 2025'!$A:$A,"LEASE-BH-F21-2025",'Jul 22 - Aug 21, 2025'!$M:$M),0)+IFERROR(SUMIF('Aug 22 - Sep 21, 2025'!$A:$A,"LEASE-BH-F21-2025",'Aug 22 - Sep 21, 2025'!$M:$M),0)+IFERROR(SUMIF('Sep 22 - Oct 21, 2025'!$A:$A,"LEASE-BH-F21-2025",'Sep 22 - Oct 21, 2025'!$M:$M),0)+IFERROR(SUMIF('Oct 22 - Nov 21, 2025'!$A:$A,"LEASE-BH-F21-2025",'Oct 22 - Nov 21, 2025'!$M:$M),0)</f>
        <v>0.0</v>
      </c>
      <c r="L26" s="3" t="n">
        <f>IFERROR(SUMIF('Dec 22 - Jan 21, 2025'!$A:$A,"LEASE-BH-F21-2025",'Dec 22 - Jan 21, 2025'!$N:$N),0)+IFERROR(SUMIF('Jan 22 - Feb 21, 2025'!$A:$A,"LEASE-BH-F21-2025",'Jan 22 - Feb 21, 2025'!$N:$N),0)+IFERROR(SUMIF('Feb 22 - Mar 21, 2025'!$A:$A,"LEASE-BH-F21-2025",'Feb 22 - Mar 21, 2025'!$N:$N),0)+IFERROR(SUMIF('Mar 22 - Apr 21, 2025'!$A:$A,"LEASE-BH-F21-2025",'Mar 22 - Apr 21, 2025'!$N:$N),0)+IFERROR(SUMIF('Apr 22 - May 21, 2025'!$A:$A,"LEASE-BH-F21-2025",'Apr 22 - May 21, 2025'!$N:$N),0)+IFERROR(SUMIF('May 22 - Jun 21, 2025'!$A:$A,"LEASE-BH-F21-2025",'May 22 - Jun 21, 2025'!$N:$N),0)+IFERROR(SUMIF('Jun 22 - Jul 21, 2025'!$A:$A,"LEASE-BH-F21-2025",'Jun 22 - Jul 21, 2025'!$N:$N),0)+IFERROR(SUMIF('Jul 22 - Aug 21, 2025'!$A:$A,"LEASE-BH-F21-2025",'Jul 22 - Aug 21, 2025'!$N:$N),0)+IFERROR(SUMIF('Aug 22 - Sep 21, 2025'!$A:$A,"LEASE-BH-F21-2025",'Aug 22 - Sep 21, 2025'!$N:$N),0)+IFERROR(SUMIF('Sep 22 - Oct 21, 2025'!$A:$A,"LEASE-BH-F21-2025",'Sep 22 - Oct 21, 2025'!$N:$N),0)+IFERROR(SUMIF('Oct 22 - Nov 21, 2025'!$A:$A,"LEASE-BH-F21-2025",'Oct 22 - Nov 21, 2025'!$N:$N),0)</f>
        <v>0.0</v>
      </c>
      <c r="M26" s="3" t="n">
        <f>IFERROR(SUMIF('Dec 22 - Jan 21, 2025'!$A:$A,"LEASE-BH-F21-2025",'Dec 22 - Jan 21, 2025'!$O:$O),0)+IFERROR(SUMIF('Jan 22 - Feb 21, 2025'!$A:$A,"LEASE-BH-F21-2025",'Jan 22 - Feb 21, 2025'!$O:$O),0)+IFERROR(SUMIF('Feb 22 - Mar 21, 2025'!$A:$A,"LEASE-BH-F21-2025",'Feb 22 - Mar 21, 2025'!$O:$O),0)+IFERROR(SUMIF('Mar 22 - Apr 21, 2025'!$A:$A,"LEASE-BH-F21-2025",'Mar 22 - Apr 21, 2025'!$O:$O),0)+IFERROR(SUMIF('Apr 22 - May 21, 2025'!$A:$A,"LEASE-BH-F21-2025",'Apr 22 - May 21, 2025'!$O:$O),0)+IFERROR(SUMIF('May 22 - Jun 21, 2025'!$A:$A,"LEASE-BH-F21-2025",'May 22 - Jun 21, 2025'!$O:$O),0)+IFERROR(SUMIF('Jun 22 - Jul 21, 2025'!$A:$A,"LEASE-BH-F21-2025",'Jun 22 - Jul 21, 2025'!$O:$O),0)+IFERROR(SUMIF('Jul 22 - Aug 21, 2025'!$A:$A,"LEASE-BH-F21-2025",'Jul 22 - Aug 21, 2025'!$O:$O),0)+IFERROR(SUMIF('Aug 22 - Sep 21, 2025'!$A:$A,"LEASE-BH-F21-2025",'Aug 22 - Sep 21, 2025'!$O:$O),0)+IFERROR(SUMIF('Sep 22 - Oct 21, 2025'!$A:$A,"LEASE-BH-F21-2025",'Sep 22 - Oct 21, 2025'!$O:$O),0)+IFERROR(SUMIF('Oct 22 - Nov 21, 2025'!$A:$A,"LEASE-BH-F21-2025",'Oct 22 - Nov 21, 2025'!$O:$O),0)</f>
        <v>0.0</v>
      </c>
      <c r="N26" s="3" t="n">
        <f>IFERROR(SUMIF('Dec 22 - Jan 21, 2025'!$A:$A,"LEASE-BH-F21-2025",'Dec 22 - Jan 21, 2025'!$P:$P),0)+IFERROR(SUMIF('Jan 22 - Feb 21, 2025'!$A:$A,"LEASE-BH-F21-2025",'Jan 22 - Feb 21, 2025'!$P:$P),0)+IFERROR(SUMIF('Feb 22 - Mar 21, 2025'!$A:$A,"LEASE-BH-F21-2025",'Feb 22 - Mar 21, 2025'!$P:$P),0)+IFERROR(SUMIF('Mar 22 - Apr 21, 2025'!$A:$A,"LEASE-BH-F21-2025",'Mar 22 - Apr 21, 2025'!$P:$P),0)+IFERROR(SUMIF('Apr 22 - May 21, 2025'!$A:$A,"LEASE-BH-F21-2025",'Apr 22 - May 21, 2025'!$P:$P),0)+IFERROR(SUMIF('May 22 - Jun 21, 2025'!$A:$A,"LEASE-BH-F21-2025",'May 22 - Jun 21, 2025'!$P:$P),0)+IFERROR(SUMIF('Jun 22 - Jul 21, 2025'!$A:$A,"LEASE-BH-F21-2025",'Jun 22 - Jul 21, 2025'!$P:$P),0)+IFERROR(SUMIF('Jul 22 - Aug 21, 2025'!$A:$A,"LEASE-BH-F21-2025",'Jul 22 - Aug 21, 2025'!$P:$P),0)+IFERROR(SUMIF('Aug 22 - Sep 21, 2025'!$A:$A,"LEASE-BH-F21-2025",'Aug 22 - Sep 21, 2025'!$P:$P),0)+IFERROR(SUMIF('Sep 22 - Oct 21, 2025'!$A:$A,"LEASE-BH-F21-2025",'Sep 22 - Oct 21, 2025'!$P:$P),0)+IFERROR(SUMIF('Oct 22 - Nov 21, 2025'!$A:$A,"LEASE-BH-F21-2025",'Oct 22 - Nov 21, 2025'!$P:$P),0)</f>
        <v>0.0</v>
      </c>
      <c r="O26" s="3" t="n">
        <f>IFERROR(SUMIF('Dec 22 - Jan 21, 2025'!$A:$A,"LEASE-BH-F21-2025",'Dec 22 - Jan 21, 2025'!$I:$I),0)</f>
        <v>0.0</v>
      </c>
      <c r="P26" s="3" t="n">
        <f>IFERROR(SUMIF('Oct 22 - Nov 21, 2025'!$A:$A,"LEASE-BH-F21-2025",'Oct 22 - Nov 21, 2025'!$K:$K),0)</f>
        <v>0.0</v>
      </c>
    </row>
    <row r="27">
      <c r="A27" t="inlineStr">
        <is>
          <t>LEASE-BH-F22-2025</t>
        </is>
      </c>
      <c r="B27" t="inlineStr">
        <is>
          <t>Flat 22 - 3 West Gate</t>
        </is>
      </c>
      <c r="C27" t="inlineStr">
        <is>
          <t>Achal (Delegated for Udayan)</t>
        </is>
      </c>
      <c r="D27" t="inlineStr">
        <is>
          <t>Mr Brian Lowe</t>
        </is>
      </c>
      <c r="E27" s="2" t="n">
        <v>45717.0</v>
      </c>
      <c r="F27" t="n">
        <v>1.0</v>
      </c>
      <c r="G27" s="3" t="n">
        <f>IFERROR(SUMIF('Dec 22 - Jan 21, 2025'!$A:$A,"LEASE-BH-F22-2025",'Dec 22 - Jan 21, 2025'!$G:$G),0)+IFERROR(SUMIF('Jan 22 - Feb 21, 2025'!$A:$A,"LEASE-BH-F22-2025",'Jan 22 - Feb 21, 2025'!$G:$G),0)+IFERROR(SUMIF('Feb 22 - Mar 21, 2025'!$A:$A,"LEASE-BH-F22-2025",'Feb 22 - Mar 21, 2025'!$G:$G),0)+IFERROR(SUMIF('Mar 22 - Apr 21, 2025'!$A:$A,"LEASE-BH-F22-2025",'Mar 22 - Apr 21, 2025'!$G:$G),0)+IFERROR(SUMIF('Apr 22 - May 21, 2025'!$A:$A,"LEASE-BH-F22-2025",'Apr 22 - May 21, 2025'!$G:$G),0)+IFERROR(SUMIF('May 22 - Jun 21, 2025'!$A:$A,"LEASE-BH-F22-2025",'May 22 - Jun 21, 2025'!$G:$G),0)+IFERROR(SUMIF('Jun 22 - Jul 21, 2025'!$A:$A,"LEASE-BH-F22-2025",'Jun 22 - Jul 21, 2025'!$G:$G),0)+IFERROR(SUMIF('Jul 22 - Aug 21, 2025'!$A:$A,"LEASE-BH-F22-2025",'Jul 22 - Aug 21, 2025'!$G:$G),0)+IFERROR(SUMIF('Aug 22 - Sep 21, 2025'!$A:$A,"LEASE-BH-F22-2025",'Aug 22 - Sep 21, 2025'!$G:$G),0)+IFERROR(SUMIF('Sep 22 - Oct 21, 2025'!$A:$A,"LEASE-BH-F22-2025",'Sep 22 - Oct 21, 2025'!$G:$G),0)+IFERROR(SUMIF('Oct 22 - Nov 21, 2025'!$A:$A,"LEASE-BH-F22-2025",'Oct 22 - Nov 21, 2025'!$G:$G),0)</f>
        <v>0.0</v>
      </c>
      <c r="H27" s="3" t="n">
        <f>IFERROR(SUMIF('Dec 22 - Jan 21, 2025'!$A:$A,"LEASE-BH-F22-2025",'Dec 22 - Jan 21, 2025'!$H:$H),0)+IFERROR(SUMIF('Jan 22 - Feb 21, 2025'!$A:$A,"LEASE-BH-F22-2025",'Jan 22 - Feb 21, 2025'!$H:$H),0)+IFERROR(SUMIF('Feb 22 - Mar 21, 2025'!$A:$A,"LEASE-BH-F22-2025",'Feb 22 - Mar 21, 2025'!$H:$H),0)+IFERROR(SUMIF('Mar 22 - Apr 21, 2025'!$A:$A,"LEASE-BH-F22-2025",'Mar 22 - Apr 21, 2025'!$H:$H),0)+IFERROR(SUMIF('Apr 22 - May 21, 2025'!$A:$A,"LEASE-BH-F22-2025",'Apr 22 - May 21, 2025'!$H:$H),0)+IFERROR(SUMIF('May 22 - Jun 21, 2025'!$A:$A,"LEASE-BH-F22-2025",'May 22 - Jun 21, 2025'!$H:$H),0)+IFERROR(SUMIF('Jun 22 - Jul 21, 2025'!$A:$A,"LEASE-BH-F22-2025",'Jun 22 - Jul 21, 2025'!$H:$H),0)+IFERROR(SUMIF('Jul 22 - Aug 21, 2025'!$A:$A,"LEASE-BH-F22-2025",'Jul 22 - Aug 21, 2025'!$H:$H),0)+IFERROR(SUMIF('Aug 22 - Sep 21, 2025'!$A:$A,"LEASE-BH-F22-2025",'Aug 22 - Sep 21, 2025'!$H:$H),0)+IFERROR(SUMIF('Sep 22 - Oct 21, 2025'!$A:$A,"LEASE-BH-F22-2025",'Sep 22 - Oct 21, 2025'!$H:$H),0)+IFERROR(SUMIF('Oct 22 - Nov 21, 2025'!$A:$A,"LEASE-BH-F22-2025",'Oct 22 - Nov 21, 2025'!$H:$H),0)</f>
        <v>0.0</v>
      </c>
      <c r="I27" s="3" t="n">
        <f>G27 - H27</f>
        <v>0.0</v>
      </c>
      <c r="J27" s="3" t="n">
        <f>IFERROR(SUMIF('Dec 22 - Jan 21, 2025'!$A:$A,"LEASE-BH-F22-2025",'Dec 22 - Jan 21, 2025'!$L:$L),0)+IFERROR(SUMIF('Jan 22 - Feb 21, 2025'!$A:$A,"LEASE-BH-F22-2025",'Jan 22 - Feb 21, 2025'!$L:$L),0)+IFERROR(SUMIF('Feb 22 - Mar 21, 2025'!$A:$A,"LEASE-BH-F22-2025",'Feb 22 - Mar 21, 2025'!$L:$L),0)+IFERROR(SUMIF('Mar 22 - Apr 21, 2025'!$A:$A,"LEASE-BH-F22-2025",'Mar 22 - Apr 21, 2025'!$L:$L),0)+IFERROR(SUMIF('Apr 22 - May 21, 2025'!$A:$A,"LEASE-BH-F22-2025",'Apr 22 - May 21, 2025'!$L:$L),0)+IFERROR(SUMIF('May 22 - Jun 21, 2025'!$A:$A,"LEASE-BH-F22-2025",'May 22 - Jun 21, 2025'!$L:$L),0)+IFERROR(SUMIF('Jun 22 - Jul 21, 2025'!$A:$A,"LEASE-BH-F22-2025",'Jun 22 - Jul 21, 2025'!$L:$L),0)+IFERROR(SUMIF('Jul 22 - Aug 21, 2025'!$A:$A,"LEASE-BH-F22-2025",'Jul 22 - Aug 21, 2025'!$L:$L),0)+IFERROR(SUMIF('Aug 22 - Sep 21, 2025'!$A:$A,"LEASE-BH-F22-2025",'Aug 22 - Sep 21, 2025'!$L:$L),0)+IFERROR(SUMIF('Sep 22 - Oct 21, 2025'!$A:$A,"LEASE-BH-F22-2025",'Sep 22 - Oct 21, 2025'!$L:$L),0)+IFERROR(SUMIF('Oct 22 - Nov 21, 2025'!$A:$A,"LEASE-BH-F22-2025",'Oct 22 - Nov 21, 2025'!$L:$L),0)</f>
        <v>0.0</v>
      </c>
      <c r="K27" s="3" t="n">
        <f>IFERROR(SUMIF('Dec 22 - Jan 21, 2025'!$A:$A,"LEASE-BH-F22-2025",'Dec 22 - Jan 21, 2025'!$M:$M),0)+IFERROR(SUMIF('Jan 22 - Feb 21, 2025'!$A:$A,"LEASE-BH-F22-2025",'Jan 22 - Feb 21, 2025'!$M:$M),0)+IFERROR(SUMIF('Feb 22 - Mar 21, 2025'!$A:$A,"LEASE-BH-F22-2025",'Feb 22 - Mar 21, 2025'!$M:$M),0)+IFERROR(SUMIF('Mar 22 - Apr 21, 2025'!$A:$A,"LEASE-BH-F22-2025",'Mar 22 - Apr 21, 2025'!$M:$M),0)+IFERROR(SUMIF('Apr 22 - May 21, 2025'!$A:$A,"LEASE-BH-F22-2025",'Apr 22 - May 21, 2025'!$M:$M),0)+IFERROR(SUMIF('May 22 - Jun 21, 2025'!$A:$A,"LEASE-BH-F22-2025",'May 22 - Jun 21, 2025'!$M:$M),0)+IFERROR(SUMIF('Jun 22 - Jul 21, 2025'!$A:$A,"LEASE-BH-F22-2025",'Jun 22 - Jul 21, 2025'!$M:$M),0)+IFERROR(SUMIF('Jul 22 - Aug 21, 2025'!$A:$A,"LEASE-BH-F22-2025",'Jul 22 - Aug 21, 2025'!$M:$M),0)+IFERROR(SUMIF('Aug 22 - Sep 21, 2025'!$A:$A,"LEASE-BH-F22-2025",'Aug 22 - Sep 21, 2025'!$M:$M),0)+IFERROR(SUMIF('Sep 22 - Oct 21, 2025'!$A:$A,"LEASE-BH-F22-2025",'Sep 22 - Oct 21, 2025'!$M:$M),0)+IFERROR(SUMIF('Oct 22 - Nov 21, 2025'!$A:$A,"LEASE-BH-F22-2025",'Oct 22 - Nov 21, 2025'!$M:$M),0)</f>
        <v>0.0</v>
      </c>
      <c r="L27" s="3" t="n">
        <f>IFERROR(SUMIF('Dec 22 - Jan 21, 2025'!$A:$A,"LEASE-BH-F22-2025",'Dec 22 - Jan 21, 2025'!$N:$N),0)+IFERROR(SUMIF('Jan 22 - Feb 21, 2025'!$A:$A,"LEASE-BH-F22-2025",'Jan 22 - Feb 21, 2025'!$N:$N),0)+IFERROR(SUMIF('Feb 22 - Mar 21, 2025'!$A:$A,"LEASE-BH-F22-2025",'Feb 22 - Mar 21, 2025'!$N:$N),0)+IFERROR(SUMIF('Mar 22 - Apr 21, 2025'!$A:$A,"LEASE-BH-F22-2025",'Mar 22 - Apr 21, 2025'!$N:$N),0)+IFERROR(SUMIF('Apr 22 - May 21, 2025'!$A:$A,"LEASE-BH-F22-2025",'Apr 22 - May 21, 2025'!$N:$N),0)+IFERROR(SUMIF('May 22 - Jun 21, 2025'!$A:$A,"LEASE-BH-F22-2025",'May 22 - Jun 21, 2025'!$N:$N),0)+IFERROR(SUMIF('Jun 22 - Jul 21, 2025'!$A:$A,"LEASE-BH-F22-2025",'Jun 22 - Jul 21, 2025'!$N:$N),0)+IFERROR(SUMIF('Jul 22 - Aug 21, 2025'!$A:$A,"LEASE-BH-F22-2025",'Jul 22 - Aug 21, 2025'!$N:$N),0)+IFERROR(SUMIF('Aug 22 - Sep 21, 2025'!$A:$A,"LEASE-BH-F22-2025",'Aug 22 - Sep 21, 2025'!$N:$N),0)+IFERROR(SUMIF('Sep 22 - Oct 21, 2025'!$A:$A,"LEASE-BH-F22-2025",'Sep 22 - Oct 21, 2025'!$N:$N),0)+IFERROR(SUMIF('Oct 22 - Nov 21, 2025'!$A:$A,"LEASE-BH-F22-2025",'Oct 22 - Nov 21, 2025'!$N:$N),0)</f>
        <v>0.0</v>
      </c>
      <c r="M27" s="3" t="n">
        <f>IFERROR(SUMIF('Dec 22 - Jan 21, 2025'!$A:$A,"LEASE-BH-F22-2025",'Dec 22 - Jan 21, 2025'!$O:$O),0)+IFERROR(SUMIF('Jan 22 - Feb 21, 2025'!$A:$A,"LEASE-BH-F22-2025",'Jan 22 - Feb 21, 2025'!$O:$O),0)+IFERROR(SUMIF('Feb 22 - Mar 21, 2025'!$A:$A,"LEASE-BH-F22-2025",'Feb 22 - Mar 21, 2025'!$O:$O),0)+IFERROR(SUMIF('Mar 22 - Apr 21, 2025'!$A:$A,"LEASE-BH-F22-2025",'Mar 22 - Apr 21, 2025'!$O:$O),0)+IFERROR(SUMIF('Apr 22 - May 21, 2025'!$A:$A,"LEASE-BH-F22-2025",'Apr 22 - May 21, 2025'!$O:$O),0)+IFERROR(SUMIF('May 22 - Jun 21, 2025'!$A:$A,"LEASE-BH-F22-2025",'May 22 - Jun 21, 2025'!$O:$O),0)+IFERROR(SUMIF('Jun 22 - Jul 21, 2025'!$A:$A,"LEASE-BH-F22-2025",'Jun 22 - Jul 21, 2025'!$O:$O),0)+IFERROR(SUMIF('Jul 22 - Aug 21, 2025'!$A:$A,"LEASE-BH-F22-2025",'Jul 22 - Aug 21, 2025'!$O:$O),0)+IFERROR(SUMIF('Aug 22 - Sep 21, 2025'!$A:$A,"LEASE-BH-F22-2025",'Aug 22 - Sep 21, 2025'!$O:$O),0)+IFERROR(SUMIF('Sep 22 - Oct 21, 2025'!$A:$A,"LEASE-BH-F22-2025",'Sep 22 - Oct 21, 2025'!$O:$O),0)+IFERROR(SUMIF('Oct 22 - Nov 21, 2025'!$A:$A,"LEASE-BH-F22-2025",'Oct 22 - Nov 21, 2025'!$O:$O),0)</f>
        <v>0.0</v>
      </c>
      <c r="N27" s="3" t="n">
        <f>IFERROR(SUMIF('Dec 22 - Jan 21, 2025'!$A:$A,"LEASE-BH-F22-2025",'Dec 22 - Jan 21, 2025'!$P:$P),0)+IFERROR(SUMIF('Jan 22 - Feb 21, 2025'!$A:$A,"LEASE-BH-F22-2025",'Jan 22 - Feb 21, 2025'!$P:$P),0)+IFERROR(SUMIF('Feb 22 - Mar 21, 2025'!$A:$A,"LEASE-BH-F22-2025",'Feb 22 - Mar 21, 2025'!$P:$P),0)+IFERROR(SUMIF('Mar 22 - Apr 21, 2025'!$A:$A,"LEASE-BH-F22-2025",'Mar 22 - Apr 21, 2025'!$P:$P),0)+IFERROR(SUMIF('Apr 22 - May 21, 2025'!$A:$A,"LEASE-BH-F22-2025",'Apr 22 - May 21, 2025'!$P:$P),0)+IFERROR(SUMIF('May 22 - Jun 21, 2025'!$A:$A,"LEASE-BH-F22-2025",'May 22 - Jun 21, 2025'!$P:$P),0)+IFERROR(SUMIF('Jun 22 - Jul 21, 2025'!$A:$A,"LEASE-BH-F22-2025",'Jun 22 - Jul 21, 2025'!$P:$P),0)+IFERROR(SUMIF('Jul 22 - Aug 21, 2025'!$A:$A,"LEASE-BH-F22-2025",'Jul 22 - Aug 21, 2025'!$P:$P),0)+IFERROR(SUMIF('Aug 22 - Sep 21, 2025'!$A:$A,"LEASE-BH-F22-2025",'Aug 22 - Sep 21, 2025'!$P:$P),0)+IFERROR(SUMIF('Sep 22 - Oct 21, 2025'!$A:$A,"LEASE-BH-F22-2025",'Sep 22 - Oct 21, 2025'!$P:$P),0)+IFERROR(SUMIF('Oct 22 - Nov 21, 2025'!$A:$A,"LEASE-BH-F22-2025",'Oct 22 - Nov 21, 2025'!$P:$P),0)</f>
        <v>0.0</v>
      </c>
      <c r="O27" s="3" t="n">
        <f>IFERROR(SUMIF('Dec 22 - Jan 21, 2025'!$A:$A,"LEASE-BH-F22-2025",'Dec 22 - Jan 21, 2025'!$I:$I),0)</f>
        <v>0.0</v>
      </c>
      <c r="P27" s="3" t="n">
        <f>IFERROR(SUMIF('Oct 22 - Nov 21, 2025'!$A:$A,"LEASE-BH-F22-2025",'Oct 22 - Nov 21, 2025'!$K:$K),0)</f>
        <v>0.0</v>
      </c>
    </row>
    <row r="28">
      <c r="A28" t="inlineStr">
        <is>
          <t>LEASE-BH-F23-2025</t>
        </is>
      </c>
      <c r="B28" t="inlineStr">
        <is>
          <t>Flat 23 - 3 West Gate</t>
        </is>
      </c>
      <c r="C28" t="inlineStr">
        <is>
          <t>Achal (Delegated for Udayan)</t>
        </is>
      </c>
      <c r="D28" t="inlineStr">
        <is>
          <t>Mark Tennick</t>
        </is>
      </c>
      <c r="E28" s="2" t="n">
        <v>45830.0</v>
      </c>
      <c r="F28" t="n">
        <v>10.0</v>
      </c>
      <c r="G28" s="3" t="n">
        <f>IFERROR(SUMIF('Dec 22 - Jan 21, 2025'!$A:$A,"LEASE-BH-F23-2025",'Dec 22 - Jan 21, 2025'!$G:$G),0)+IFERROR(SUMIF('Jan 22 - Feb 21, 2025'!$A:$A,"LEASE-BH-F23-2025",'Jan 22 - Feb 21, 2025'!$G:$G),0)+IFERROR(SUMIF('Feb 22 - Mar 21, 2025'!$A:$A,"LEASE-BH-F23-2025",'Feb 22 - Mar 21, 2025'!$G:$G),0)+IFERROR(SUMIF('Mar 22 - Apr 21, 2025'!$A:$A,"LEASE-BH-F23-2025",'Mar 22 - Apr 21, 2025'!$G:$G),0)+IFERROR(SUMIF('Apr 22 - May 21, 2025'!$A:$A,"LEASE-BH-F23-2025",'Apr 22 - May 21, 2025'!$G:$G),0)+IFERROR(SUMIF('May 22 - Jun 21, 2025'!$A:$A,"LEASE-BH-F23-2025",'May 22 - Jun 21, 2025'!$G:$G),0)+IFERROR(SUMIF('Jun 22 - Jul 21, 2025'!$A:$A,"LEASE-BH-F23-2025",'Jun 22 - Jul 21, 2025'!$G:$G),0)+IFERROR(SUMIF('Jul 22 - Aug 21, 2025'!$A:$A,"LEASE-BH-F23-2025",'Jul 22 - Aug 21, 2025'!$G:$G),0)+IFERROR(SUMIF('Aug 22 - Sep 21, 2025'!$A:$A,"LEASE-BH-F23-2025",'Aug 22 - Sep 21, 2025'!$G:$G),0)+IFERROR(SUMIF('Sep 22 - Oct 21, 2025'!$A:$A,"LEASE-BH-F23-2025",'Sep 22 - Oct 21, 2025'!$G:$G),0)+IFERROR(SUMIF('Oct 22 - Nov 21, 2025'!$A:$A,"LEASE-BH-F23-2025",'Oct 22 - Nov 21, 2025'!$G:$G),0)</f>
        <v>0.0</v>
      </c>
      <c r="H28" s="3" t="n">
        <f>IFERROR(SUMIF('Dec 22 - Jan 21, 2025'!$A:$A,"LEASE-BH-F23-2025",'Dec 22 - Jan 21, 2025'!$H:$H),0)+IFERROR(SUMIF('Jan 22 - Feb 21, 2025'!$A:$A,"LEASE-BH-F23-2025",'Jan 22 - Feb 21, 2025'!$H:$H),0)+IFERROR(SUMIF('Feb 22 - Mar 21, 2025'!$A:$A,"LEASE-BH-F23-2025",'Feb 22 - Mar 21, 2025'!$H:$H),0)+IFERROR(SUMIF('Mar 22 - Apr 21, 2025'!$A:$A,"LEASE-BH-F23-2025",'Mar 22 - Apr 21, 2025'!$H:$H),0)+IFERROR(SUMIF('Apr 22 - May 21, 2025'!$A:$A,"LEASE-BH-F23-2025",'Apr 22 - May 21, 2025'!$H:$H),0)+IFERROR(SUMIF('May 22 - Jun 21, 2025'!$A:$A,"LEASE-BH-F23-2025",'May 22 - Jun 21, 2025'!$H:$H),0)+IFERROR(SUMIF('Jun 22 - Jul 21, 2025'!$A:$A,"LEASE-BH-F23-2025",'Jun 22 - Jul 21, 2025'!$H:$H),0)+IFERROR(SUMIF('Jul 22 - Aug 21, 2025'!$A:$A,"LEASE-BH-F23-2025",'Jul 22 - Aug 21, 2025'!$H:$H),0)+IFERROR(SUMIF('Aug 22 - Sep 21, 2025'!$A:$A,"LEASE-BH-F23-2025",'Aug 22 - Sep 21, 2025'!$H:$H),0)+IFERROR(SUMIF('Sep 22 - Oct 21, 2025'!$A:$A,"LEASE-BH-F23-2025",'Sep 22 - Oct 21, 2025'!$H:$H),0)+IFERROR(SUMIF('Oct 22 - Nov 21, 2025'!$A:$A,"LEASE-BH-F23-2025",'Oct 22 - Nov 21, 2025'!$H:$H),0)</f>
        <v>0.0</v>
      </c>
      <c r="I28" s="3" t="n">
        <f>G28 - H28</f>
        <v>0.0</v>
      </c>
      <c r="J28" s="3" t="n">
        <f>IFERROR(SUMIF('Dec 22 - Jan 21, 2025'!$A:$A,"LEASE-BH-F23-2025",'Dec 22 - Jan 21, 2025'!$L:$L),0)+IFERROR(SUMIF('Jan 22 - Feb 21, 2025'!$A:$A,"LEASE-BH-F23-2025",'Jan 22 - Feb 21, 2025'!$L:$L),0)+IFERROR(SUMIF('Feb 22 - Mar 21, 2025'!$A:$A,"LEASE-BH-F23-2025",'Feb 22 - Mar 21, 2025'!$L:$L),0)+IFERROR(SUMIF('Mar 22 - Apr 21, 2025'!$A:$A,"LEASE-BH-F23-2025",'Mar 22 - Apr 21, 2025'!$L:$L),0)+IFERROR(SUMIF('Apr 22 - May 21, 2025'!$A:$A,"LEASE-BH-F23-2025",'Apr 22 - May 21, 2025'!$L:$L),0)+IFERROR(SUMIF('May 22 - Jun 21, 2025'!$A:$A,"LEASE-BH-F23-2025",'May 22 - Jun 21, 2025'!$L:$L),0)+IFERROR(SUMIF('Jun 22 - Jul 21, 2025'!$A:$A,"LEASE-BH-F23-2025",'Jun 22 - Jul 21, 2025'!$L:$L),0)+IFERROR(SUMIF('Jul 22 - Aug 21, 2025'!$A:$A,"LEASE-BH-F23-2025",'Jul 22 - Aug 21, 2025'!$L:$L),0)+IFERROR(SUMIF('Aug 22 - Sep 21, 2025'!$A:$A,"LEASE-BH-F23-2025",'Aug 22 - Sep 21, 2025'!$L:$L),0)+IFERROR(SUMIF('Sep 22 - Oct 21, 2025'!$A:$A,"LEASE-BH-F23-2025",'Sep 22 - Oct 21, 2025'!$L:$L),0)+IFERROR(SUMIF('Oct 22 - Nov 21, 2025'!$A:$A,"LEASE-BH-F23-2025",'Oct 22 - Nov 21, 2025'!$L:$L),0)</f>
        <v>0.0</v>
      </c>
      <c r="K28" s="3" t="n">
        <f>IFERROR(SUMIF('Dec 22 - Jan 21, 2025'!$A:$A,"LEASE-BH-F23-2025",'Dec 22 - Jan 21, 2025'!$M:$M),0)+IFERROR(SUMIF('Jan 22 - Feb 21, 2025'!$A:$A,"LEASE-BH-F23-2025",'Jan 22 - Feb 21, 2025'!$M:$M),0)+IFERROR(SUMIF('Feb 22 - Mar 21, 2025'!$A:$A,"LEASE-BH-F23-2025",'Feb 22 - Mar 21, 2025'!$M:$M),0)+IFERROR(SUMIF('Mar 22 - Apr 21, 2025'!$A:$A,"LEASE-BH-F23-2025",'Mar 22 - Apr 21, 2025'!$M:$M),0)+IFERROR(SUMIF('Apr 22 - May 21, 2025'!$A:$A,"LEASE-BH-F23-2025",'Apr 22 - May 21, 2025'!$M:$M),0)+IFERROR(SUMIF('May 22 - Jun 21, 2025'!$A:$A,"LEASE-BH-F23-2025",'May 22 - Jun 21, 2025'!$M:$M),0)+IFERROR(SUMIF('Jun 22 - Jul 21, 2025'!$A:$A,"LEASE-BH-F23-2025",'Jun 22 - Jul 21, 2025'!$M:$M),0)+IFERROR(SUMIF('Jul 22 - Aug 21, 2025'!$A:$A,"LEASE-BH-F23-2025",'Jul 22 - Aug 21, 2025'!$M:$M),0)+IFERROR(SUMIF('Aug 22 - Sep 21, 2025'!$A:$A,"LEASE-BH-F23-2025",'Aug 22 - Sep 21, 2025'!$M:$M),0)+IFERROR(SUMIF('Sep 22 - Oct 21, 2025'!$A:$A,"LEASE-BH-F23-2025",'Sep 22 - Oct 21, 2025'!$M:$M),0)+IFERROR(SUMIF('Oct 22 - Nov 21, 2025'!$A:$A,"LEASE-BH-F23-2025",'Oct 22 - Nov 21, 2025'!$M:$M),0)</f>
        <v>0.0</v>
      </c>
      <c r="L28" s="3" t="n">
        <f>IFERROR(SUMIF('Dec 22 - Jan 21, 2025'!$A:$A,"LEASE-BH-F23-2025",'Dec 22 - Jan 21, 2025'!$N:$N),0)+IFERROR(SUMIF('Jan 22 - Feb 21, 2025'!$A:$A,"LEASE-BH-F23-2025",'Jan 22 - Feb 21, 2025'!$N:$N),0)+IFERROR(SUMIF('Feb 22 - Mar 21, 2025'!$A:$A,"LEASE-BH-F23-2025",'Feb 22 - Mar 21, 2025'!$N:$N),0)+IFERROR(SUMIF('Mar 22 - Apr 21, 2025'!$A:$A,"LEASE-BH-F23-2025",'Mar 22 - Apr 21, 2025'!$N:$N),0)+IFERROR(SUMIF('Apr 22 - May 21, 2025'!$A:$A,"LEASE-BH-F23-2025",'Apr 22 - May 21, 2025'!$N:$N),0)+IFERROR(SUMIF('May 22 - Jun 21, 2025'!$A:$A,"LEASE-BH-F23-2025",'May 22 - Jun 21, 2025'!$N:$N),0)+IFERROR(SUMIF('Jun 22 - Jul 21, 2025'!$A:$A,"LEASE-BH-F23-2025",'Jun 22 - Jul 21, 2025'!$N:$N),0)+IFERROR(SUMIF('Jul 22 - Aug 21, 2025'!$A:$A,"LEASE-BH-F23-2025",'Jul 22 - Aug 21, 2025'!$N:$N),0)+IFERROR(SUMIF('Aug 22 - Sep 21, 2025'!$A:$A,"LEASE-BH-F23-2025",'Aug 22 - Sep 21, 2025'!$N:$N),0)+IFERROR(SUMIF('Sep 22 - Oct 21, 2025'!$A:$A,"LEASE-BH-F23-2025",'Sep 22 - Oct 21, 2025'!$N:$N),0)+IFERROR(SUMIF('Oct 22 - Nov 21, 2025'!$A:$A,"LEASE-BH-F23-2025",'Oct 22 - Nov 21, 2025'!$N:$N),0)</f>
        <v>0.0</v>
      </c>
      <c r="M28" s="3" t="n">
        <f>IFERROR(SUMIF('Dec 22 - Jan 21, 2025'!$A:$A,"LEASE-BH-F23-2025",'Dec 22 - Jan 21, 2025'!$O:$O),0)+IFERROR(SUMIF('Jan 22 - Feb 21, 2025'!$A:$A,"LEASE-BH-F23-2025",'Jan 22 - Feb 21, 2025'!$O:$O),0)+IFERROR(SUMIF('Feb 22 - Mar 21, 2025'!$A:$A,"LEASE-BH-F23-2025",'Feb 22 - Mar 21, 2025'!$O:$O),0)+IFERROR(SUMIF('Mar 22 - Apr 21, 2025'!$A:$A,"LEASE-BH-F23-2025",'Mar 22 - Apr 21, 2025'!$O:$O),0)+IFERROR(SUMIF('Apr 22 - May 21, 2025'!$A:$A,"LEASE-BH-F23-2025",'Apr 22 - May 21, 2025'!$O:$O),0)+IFERROR(SUMIF('May 22 - Jun 21, 2025'!$A:$A,"LEASE-BH-F23-2025",'May 22 - Jun 21, 2025'!$O:$O),0)+IFERROR(SUMIF('Jun 22 - Jul 21, 2025'!$A:$A,"LEASE-BH-F23-2025",'Jun 22 - Jul 21, 2025'!$O:$O),0)+IFERROR(SUMIF('Jul 22 - Aug 21, 2025'!$A:$A,"LEASE-BH-F23-2025",'Jul 22 - Aug 21, 2025'!$O:$O),0)+IFERROR(SUMIF('Aug 22 - Sep 21, 2025'!$A:$A,"LEASE-BH-F23-2025",'Aug 22 - Sep 21, 2025'!$O:$O),0)+IFERROR(SUMIF('Sep 22 - Oct 21, 2025'!$A:$A,"LEASE-BH-F23-2025",'Sep 22 - Oct 21, 2025'!$O:$O),0)+IFERROR(SUMIF('Oct 22 - Nov 21, 2025'!$A:$A,"LEASE-BH-F23-2025",'Oct 22 - Nov 21, 2025'!$O:$O),0)</f>
        <v>0.0</v>
      </c>
      <c r="N28" s="3" t="n">
        <f>IFERROR(SUMIF('Dec 22 - Jan 21, 2025'!$A:$A,"LEASE-BH-F23-2025",'Dec 22 - Jan 21, 2025'!$P:$P),0)+IFERROR(SUMIF('Jan 22 - Feb 21, 2025'!$A:$A,"LEASE-BH-F23-2025",'Jan 22 - Feb 21, 2025'!$P:$P),0)+IFERROR(SUMIF('Feb 22 - Mar 21, 2025'!$A:$A,"LEASE-BH-F23-2025",'Feb 22 - Mar 21, 2025'!$P:$P),0)+IFERROR(SUMIF('Mar 22 - Apr 21, 2025'!$A:$A,"LEASE-BH-F23-2025",'Mar 22 - Apr 21, 2025'!$P:$P),0)+IFERROR(SUMIF('Apr 22 - May 21, 2025'!$A:$A,"LEASE-BH-F23-2025",'Apr 22 - May 21, 2025'!$P:$P),0)+IFERROR(SUMIF('May 22 - Jun 21, 2025'!$A:$A,"LEASE-BH-F23-2025",'May 22 - Jun 21, 2025'!$P:$P),0)+IFERROR(SUMIF('Jun 22 - Jul 21, 2025'!$A:$A,"LEASE-BH-F23-2025",'Jun 22 - Jul 21, 2025'!$P:$P),0)+IFERROR(SUMIF('Jul 22 - Aug 21, 2025'!$A:$A,"LEASE-BH-F23-2025",'Jul 22 - Aug 21, 2025'!$P:$P),0)+IFERROR(SUMIF('Aug 22 - Sep 21, 2025'!$A:$A,"LEASE-BH-F23-2025",'Aug 22 - Sep 21, 2025'!$P:$P),0)+IFERROR(SUMIF('Sep 22 - Oct 21, 2025'!$A:$A,"LEASE-BH-F23-2025",'Sep 22 - Oct 21, 2025'!$P:$P),0)+IFERROR(SUMIF('Oct 22 - Nov 21, 2025'!$A:$A,"LEASE-BH-F23-2025",'Oct 22 - Nov 21, 2025'!$P:$P),0)</f>
        <v>0.0</v>
      </c>
      <c r="O28" s="3" t="n">
        <f>IFERROR(SUMIF('Dec 22 - Jan 21, 2025'!$A:$A,"LEASE-BH-F23-2025",'Dec 22 - Jan 21, 2025'!$I:$I),0)</f>
        <v>0.0</v>
      </c>
      <c r="P28" s="3" t="n">
        <f>IFERROR(SUMIF('Oct 22 - Nov 21, 2025'!$A:$A,"LEASE-BH-F23-2025",'Oct 22 - Nov 21, 2025'!$K:$K),0)</f>
        <v>0.0</v>
      </c>
    </row>
    <row r="29">
      <c r="A29" t="inlineStr">
        <is>
          <t>LEASE-BH-F24-2025</t>
        </is>
      </c>
      <c r="B29" t="inlineStr">
        <is>
          <t>Flat 24 - 3 West Gate</t>
        </is>
      </c>
      <c r="C29" t="inlineStr">
        <is>
          <t>Achal (Delegated for Udayan)</t>
        </is>
      </c>
      <c r="D29" t="inlineStr">
        <is>
          <t>Mr Ethan Maloney, Miss Soraya Fearon</t>
        </is>
      </c>
      <c r="E29" s="2" t="n">
        <v>45700.0</v>
      </c>
      <c r="F29" t="n">
        <v>12.0</v>
      </c>
      <c r="G29" s="3" t="n">
        <f>IFERROR(SUMIF('Dec 22 - Jan 21, 2025'!$A:$A,"LEASE-BH-F24-2025",'Dec 22 - Jan 21, 2025'!$G:$G),0)+IFERROR(SUMIF('Jan 22 - Feb 21, 2025'!$A:$A,"LEASE-BH-F24-2025",'Jan 22 - Feb 21, 2025'!$G:$G),0)+IFERROR(SUMIF('Feb 22 - Mar 21, 2025'!$A:$A,"LEASE-BH-F24-2025",'Feb 22 - Mar 21, 2025'!$G:$G),0)+IFERROR(SUMIF('Mar 22 - Apr 21, 2025'!$A:$A,"LEASE-BH-F24-2025",'Mar 22 - Apr 21, 2025'!$G:$G),0)+IFERROR(SUMIF('Apr 22 - May 21, 2025'!$A:$A,"LEASE-BH-F24-2025",'Apr 22 - May 21, 2025'!$G:$G),0)+IFERROR(SUMIF('May 22 - Jun 21, 2025'!$A:$A,"LEASE-BH-F24-2025",'May 22 - Jun 21, 2025'!$G:$G),0)+IFERROR(SUMIF('Jun 22 - Jul 21, 2025'!$A:$A,"LEASE-BH-F24-2025",'Jun 22 - Jul 21, 2025'!$G:$G),0)+IFERROR(SUMIF('Jul 22 - Aug 21, 2025'!$A:$A,"LEASE-BH-F24-2025",'Jul 22 - Aug 21, 2025'!$G:$G),0)+IFERROR(SUMIF('Aug 22 - Sep 21, 2025'!$A:$A,"LEASE-BH-F24-2025",'Aug 22 - Sep 21, 2025'!$G:$G),0)+IFERROR(SUMIF('Sep 22 - Oct 21, 2025'!$A:$A,"LEASE-BH-F24-2025",'Sep 22 - Oct 21, 2025'!$G:$G),0)+IFERROR(SUMIF('Oct 22 - Nov 21, 2025'!$A:$A,"LEASE-BH-F24-2025",'Oct 22 - Nov 21, 2025'!$G:$G),0)</f>
        <v>0.0</v>
      </c>
      <c r="H29" s="3" t="n">
        <f>IFERROR(SUMIF('Dec 22 - Jan 21, 2025'!$A:$A,"LEASE-BH-F24-2025",'Dec 22 - Jan 21, 2025'!$H:$H),0)+IFERROR(SUMIF('Jan 22 - Feb 21, 2025'!$A:$A,"LEASE-BH-F24-2025",'Jan 22 - Feb 21, 2025'!$H:$H),0)+IFERROR(SUMIF('Feb 22 - Mar 21, 2025'!$A:$A,"LEASE-BH-F24-2025",'Feb 22 - Mar 21, 2025'!$H:$H),0)+IFERROR(SUMIF('Mar 22 - Apr 21, 2025'!$A:$A,"LEASE-BH-F24-2025",'Mar 22 - Apr 21, 2025'!$H:$H),0)+IFERROR(SUMIF('Apr 22 - May 21, 2025'!$A:$A,"LEASE-BH-F24-2025",'Apr 22 - May 21, 2025'!$H:$H),0)+IFERROR(SUMIF('May 22 - Jun 21, 2025'!$A:$A,"LEASE-BH-F24-2025",'May 22 - Jun 21, 2025'!$H:$H),0)+IFERROR(SUMIF('Jun 22 - Jul 21, 2025'!$A:$A,"LEASE-BH-F24-2025",'Jun 22 - Jul 21, 2025'!$H:$H),0)+IFERROR(SUMIF('Jul 22 - Aug 21, 2025'!$A:$A,"LEASE-BH-F24-2025",'Jul 22 - Aug 21, 2025'!$H:$H),0)+IFERROR(SUMIF('Aug 22 - Sep 21, 2025'!$A:$A,"LEASE-BH-F24-2025",'Aug 22 - Sep 21, 2025'!$H:$H),0)+IFERROR(SUMIF('Sep 22 - Oct 21, 2025'!$A:$A,"LEASE-BH-F24-2025",'Sep 22 - Oct 21, 2025'!$H:$H),0)+IFERROR(SUMIF('Oct 22 - Nov 21, 2025'!$A:$A,"LEASE-BH-F24-2025",'Oct 22 - Nov 21, 2025'!$H:$H),0)</f>
        <v>0.0</v>
      </c>
      <c r="I29" s="3" t="n">
        <f>G29 - H29</f>
        <v>0.0</v>
      </c>
      <c r="J29" s="3" t="n">
        <f>IFERROR(SUMIF('Dec 22 - Jan 21, 2025'!$A:$A,"LEASE-BH-F24-2025",'Dec 22 - Jan 21, 2025'!$L:$L),0)+IFERROR(SUMIF('Jan 22 - Feb 21, 2025'!$A:$A,"LEASE-BH-F24-2025",'Jan 22 - Feb 21, 2025'!$L:$L),0)+IFERROR(SUMIF('Feb 22 - Mar 21, 2025'!$A:$A,"LEASE-BH-F24-2025",'Feb 22 - Mar 21, 2025'!$L:$L),0)+IFERROR(SUMIF('Mar 22 - Apr 21, 2025'!$A:$A,"LEASE-BH-F24-2025",'Mar 22 - Apr 21, 2025'!$L:$L),0)+IFERROR(SUMIF('Apr 22 - May 21, 2025'!$A:$A,"LEASE-BH-F24-2025",'Apr 22 - May 21, 2025'!$L:$L),0)+IFERROR(SUMIF('May 22 - Jun 21, 2025'!$A:$A,"LEASE-BH-F24-2025",'May 22 - Jun 21, 2025'!$L:$L),0)+IFERROR(SUMIF('Jun 22 - Jul 21, 2025'!$A:$A,"LEASE-BH-F24-2025",'Jun 22 - Jul 21, 2025'!$L:$L),0)+IFERROR(SUMIF('Jul 22 - Aug 21, 2025'!$A:$A,"LEASE-BH-F24-2025",'Jul 22 - Aug 21, 2025'!$L:$L),0)+IFERROR(SUMIF('Aug 22 - Sep 21, 2025'!$A:$A,"LEASE-BH-F24-2025",'Aug 22 - Sep 21, 2025'!$L:$L),0)+IFERROR(SUMIF('Sep 22 - Oct 21, 2025'!$A:$A,"LEASE-BH-F24-2025",'Sep 22 - Oct 21, 2025'!$L:$L),0)+IFERROR(SUMIF('Oct 22 - Nov 21, 2025'!$A:$A,"LEASE-BH-F24-2025",'Oct 22 - Nov 21, 2025'!$L:$L),0)</f>
        <v>0.0</v>
      </c>
      <c r="K29" s="3" t="n">
        <f>IFERROR(SUMIF('Dec 22 - Jan 21, 2025'!$A:$A,"LEASE-BH-F24-2025",'Dec 22 - Jan 21, 2025'!$M:$M),0)+IFERROR(SUMIF('Jan 22 - Feb 21, 2025'!$A:$A,"LEASE-BH-F24-2025",'Jan 22 - Feb 21, 2025'!$M:$M),0)+IFERROR(SUMIF('Feb 22 - Mar 21, 2025'!$A:$A,"LEASE-BH-F24-2025",'Feb 22 - Mar 21, 2025'!$M:$M),0)+IFERROR(SUMIF('Mar 22 - Apr 21, 2025'!$A:$A,"LEASE-BH-F24-2025",'Mar 22 - Apr 21, 2025'!$M:$M),0)+IFERROR(SUMIF('Apr 22 - May 21, 2025'!$A:$A,"LEASE-BH-F24-2025",'Apr 22 - May 21, 2025'!$M:$M),0)+IFERROR(SUMIF('May 22 - Jun 21, 2025'!$A:$A,"LEASE-BH-F24-2025",'May 22 - Jun 21, 2025'!$M:$M),0)+IFERROR(SUMIF('Jun 22 - Jul 21, 2025'!$A:$A,"LEASE-BH-F24-2025",'Jun 22 - Jul 21, 2025'!$M:$M),0)+IFERROR(SUMIF('Jul 22 - Aug 21, 2025'!$A:$A,"LEASE-BH-F24-2025",'Jul 22 - Aug 21, 2025'!$M:$M),0)+IFERROR(SUMIF('Aug 22 - Sep 21, 2025'!$A:$A,"LEASE-BH-F24-2025",'Aug 22 - Sep 21, 2025'!$M:$M),0)+IFERROR(SUMIF('Sep 22 - Oct 21, 2025'!$A:$A,"LEASE-BH-F24-2025",'Sep 22 - Oct 21, 2025'!$M:$M),0)+IFERROR(SUMIF('Oct 22 - Nov 21, 2025'!$A:$A,"LEASE-BH-F24-2025",'Oct 22 - Nov 21, 2025'!$M:$M),0)</f>
        <v>0.0</v>
      </c>
      <c r="L29" s="3" t="n">
        <f>IFERROR(SUMIF('Dec 22 - Jan 21, 2025'!$A:$A,"LEASE-BH-F24-2025",'Dec 22 - Jan 21, 2025'!$N:$N),0)+IFERROR(SUMIF('Jan 22 - Feb 21, 2025'!$A:$A,"LEASE-BH-F24-2025",'Jan 22 - Feb 21, 2025'!$N:$N),0)+IFERROR(SUMIF('Feb 22 - Mar 21, 2025'!$A:$A,"LEASE-BH-F24-2025",'Feb 22 - Mar 21, 2025'!$N:$N),0)+IFERROR(SUMIF('Mar 22 - Apr 21, 2025'!$A:$A,"LEASE-BH-F24-2025",'Mar 22 - Apr 21, 2025'!$N:$N),0)+IFERROR(SUMIF('Apr 22 - May 21, 2025'!$A:$A,"LEASE-BH-F24-2025",'Apr 22 - May 21, 2025'!$N:$N),0)+IFERROR(SUMIF('May 22 - Jun 21, 2025'!$A:$A,"LEASE-BH-F24-2025",'May 22 - Jun 21, 2025'!$N:$N),0)+IFERROR(SUMIF('Jun 22 - Jul 21, 2025'!$A:$A,"LEASE-BH-F24-2025",'Jun 22 - Jul 21, 2025'!$N:$N),0)+IFERROR(SUMIF('Jul 22 - Aug 21, 2025'!$A:$A,"LEASE-BH-F24-2025",'Jul 22 - Aug 21, 2025'!$N:$N),0)+IFERROR(SUMIF('Aug 22 - Sep 21, 2025'!$A:$A,"LEASE-BH-F24-2025",'Aug 22 - Sep 21, 2025'!$N:$N),0)+IFERROR(SUMIF('Sep 22 - Oct 21, 2025'!$A:$A,"LEASE-BH-F24-2025",'Sep 22 - Oct 21, 2025'!$N:$N),0)+IFERROR(SUMIF('Oct 22 - Nov 21, 2025'!$A:$A,"LEASE-BH-F24-2025",'Oct 22 - Nov 21, 2025'!$N:$N),0)</f>
        <v>0.0</v>
      </c>
      <c r="M29" s="3" t="n">
        <f>IFERROR(SUMIF('Dec 22 - Jan 21, 2025'!$A:$A,"LEASE-BH-F24-2025",'Dec 22 - Jan 21, 2025'!$O:$O),0)+IFERROR(SUMIF('Jan 22 - Feb 21, 2025'!$A:$A,"LEASE-BH-F24-2025",'Jan 22 - Feb 21, 2025'!$O:$O),0)+IFERROR(SUMIF('Feb 22 - Mar 21, 2025'!$A:$A,"LEASE-BH-F24-2025",'Feb 22 - Mar 21, 2025'!$O:$O),0)+IFERROR(SUMIF('Mar 22 - Apr 21, 2025'!$A:$A,"LEASE-BH-F24-2025",'Mar 22 - Apr 21, 2025'!$O:$O),0)+IFERROR(SUMIF('Apr 22 - May 21, 2025'!$A:$A,"LEASE-BH-F24-2025",'Apr 22 - May 21, 2025'!$O:$O),0)+IFERROR(SUMIF('May 22 - Jun 21, 2025'!$A:$A,"LEASE-BH-F24-2025",'May 22 - Jun 21, 2025'!$O:$O),0)+IFERROR(SUMIF('Jun 22 - Jul 21, 2025'!$A:$A,"LEASE-BH-F24-2025",'Jun 22 - Jul 21, 2025'!$O:$O),0)+IFERROR(SUMIF('Jul 22 - Aug 21, 2025'!$A:$A,"LEASE-BH-F24-2025",'Jul 22 - Aug 21, 2025'!$O:$O),0)+IFERROR(SUMIF('Aug 22 - Sep 21, 2025'!$A:$A,"LEASE-BH-F24-2025",'Aug 22 - Sep 21, 2025'!$O:$O),0)+IFERROR(SUMIF('Sep 22 - Oct 21, 2025'!$A:$A,"LEASE-BH-F24-2025",'Sep 22 - Oct 21, 2025'!$O:$O),0)+IFERROR(SUMIF('Oct 22 - Nov 21, 2025'!$A:$A,"LEASE-BH-F24-2025",'Oct 22 - Nov 21, 2025'!$O:$O),0)</f>
        <v>0.0</v>
      </c>
      <c r="N29" s="3" t="n">
        <f>IFERROR(SUMIF('Dec 22 - Jan 21, 2025'!$A:$A,"LEASE-BH-F24-2025",'Dec 22 - Jan 21, 2025'!$P:$P),0)+IFERROR(SUMIF('Jan 22 - Feb 21, 2025'!$A:$A,"LEASE-BH-F24-2025",'Jan 22 - Feb 21, 2025'!$P:$P),0)+IFERROR(SUMIF('Feb 22 - Mar 21, 2025'!$A:$A,"LEASE-BH-F24-2025",'Feb 22 - Mar 21, 2025'!$P:$P),0)+IFERROR(SUMIF('Mar 22 - Apr 21, 2025'!$A:$A,"LEASE-BH-F24-2025",'Mar 22 - Apr 21, 2025'!$P:$P),0)+IFERROR(SUMIF('Apr 22 - May 21, 2025'!$A:$A,"LEASE-BH-F24-2025",'Apr 22 - May 21, 2025'!$P:$P),0)+IFERROR(SUMIF('May 22 - Jun 21, 2025'!$A:$A,"LEASE-BH-F24-2025",'May 22 - Jun 21, 2025'!$P:$P),0)+IFERROR(SUMIF('Jun 22 - Jul 21, 2025'!$A:$A,"LEASE-BH-F24-2025",'Jun 22 - Jul 21, 2025'!$P:$P),0)+IFERROR(SUMIF('Jul 22 - Aug 21, 2025'!$A:$A,"LEASE-BH-F24-2025",'Jul 22 - Aug 21, 2025'!$P:$P),0)+IFERROR(SUMIF('Aug 22 - Sep 21, 2025'!$A:$A,"LEASE-BH-F24-2025",'Aug 22 - Sep 21, 2025'!$P:$P),0)+IFERROR(SUMIF('Sep 22 - Oct 21, 2025'!$A:$A,"LEASE-BH-F24-2025",'Sep 22 - Oct 21, 2025'!$P:$P),0)+IFERROR(SUMIF('Oct 22 - Nov 21, 2025'!$A:$A,"LEASE-BH-F24-2025",'Oct 22 - Nov 21, 2025'!$P:$P),0)</f>
        <v>0.0</v>
      </c>
      <c r="O29" s="3" t="n">
        <f>IFERROR(SUMIF('Dec 22 - Jan 21, 2025'!$A:$A,"LEASE-BH-F24-2025",'Dec 22 - Jan 21, 2025'!$I:$I),0)</f>
        <v>0.0</v>
      </c>
      <c r="P29" s="3" t="n">
        <f>IFERROR(SUMIF('Oct 22 - Nov 21, 2025'!$A:$A,"LEASE-BH-F24-2025",'Oct 22 - Nov 21, 2025'!$K:$K),0)</f>
        <v>0.0</v>
      </c>
    </row>
    <row r="30">
      <c r="A30" t="inlineStr">
        <is>
          <t>LEASE-BH-F26-2025</t>
        </is>
      </c>
      <c r="B30" t="inlineStr">
        <is>
          <t>Flat 26 - 3 West Gate</t>
        </is>
      </c>
      <c r="C30" t="inlineStr">
        <is>
          <t>Achal (Delegated for Udayan)</t>
        </is>
      </c>
      <c r="D30" t="inlineStr">
        <is>
          <t>Mr Louis Scotting</t>
        </is>
      </c>
      <c r="E30" s="2" t="n">
        <v>45730.0</v>
      </c>
      <c r="F30" t="n">
        <v>14.0</v>
      </c>
      <c r="G30" s="3" t="n">
        <f>IFERROR(SUMIF('Dec 22 - Jan 21, 2025'!$A:$A,"LEASE-BH-F26-2025",'Dec 22 - Jan 21, 2025'!$G:$G),0)+IFERROR(SUMIF('Jan 22 - Feb 21, 2025'!$A:$A,"LEASE-BH-F26-2025",'Jan 22 - Feb 21, 2025'!$G:$G),0)+IFERROR(SUMIF('Feb 22 - Mar 21, 2025'!$A:$A,"LEASE-BH-F26-2025",'Feb 22 - Mar 21, 2025'!$G:$G),0)+IFERROR(SUMIF('Mar 22 - Apr 21, 2025'!$A:$A,"LEASE-BH-F26-2025",'Mar 22 - Apr 21, 2025'!$G:$G),0)+IFERROR(SUMIF('Apr 22 - May 21, 2025'!$A:$A,"LEASE-BH-F26-2025",'Apr 22 - May 21, 2025'!$G:$G),0)+IFERROR(SUMIF('May 22 - Jun 21, 2025'!$A:$A,"LEASE-BH-F26-2025",'May 22 - Jun 21, 2025'!$G:$G),0)+IFERROR(SUMIF('Jun 22 - Jul 21, 2025'!$A:$A,"LEASE-BH-F26-2025",'Jun 22 - Jul 21, 2025'!$G:$G),0)+IFERROR(SUMIF('Jul 22 - Aug 21, 2025'!$A:$A,"LEASE-BH-F26-2025",'Jul 22 - Aug 21, 2025'!$G:$G),0)+IFERROR(SUMIF('Aug 22 - Sep 21, 2025'!$A:$A,"LEASE-BH-F26-2025",'Aug 22 - Sep 21, 2025'!$G:$G),0)+IFERROR(SUMIF('Sep 22 - Oct 21, 2025'!$A:$A,"LEASE-BH-F26-2025",'Sep 22 - Oct 21, 2025'!$G:$G),0)+IFERROR(SUMIF('Oct 22 - Nov 21, 2025'!$A:$A,"LEASE-BH-F26-2025",'Oct 22 - Nov 21, 2025'!$G:$G),0)</f>
        <v>0.0</v>
      </c>
      <c r="H30" s="3" t="n">
        <f>IFERROR(SUMIF('Dec 22 - Jan 21, 2025'!$A:$A,"LEASE-BH-F26-2025",'Dec 22 - Jan 21, 2025'!$H:$H),0)+IFERROR(SUMIF('Jan 22 - Feb 21, 2025'!$A:$A,"LEASE-BH-F26-2025",'Jan 22 - Feb 21, 2025'!$H:$H),0)+IFERROR(SUMIF('Feb 22 - Mar 21, 2025'!$A:$A,"LEASE-BH-F26-2025",'Feb 22 - Mar 21, 2025'!$H:$H),0)+IFERROR(SUMIF('Mar 22 - Apr 21, 2025'!$A:$A,"LEASE-BH-F26-2025",'Mar 22 - Apr 21, 2025'!$H:$H),0)+IFERROR(SUMIF('Apr 22 - May 21, 2025'!$A:$A,"LEASE-BH-F26-2025",'Apr 22 - May 21, 2025'!$H:$H),0)+IFERROR(SUMIF('May 22 - Jun 21, 2025'!$A:$A,"LEASE-BH-F26-2025",'May 22 - Jun 21, 2025'!$H:$H),0)+IFERROR(SUMIF('Jun 22 - Jul 21, 2025'!$A:$A,"LEASE-BH-F26-2025",'Jun 22 - Jul 21, 2025'!$H:$H),0)+IFERROR(SUMIF('Jul 22 - Aug 21, 2025'!$A:$A,"LEASE-BH-F26-2025",'Jul 22 - Aug 21, 2025'!$H:$H),0)+IFERROR(SUMIF('Aug 22 - Sep 21, 2025'!$A:$A,"LEASE-BH-F26-2025",'Aug 22 - Sep 21, 2025'!$H:$H),0)+IFERROR(SUMIF('Sep 22 - Oct 21, 2025'!$A:$A,"LEASE-BH-F26-2025",'Sep 22 - Oct 21, 2025'!$H:$H),0)+IFERROR(SUMIF('Oct 22 - Nov 21, 2025'!$A:$A,"LEASE-BH-F26-2025",'Oct 22 - Nov 21, 2025'!$H:$H),0)</f>
        <v>0.0</v>
      </c>
      <c r="I30" s="3" t="n">
        <f>G30 - H30</f>
        <v>0.0</v>
      </c>
      <c r="J30" s="3" t="n">
        <f>IFERROR(SUMIF('Dec 22 - Jan 21, 2025'!$A:$A,"LEASE-BH-F26-2025",'Dec 22 - Jan 21, 2025'!$L:$L),0)+IFERROR(SUMIF('Jan 22 - Feb 21, 2025'!$A:$A,"LEASE-BH-F26-2025",'Jan 22 - Feb 21, 2025'!$L:$L),0)+IFERROR(SUMIF('Feb 22 - Mar 21, 2025'!$A:$A,"LEASE-BH-F26-2025",'Feb 22 - Mar 21, 2025'!$L:$L),0)+IFERROR(SUMIF('Mar 22 - Apr 21, 2025'!$A:$A,"LEASE-BH-F26-2025",'Mar 22 - Apr 21, 2025'!$L:$L),0)+IFERROR(SUMIF('Apr 22 - May 21, 2025'!$A:$A,"LEASE-BH-F26-2025",'Apr 22 - May 21, 2025'!$L:$L),0)+IFERROR(SUMIF('May 22 - Jun 21, 2025'!$A:$A,"LEASE-BH-F26-2025",'May 22 - Jun 21, 2025'!$L:$L),0)+IFERROR(SUMIF('Jun 22 - Jul 21, 2025'!$A:$A,"LEASE-BH-F26-2025",'Jun 22 - Jul 21, 2025'!$L:$L),0)+IFERROR(SUMIF('Jul 22 - Aug 21, 2025'!$A:$A,"LEASE-BH-F26-2025",'Jul 22 - Aug 21, 2025'!$L:$L),0)+IFERROR(SUMIF('Aug 22 - Sep 21, 2025'!$A:$A,"LEASE-BH-F26-2025",'Aug 22 - Sep 21, 2025'!$L:$L),0)+IFERROR(SUMIF('Sep 22 - Oct 21, 2025'!$A:$A,"LEASE-BH-F26-2025",'Sep 22 - Oct 21, 2025'!$L:$L),0)+IFERROR(SUMIF('Oct 22 - Nov 21, 2025'!$A:$A,"LEASE-BH-F26-2025",'Oct 22 - Nov 21, 2025'!$L:$L),0)</f>
        <v>0.0</v>
      </c>
      <c r="K30" s="3" t="n">
        <f>IFERROR(SUMIF('Dec 22 - Jan 21, 2025'!$A:$A,"LEASE-BH-F26-2025",'Dec 22 - Jan 21, 2025'!$M:$M),0)+IFERROR(SUMIF('Jan 22 - Feb 21, 2025'!$A:$A,"LEASE-BH-F26-2025",'Jan 22 - Feb 21, 2025'!$M:$M),0)+IFERROR(SUMIF('Feb 22 - Mar 21, 2025'!$A:$A,"LEASE-BH-F26-2025",'Feb 22 - Mar 21, 2025'!$M:$M),0)+IFERROR(SUMIF('Mar 22 - Apr 21, 2025'!$A:$A,"LEASE-BH-F26-2025",'Mar 22 - Apr 21, 2025'!$M:$M),0)+IFERROR(SUMIF('Apr 22 - May 21, 2025'!$A:$A,"LEASE-BH-F26-2025",'Apr 22 - May 21, 2025'!$M:$M),0)+IFERROR(SUMIF('May 22 - Jun 21, 2025'!$A:$A,"LEASE-BH-F26-2025",'May 22 - Jun 21, 2025'!$M:$M),0)+IFERROR(SUMIF('Jun 22 - Jul 21, 2025'!$A:$A,"LEASE-BH-F26-2025",'Jun 22 - Jul 21, 2025'!$M:$M),0)+IFERROR(SUMIF('Jul 22 - Aug 21, 2025'!$A:$A,"LEASE-BH-F26-2025",'Jul 22 - Aug 21, 2025'!$M:$M),0)+IFERROR(SUMIF('Aug 22 - Sep 21, 2025'!$A:$A,"LEASE-BH-F26-2025",'Aug 22 - Sep 21, 2025'!$M:$M),0)+IFERROR(SUMIF('Sep 22 - Oct 21, 2025'!$A:$A,"LEASE-BH-F26-2025",'Sep 22 - Oct 21, 2025'!$M:$M),0)+IFERROR(SUMIF('Oct 22 - Nov 21, 2025'!$A:$A,"LEASE-BH-F26-2025",'Oct 22 - Nov 21, 2025'!$M:$M),0)</f>
        <v>0.0</v>
      </c>
      <c r="L30" s="3" t="n">
        <f>IFERROR(SUMIF('Dec 22 - Jan 21, 2025'!$A:$A,"LEASE-BH-F26-2025",'Dec 22 - Jan 21, 2025'!$N:$N),0)+IFERROR(SUMIF('Jan 22 - Feb 21, 2025'!$A:$A,"LEASE-BH-F26-2025",'Jan 22 - Feb 21, 2025'!$N:$N),0)+IFERROR(SUMIF('Feb 22 - Mar 21, 2025'!$A:$A,"LEASE-BH-F26-2025",'Feb 22 - Mar 21, 2025'!$N:$N),0)+IFERROR(SUMIF('Mar 22 - Apr 21, 2025'!$A:$A,"LEASE-BH-F26-2025",'Mar 22 - Apr 21, 2025'!$N:$N),0)+IFERROR(SUMIF('Apr 22 - May 21, 2025'!$A:$A,"LEASE-BH-F26-2025",'Apr 22 - May 21, 2025'!$N:$N),0)+IFERROR(SUMIF('May 22 - Jun 21, 2025'!$A:$A,"LEASE-BH-F26-2025",'May 22 - Jun 21, 2025'!$N:$N),0)+IFERROR(SUMIF('Jun 22 - Jul 21, 2025'!$A:$A,"LEASE-BH-F26-2025",'Jun 22 - Jul 21, 2025'!$N:$N),0)+IFERROR(SUMIF('Jul 22 - Aug 21, 2025'!$A:$A,"LEASE-BH-F26-2025",'Jul 22 - Aug 21, 2025'!$N:$N),0)+IFERROR(SUMIF('Aug 22 - Sep 21, 2025'!$A:$A,"LEASE-BH-F26-2025",'Aug 22 - Sep 21, 2025'!$N:$N),0)+IFERROR(SUMIF('Sep 22 - Oct 21, 2025'!$A:$A,"LEASE-BH-F26-2025",'Sep 22 - Oct 21, 2025'!$N:$N),0)+IFERROR(SUMIF('Oct 22 - Nov 21, 2025'!$A:$A,"LEASE-BH-F26-2025",'Oct 22 - Nov 21, 2025'!$N:$N),0)</f>
        <v>0.0</v>
      </c>
      <c r="M30" s="3" t="n">
        <f>IFERROR(SUMIF('Dec 22 - Jan 21, 2025'!$A:$A,"LEASE-BH-F26-2025",'Dec 22 - Jan 21, 2025'!$O:$O),0)+IFERROR(SUMIF('Jan 22 - Feb 21, 2025'!$A:$A,"LEASE-BH-F26-2025",'Jan 22 - Feb 21, 2025'!$O:$O),0)+IFERROR(SUMIF('Feb 22 - Mar 21, 2025'!$A:$A,"LEASE-BH-F26-2025",'Feb 22 - Mar 21, 2025'!$O:$O),0)+IFERROR(SUMIF('Mar 22 - Apr 21, 2025'!$A:$A,"LEASE-BH-F26-2025",'Mar 22 - Apr 21, 2025'!$O:$O),0)+IFERROR(SUMIF('Apr 22 - May 21, 2025'!$A:$A,"LEASE-BH-F26-2025",'Apr 22 - May 21, 2025'!$O:$O),0)+IFERROR(SUMIF('May 22 - Jun 21, 2025'!$A:$A,"LEASE-BH-F26-2025",'May 22 - Jun 21, 2025'!$O:$O),0)+IFERROR(SUMIF('Jun 22 - Jul 21, 2025'!$A:$A,"LEASE-BH-F26-2025",'Jun 22 - Jul 21, 2025'!$O:$O),0)+IFERROR(SUMIF('Jul 22 - Aug 21, 2025'!$A:$A,"LEASE-BH-F26-2025",'Jul 22 - Aug 21, 2025'!$O:$O),0)+IFERROR(SUMIF('Aug 22 - Sep 21, 2025'!$A:$A,"LEASE-BH-F26-2025",'Aug 22 - Sep 21, 2025'!$O:$O),0)+IFERROR(SUMIF('Sep 22 - Oct 21, 2025'!$A:$A,"LEASE-BH-F26-2025",'Sep 22 - Oct 21, 2025'!$O:$O),0)+IFERROR(SUMIF('Oct 22 - Nov 21, 2025'!$A:$A,"LEASE-BH-F26-2025",'Oct 22 - Nov 21, 2025'!$O:$O),0)</f>
        <v>0.0</v>
      </c>
      <c r="N30" s="3" t="n">
        <f>IFERROR(SUMIF('Dec 22 - Jan 21, 2025'!$A:$A,"LEASE-BH-F26-2025",'Dec 22 - Jan 21, 2025'!$P:$P),0)+IFERROR(SUMIF('Jan 22 - Feb 21, 2025'!$A:$A,"LEASE-BH-F26-2025",'Jan 22 - Feb 21, 2025'!$P:$P),0)+IFERROR(SUMIF('Feb 22 - Mar 21, 2025'!$A:$A,"LEASE-BH-F26-2025",'Feb 22 - Mar 21, 2025'!$P:$P),0)+IFERROR(SUMIF('Mar 22 - Apr 21, 2025'!$A:$A,"LEASE-BH-F26-2025",'Mar 22 - Apr 21, 2025'!$P:$P),0)+IFERROR(SUMIF('Apr 22 - May 21, 2025'!$A:$A,"LEASE-BH-F26-2025",'Apr 22 - May 21, 2025'!$P:$P),0)+IFERROR(SUMIF('May 22 - Jun 21, 2025'!$A:$A,"LEASE-BH-F26-2025",'May 22 - Jun 21, 2025'!$P:$P),0)+IFERROR(SUMIF('Jun 22 - Jul 21, 2025'!$A:$A,"LEASE-BH-F26-2025",'Jun 22 - Jul 21, 2025'!$P:$P),0)+IFERROR(SUMIF('Jul 22 - Aug 21, 2025'!$A:$A,"LEASE-BH-F26-2025",'Jul 22 - Aug 21, 2025'!$P:$P),0)+IFERROR(SUMIF('Aug 22 - Sep 21, 2025'!$A:$A,"LEASE-BH-F26-2025",'Aug 22 - Sep 21, 2025'!$P:$P),0)+IFERROR(SUMIF('Sep 22 - Oct 21, 2025'!$A:$A,"LEASE-BH-F26-2025",'Sep 22 - Oct 21, 2025'!$P:$P),0)+IFERROR(SUMIF('Oct 22 - Nov 21, 2025'!$A:$A,"LEASE-BH-F26-2025",'Oct 22 - Nov 21, 2025'!$P:$P),0)</f>
        <v>0.0</v>
      </c>
      <c r="O30" s="3" t="n">
        <f>IFERROR(SUMIF('Dec 22 - Jan 21, 2025'!$A:$A,"LEASE-BH-F26-2025",'Dec 22 - Jan 21, 2025'!$I:$I),0)</f>
        <v>0.0</v>
      </c>
      <c r="P30" s="3" t="n">
        <f>IFERROR(SUMIF('Oct 22 - Nov 21, 2025'!$A:$A,"LEASE-BH-F26-2025",'Oct 22 - Nov 21, 2025'!$K:$K),0)</f>
        <v>0.0</v>
      </c>
    </row>
    <row r="31">
      <c r="A31" t="inlineStr">
        <is>
          <t>LEASE-BH-F27-2025</t>
        </is>
      </c>
      <c r="B31" t="inlineStr">
        <is>
          <t>Flat 27 - 3 West Gate</t>
        </is>
      </c>
      <c r="C31" t="inlineStr">
        <is>
          <t>Achal (Delegated for Udayan)</t>
        </is>
      </c>
      <c r="D31" t="inlineStr">
        <is>
          <t>Miss Sophie Murray</t>
        </is>
      </c>
      <c r="E31" s="2" t="n">
        <v>45716.0</v>
      </c>
      <c r="F31" t="n">
        <v>30.0</v>
      </c>
      <c r="G31" s="3" t="n">
        <f>IFERROR(SUMIF('Dec 22 - Jan 21, 2025'!$A:$A,"LEASE-BH-F27-2025",'Dec 22 - Jan 21, 2025'!$G:$G),0)+IFERROR(SUMIF('Jan 22 - Feb 21, 2025'!$A:$A,"LEASE-BH-F27-2025",'Jan 22 - Feb 21, 2025'!$G:$G),0)+IFERROR(SUMIF('Feb 22 - Mar 21, 2025'!$A:$A,"LEASE-BH-F27-2025",'Feb 22 - Mar 21, 2025'!$G:$G),0)+IFERROR(SUMIF('Mar 22 - Apr 21, 2025'!$A:$A,"LEASE-BH-F27-2025",'Mar 22 - Apr 21, 2025'!$G:$G),0)+IFERROR(SUMIF('Apr 22 - May 21, 2025'!$A:$A,"LEASE-BH-F27-2025",'Apr 22 - May 21, 2025'!$G:$G),0)+IFERROR(SUMIF('May 22 - Jun 21, 2025'!$A:$A,"LEASE-BH-F27-2025",'May 22 - Jun 21, 2025'!$G:$G),0)+IFERROR(SUMIF('Jun 22 - Jul 21, 2025'!$A:$A,"LEASE-BH-F27-2025",'Jun 22 - Jul 21, 2025'!$G:$G),0)+IFERROR(SUMIF('Jul 22 - Aug 21, 2025'!$A:$A,"LEASE-BH-F27-2025",'Jul 22 - Aug 21, 2025'!$G:$G),0)+IFERROR(SUMIF('Aug 22 - Sep 21, 2025'!$A:$A,"LEASE-BH-F27-2025",'Aug 22 - Sep 21, 2025'!$G:$G),0)+IFERROR(SUMIF('Sep 22 - Oct 21, 2025'!$A:$A,"LEASE-BH-F27-2025",'Sep 22 - Oct 21, 2025'!$G:$G),0)+IFERROR(SUMIF('Oct 22 - Nov 21, 2025'!$A:$A,"LEASE-BH-F27-2025",'Oct 22 - Nov 21, 2025'!$G:$G),0)</f>
        <v>0.0</v>
      </c>
      <c r="H31" s="3" t="n">
        <f>IFERROR(SUMIF('Dec 22 - Jan 21, 2025'!$A:$A,"LEASE-BH-F27-2025",'Dec 22 - Jan 21, 2025'!$H:$H),0)+IFERROR(SUMIF('Jan 22 - Feb 21, 2025'!$A:$A,"LEASE-BH-F27-2025",'Jan 22 - Feb 21, 2025'!$H:$H),0)+IFERROR(SUMIF('Feb 22 - Mar 21, 2025'!$A:$A,"LEASE-BH-F27-2025",'Feb 22 - Mar 21, 2025'!$H:$H),0)+IFERROR(SUMIF('Mar 22 - Apr 21, 2025'!$A:$A,"LEASE-BH-F27-2025",'Mar 22 - Apr 21, 2025'!$H:$H),0)+IFERROR(SUMIF('Apr 22 - May 21, 2025'!$A:$A,"LEASE-BH-F27-2025",'Apr 22 - May 21, 2025'!$H:$H),0)+IFERROR(SUMIF('May 22 - Jun 21, 2025'!$A:$A,"LEASE-BH-F27-2025",'May 22 - Jun 21, 2025'!$H:$H),0)+IFERROR(SUMIF('Jun 22 - Jul 21, 2025'!$A:$A,"LEASE-BH-F27-2025",'Jun 22 - Jul 21, 2025'!$H:$H),0)+IFERROR(SUMIF('Jul 22 - Aug 21, 2025'!$A:$A,"LEASE-BH-F27-2025",'Jul 22 - Aug 21, 2025'!$H:$H),0)+IFERROR(SUMIF('Aug 22 - Sep 21, 2025'!$A:$A,"LEASE-BH-F27-2025",'Aug 22 - Sep 21, 2025'!$H:$H),0)+IFERROR(SUMIF('Sep 22 - Oct 21, 2025'!$A:$A,"LEASE-BH-F27-2025",'Sep 22 - Oct 21, 2025'!$H:$H),0)+IFERROR(SUMIF('Oct 22 - Nov 21, 2025'!$A:$A,"LEASE-BH-F27-2025",'Oct 22 - Nov 21, 2025'!$H:$H),0)</f>
        <v>0.0</v>
      </c>
      <c r="I31" s="3" t="n">
        <f>G31 - H31</f>
        <v>0.0</v>
      </c>
      <c r="J31" s="3" t="n">
        <f>IFERROR(SUMIF('Dec 22 - Jan 21, 2025'!$A:$A,"LEASE-BH-F27-2025",'Dec 22 - Jan 21, 2025'!$L:$L),0)+IFERROR(SUMIF('Jan 22 - Feb 21, 2025'!$A:$A,"LEASE-BH-F27-2025",'Jan 22 - Feb 21, 2025'!$L:$L),0)+IFERROR(SUMIF('Feb 22 - Mar 21, 2025'!$A:$A,"LEASE-BH-F27-2025",'Feb 22 - Mar 21, 2025'!$L:$L),0)+IFERROR(SUMIF('Mar 22 - Apr 21, 2025'!$A:$A,"LEASE-BH-F27-2025",'Mar 22 - Apr 21, 2025'!$L:$L),0)+IFERROR(SUMIF('Apr 22 - May 21, 2025'!$A:$A,"LEASE-BH-F27-2025",'Apr 22 - May 21, 2025'!$L:$L),0)+IFERROR(SUMIF('May 22 - Jun 21, 2025'!$A:$A,"LEASE-BH-F27-2025",'May 22 - Jun 21, 2025'!$L:$L),0)+IFERROR(SUMIF('Jun 22 - Jul 21, 2025'!$A:$A,"LEASE-BH-F27-2025",'Jun 22 - Jul 21, 2025'!$L:$L),0)+IFERROR(SUMIF('Jul 22 - Aug 21, 2025'!$A:$A,"LEASE-BH-F27-2025",'Jul 22 - Aug 21, 2025'!$L:$L),0)+IFERROR(SUMIF('Aug 22 - Sep 21, 2025'!$A:$A,"LEASE-BH-F27-2025",'Aug 22 - Sep 21, 2025'!$L:$L),0)+IFERROR(SUMIF('Sep 22 - Oct 21, 2025'!$A:$A,"LEASE-BH-F27-2025",'Sep 22 - Oct 21, 2025'!$L:$L),0)+IFERROR(SUMIF('Oct 22 - Nov 21, 2025'!$A:$A,"LEASE-BH-F27-2025",'Oct 22 - Nov 21, 2025'!$L:$L),0)</f>
        <v>0.0</v>
      </c>
      <c r="K31" s="3" t="n">
        <f>IFERROR(SUMIF('Dec 22 - Jan 21, 2025'!$A:$A,"LEASE-BH-F27-2025",'Dec 22 - Jan 21, 2025'!$M:$M),0)+IFERROR(SUMIF('Jan 22 - Feb 21, 2025'!$A:$A,"LEASE-BH-F27-2025",'Jan 22 - Feb 21, 2025'!$M:$M),0)+IFERROR(SUMIF('Feb 22 - Mar 21, 2025'!$A:$A,"LEASE-BH-F27-2025",'Feb 22 - Mar 21, 2025'!$M:$M),0)+IFERROR(SUMIF('Mar 22 - Apr 21, 2025'!$A:$A,"LEASE-BH-F27-2025",'Mar 22 - Apr 21, 2025'!$M:$M),0)+IFERROR(SUMIF('Apr 22 - May 21, 2025'!$A:$A,"LEASE-BH-F27-2025",'Apr 22 - May 21, 2025'!$M:$M),0)+IFERROR(SUMIF('May 22 - Jun 21, 2025'!$A:$A,"LEASE-BH-F27-2025",'May 22 - Jun 21, 2025'!$M:$M),0)+IFERROR(SUMIF('Jun 22 - Jul 21, 2025'!$A:$A,"LEASE-BH-F27-2025",'Jun 22 - Jul 21, 2025'!$M:$M),0)+IFERROR(SUMIF('Jul 22 - Aug 21, 2025'!$A:$A,"LEASE-BH-F27-2025",'Jul 22 - Aug 21, 2025'!$M:$M),0)+IFERROR(SUMIF('Aug 22 - Sep 21, 2025'!$A:$A,"LEASE-BH-F27-2025",'Aug 22 - Sep 21, 2025'!$M:$M),0)+IFERROR(SUMIF('Sep 22 - Oct 21, 2025'!$A:$A,"LEASE-BH-F27-2025",'Sep 22 - Oct 21, 2025'!$M:$M),0)+IFERROR(SUMIF('Oct 22 - Nov 21, 2025'!$A:$A,"LEASE-BH-F27-2025",'Oct 22 - Nov 21, 2025'!$M:$M),0)</f>
        <v>0.0</v>
      </c>
      <c r="L31" s="3" t="n">
        <f>IFERROR(SUMIF('Dec 22 - Jan 21, 2025'!$A:$A,"LEASE-BH-F27-2025",'Dec 22 - Jan 21, 2025'!$N:$N),0)+IFERROR(SUMIF('Jan 22 - Feb 21, 2025'!$A:$A,"LEASE-BH-F27-2025",'Jan 22 - Feb 21, 2025'!$N:$N),0)+IFERROR(SUMIF('Feb 22 - Mar 21, 2025'!$A:$A,"LEASE-BH-F27-2025",'Feb 22 - Mar 21, 2025'!$N:$N),0)+IFERROR(SUMIF('Mar 22 - Apr 21, 2025'!$A:$A,"LEASE-BH-F27-2025",'Mar 22 - Apr 21, 2025'!$N:$N),0)+IFERROR(SUMIF('Apr 22 - May 21, 2025'!$A:$A,"LEASE-BH-F27-2025",'Apr 22 - May 21, 2025'!$N:$N),0)+IFERROR(SUMIF('May 22 - Jun 21, 2025'!$A:$A,"LEASE-BH-F27-2025",'May 22 - Jun 21, 2025'!$N:$N),0)+IFERROR(SUMIF('Jun 22 - Jul 21, 2025'!$A:$A,"LEASE-BH-F27-2025",'Jun 22 - Jul 21, 2025'!$N:$N),0)+IFERROR(SUMIF('Jul 22 - Aug 21, 2025'!$A:$A,"LEASE-BH-F27-2025",'Jul 22 - Aug 21, 2025'!$N:$N),0)+IFERROR(SUMIF('Aug 22 - Sep 21, 2025'!$A:$A,"LEASE-BH-F27-2025",'Aug 22 - Sep 21, 2025'!$N:$N),0)+IFERROR(SUMIF('Sep 22 - Oct 21, 2025'!$A:$A,"LEASE-BH-F27-2025",'Sep 22 - Oct 21, 2025'!$N:$N),0)+IFERROR(SUMIF('Oct 22 - Nov 21, 2025'!$A:$A,"LEASE-BH-F27-2025",'Oct 22 - Nov 21, 2025'!$N:$N),0)</f>
        <v>0.0</v>
      </c>
      <c r="M31" s="3" t="n">
        <f>IFERROR(SUMIF('Dec 22 - Jan 21, 2025'!$A:$A,"LEASE-BH-F27-2025",'Dec 22 - Jan 21, 2025'!$O:$O),0)+IFERROR(SUMIF('Jan 22 - Feb 21, 2025'!$A:$A,"LEASE-BH-F27-2025",'Jan 22 - Feb 21, 2025'!$O:$O),0)+IFERROR(SUMIF('Feb 22 - Mar 21, 2025'!$A:$A,"LEASE-BH-F27-2025",'Feb 22 - Mar 21, 2025'!$O:$O),0)+IFERROR(SUMIF('Mar 22 - Apr 21, 2025'!$A:$A,"LEASE-BH-F27-2025",'Mar 22 - Apr 21, 2025'!$O:$O),0)+IFERROR(SUMIF('Apr 22 - May 21, 2025'!$A:$A,"LEASE-BH-F27-2025",'Apr 22 - May 21, 2025'!$O:$O),0)+IFERROR(SUMIF('May 22 - Jun 21, 2025'!$A:$A,"LEASE-BH-F27-2025",'May 22 - Jun 21, 2025'!$O:$O),0)+IFERROR(SUMIF('Jun 22 - Jul 21, 2025'!$A:$A,"LEASE-BH-F27-2025",'Jun 22 - Jul 21, 2025'!$O:$O),0)+IFERROR(SUMIF('Jul 22 - Aug 21, 2025'!$A:$A,"LEASE-BH-F27-2025",'Jul 22 - Aug 21, 2025'!$O:$O),0)+IFERROR(SUMIF('Aug 22 - Sep 21, 2025'!$A:$A,"LEASE-BH-F27-2025",'Aug 22 - Sep 21, 2025'!$O:$O),0)+IFERROR(SUMIF('Sep 22 - Oct 21, 2025'!$A:$A,"LEASE-BH-F27-2025",'Sep 22 - Oct 21, 2025'!$O:$O),0)+IFERROR(SUMIF('Oct 22 - Nov 21, 2025'!$A:$A,"LEASE-BH-F27-2025",'Oct 22 - Nov 21, 2025'!$O:$O),0)</f>
        <v>0.0</v>
      </c>
      <c r="N31" s="3" t="n">
        <f>IFERROR(SUMIF('Dec 22 - Jan 21, 2025'!$A:$A,"LEASE-BH-F27-2025",'Dec 22 - Jan 21, 2025'!$P:$P),0)+IFERROR(SUMIF('Jan 22 - Feb 21, 2025'!$A:$A,"LEASE-BH-F27-2025",'Jan 22 - Feb 21, 2025'!$P:$P),0)+IFERROR(SUMIF('Feb 22 - Mar 21, 2025'!$A:$A,"LEASE-BH-F27-2025",'Feb 22 - Mar 21, 2025'!$P:$P),0)+IFERROR(SUMIF('Mar 22 - Apr 21, 2025'!$A:$A,"LEASE-BH-F27-2025",'Mar 22 - Apr 21, 2025'!$P:$P),0)+IFERROR(SUMIF('Apr 22 - May 21, 2025'!$A:$A,"LEASE-BH-F27-2025",'Apr 22 - May 21, 2025'!$P:$P),0)+IFERROR(SUMIF('May 22 - Jun 21, 2025'!$A:$A,"LEASE-BH-F27-2025",'May 22 - Jun 21, 2025'!$P:$P),0)+IFERROR(SUMIF('Jun 22 - Jul 21, 2025'!$A:$A,"LEASE-BH-F27-2025",'Jun 22 - Jul 21, 2025'!$P:$P),0)+IFERROR(SUMIF('Jul 22 - Aug 21, 2025'!$A:$A,"LEASE-BH-F27-2025",'Jul 22 - Aug 21, 2025'!$P:$P),0)+IFERROR(SUMIF('Aug 22 - Sep 21, 2025'!$A:$A,"LEASE-BH-F27-2025",'Aug 22 - Sep 21, 2025'!$P:$P),0)+IFERROR(SUMIF('Sep 22 - Oct 21, 2025'!$A:$A,"LEASE-BH-F27-2025",'Sep 22 - Oct 21, 2025'!$P:$P),0)+IFERROR(SUMIF('Oct 22 - Nov 21, 2025'!$A:$A,"LEASE-BH-F27-2025",'Oct 22 - Nov 21, 2025'!$P:$P),0)</f>
        <v>0.0</v>
      </c>
      <c r="O31" s="3" t="n">
        <f>IFERROR(SUMIF('Dec 22 - Jan 21, 2025'!$A:$A,"LEASE-BH-F27-2025",'Dec 22 - Jan 21, 2025'!$I:$I),0)</f>
        <v>0.0</v>
      </c>
      <c r="P31" s="3" t="n">
        <f>IFERROR(SUMIF('Oct 22 - Nov 21, 2025'!$A:$A,"LEASE-BH-F27-2025",'Oct 22 - Nov 21, 2025'!$K:$K),0)</f>
        <v>0.0</v>
      </c>
    </row>
    <row r="32">
      <c r="A32" t="inlineStr">
        <is>
          <t>LEASE-BH-F28-2025</t>
        </is>
      </c>
      <c r="B32" t="inlineStr">
        <is>
          <t>Flat 28 - 3 West Gate</t>
        </is>
      </c>
      <c r="C32" t="inlineStr">
        <is>
          <t>Achal (Delegated for Udayan)</t>
        </is>
      </c>
      <c r="D32" t="inlineStr">
        <is>
          <t>Ms Shiu Lun Cheung, Mr Chi Man Poon</t>
        </is>
      </c>
      <c r="E32" s="2" t="n">
        <v>45744.0</v>
      </c>
      <c r="F32" t="n">
        <v>18.0</v>
      </c>
      <c r="G32" s="3" t="n">
        <f>IFERROR(SUMIF('Dec 22 - Jan 21, 2025'!$A:$A,"LEASE-BH-F28-2025",'Dec 22 - Jan 21, 2025'!$G:$G),0)+IFERROR(SUMIF('Jan 22 - Feb 21, 2025'!$A:$A,"LEASE-BH-F28-2025",'Jan 22 - Feb 21, 2025'!$G:$G),0)+IFERROR(SUMIF('Feb 22 - Mar 21, 2025'!$A:$A,"LEASE-BH-F28-2025",'Feb 22 - Mar 21, 2025'!$G:$G),0)+IFERROR(SUMIF('Mar 22 - Apr 21, 2025'!$A:$A,"LEASE-BH-F28-2025",'Mar 22 - Apr 21, 2025'!$G:$G),0)+IFERROR(SUMIF('Apr 22 - May 21, 2025'!$A:$A,"LEASE-BH-F28-2025",'Apr 22 - May 21, 2025'!$G:$G),0)+IFERROR(SUMIF('May 22 - Jun 21, 2025'!$A:$A,"LEASE-BH-F28-2025",'May 22 - Jun 21, 2025'!$G:$G),0)+IFERROR(SUMIF('Jun 22 - Jul 21, 2025'!$A:$A,"LEASE-BH-F28-2025",'Jun 22 - Jul 21, 2025'!$G:$G),0)+IFERROR(SUMIF('Jul 22 - Aug 21, 2025'!$A:$A,"LEASE-BH-F28-2025",'Jul 22 - Aug 21, 2025'!$G:$G),0)+IFERROR(SUMIF('Aug 22 - Sep 21, 2025'!$A:$A,"LEASE-BH-F28-2025",'Aug 22 - Sep 21, 2025'!$G:$G),0)+IFERROR(SUMIF('Sep 22 - Oct 21, 2025'!$A:$A,"LEASE-BH-F28-2025",'Sep 22 - Oct 21, 2025'!$G:$G),0)+IFERROR(SUMIF('Oct 22 - Nov 21, 2025'!$A:$A,"LEASE-BH-F28-2025",'Oct 22 - Nov 21, 2025'!$G:$G),0)</f>
        <v>0.0</v>
      </c>
      <c r="H32" s="3" t="n">
        <f>IFERROR(SUMIF('Dec 22 - Jan 21, 2025'!$A:$A,"LEASE-BH-F28-2025",'Dec 22 - Jan 21, 2025'!$H:$H),0)+IFERROR(SUMIF('Jan 22 - Feb 21, 2025'!$A:$A,"LEASE-BH-F28-2025",'Jan 22 - Feb 21, 2025'!$H:$H),0)+IFERROR(SUMIF('Feb 22 - Mar 21, 2025'!$A:$A,"LEASE-BH-F28-2025",'Feb 22 - Mar 21, 2025'!$H:$H),0)+IFERROR(SUMIF('Mar 22 - Apr 21, 2025'!$A:$A,"LEASE-BH-F28-2025",'Mar 22 - Apr 21, 2025'!$H:$H),0)+IFERROR(SUMIF('Apr 22 - May 21, 2025'!$A:$A,"LEASE-BH-F28-2025",'Apr 22 - May 21, 2025'!$H:$H),0)+IFERROR(SUMIF('May 22 - Jun 21, 2025'!$A:$A,"LEASE-BH-F28-2025",'May 22 - Jun 21, 2025'!$H:$H),0)+IFERROR(SUMIF('Jun 22 - Jul 21, 2025'!$A:$A,"LEASE-BH-F28-2025",'Jun 22 - Jul 21, 2025'!$H:$H),0)+IFERROR(SUMIF('Jul 22 - Aug 21, 2025'!$A:$A,"LEASE-BH-F28-2025",'Jul 22 - Aug 21, 2025'!$H:$H),0)+IFERROR(SUMIF('Aug 22 - Sep 21, 2025'!$A:$A,"LEASE-BH-F28-2025",'Aug 22 - Sep 21, 2025'!$H:$H),0)+IFERROR(SUMIF('Sep 22 - Oct 21, 2025'!$A:$A,"LEASE-BH-F28-2025",'Sep 22 - Oct 21, 2025'!$H:$H),0)+IFERROR(SUMIF('Oct 22 - Nov 21, 2025'!$A:$A,"LEASE-BH-F28-2025",'Oct 22 - Nov 21, 2025'!$H:$H),0)</f>
        <v>0.0</v>
      </c>
      <c r="I32" s="3" t="n">
        <f>G32 - H32</f>
        <v>0.0</v>
      </c>
      <c r="J32" s="3" t="n">
        <f>IFERROR(SUMIF('Dec 22 - Jan 21, 2025'!$A:$A,"LEASE-BH-F28-2025",'Dec 22 - Jan 21, 2025'!$L:$L),0)+IFERROR(SUMIF('Jan 22 - Feb 21, 2025'!$A:$A,"LEASE-BH-F28-2025",'Jan 22 - Feb 21, 2025'!$L:$L),0)+IFERROR(SUMIF('Feb 22 - Mar 21, 2025'!$A:$A,"LEASE-BH-F28-2025",'Feb 22 - Mar 21, 2025'!$L:$L),0)+IFERROR(SUMIF('Mar 22 - Apr 21, 2025'!$A:$A,"LEASE-BH-F28-2025",'Mar 22 - Apr 21, 2025'!$L:$L),0)+IFERROR(SUMIF('Apr 22 - May 21, 2025'!$A:$A,"LEASE-BH-F28-2025",'Apr 22 - May 21, 2025'!$L:$L),0)+IFERROR(SUMIF('May 22 - Jun 21, 2025'!$A:$A,"LEASE-BH-F28-2025",'May 22 - Jun 21, 2025'!$L:$L),0)+IFERROR(SUMIF('Jun 22 - Jul 21, 2025'!$A:$A,"LEASE-BH-F28-2025",'Jun 22 - Jul 21, 2025'!$L:$L),0)+IFERROR(SUMIF('Jul 22 - Aug 21, 2025'!$A:$A,"LEASE-BH-F28-2025",'Jul 22 - Aug 21, 2025'!$L:$L),0)+IFERROR(SUMIF('Aug 22 - Sep 21, 2025'!$A:$A,"LEASE-BH-F28-2025",'Aug 22 - Sep 21, 2025'!$L:$L),0)+IFERROR(SUMIF('Sep 22 - Oct 21, 2025'!$A:$A,"LEASE-BH-F28-2025",'Sep 22 - Oct 21, 2025'!$L:$L),0)+IFERROR(SUMIF('Oct 22 - Nov 21, 2025'!$A:$A,"LEASE-BH-F28-2025",'Oct 22 - Nov 21, 2025'!$L:$L),0)</f>
        <v>0.0</v>
      </c>
      <c r="K32" s="3" t="n">
        <f>IFERROR(SUMIF('Dec 22 - Jan 21, 2025'!$A:$A,"LEASE-BH-F28-2025",'Dec 22 - Jan 21, 2025'!$M:$M),0)+IFERROR(SUMIF('Jan 22 - Feb 21, 2025'!$A:$A,"LEASE-BH-F28-2025",'Jan 22 - Feb 21, 2025'!$M:$M),0)+IFERROR(SUMIF('Feb 22 - Mar 21, 2025'!$A:$A,"LEASE-BH-F28-2025",'Feb 22 - Mar 21, 2025'!$M:$M),0)+IFERROR(SUMIF('Mar 22 - Apr 21, 2025'!$A:$A,"LEASE-BH-F28-2025",'Mar 22 - Apr 21, 2025'!$M:$M),0)+IFERROR(SUMIF('Apr 22 - May 21, 2025'!$A:$A,"LEASE-BH-F28-2025",'Apr 22 - May 21, 2025'!$M:$M),0)+IFERROR(SUMIF('May 22 - Jun 21, 2025'!$A:$A,"LEASE-BH-F28-2025",'May 22 - Jun 21, 2025'!$M:$M),0)+IFERROR(SUMIF('Jun 22 - Jul 21, 2025'!$A:$A,"LEASE-BH-F28-2025",'Jun 22 - Jul 21, 2025'!$M:$M),0)+IFERROR(SUMIF('Jul 22 - Aug 21, 2025'!$A:$A,"LEASE-BH-F28-2025",'Jul 22 - Aug 21, 2025'!$M:$M),0)+IFERROR(SUMIF('Aug 22 - Sep 21, 2025'!$A:$A,"LEASE-BH-F28-2025",'Aug 22 - Sep 21, 2025'!$M:$M),0)+IFERROR(SUMIF('Sep 22 - Oct 21, 2025'!$A:$A,"LEASE-BH-F28-2025",'Sep 22 - Oct 21, 2025'!$M:$M),0)+IFERROR(SUMIF('Oct 22 - Nov 21, 2025'!$A:$A,"LEASE-BH-F28-2025",'Oct 22 - Nov 21, 2025'!$M:$M),0)</f>
        <v>0.0</v>
      </c>
      <c r="L32" s="3" t="n">
        <f>IFERROR(SUMIF('Dec 22 - Jan 21, 2025'!$A:$A,"LEASE-BH-F28-2025",'Dec 22 - Jan 21, 2025'!$N:$N),0)+IFERROR(SUMIF('Jan 22 - Feb 21, 2025'!$A:$A,"LEASE-BH-F28-2025",'Jan 22 - Feb 21, 2025'!$N:$N),0)+IFERROR(SUMIF('Feb 22 - Mar 21, 2025'!$A:$A,"LEASE-BH-F28-2025",'Feb 22 - Mar 21, 2025'!$N:$N),0)+IFERROR(SUMIF('Mar 22 - Apr 21, 2025'!$A:$A,"LEASE-BH-F28-2025",'Mar 22 - Apr 21, 2025'!$N:$N),0)+IFERROR(SUMIF('Apr 22 - May 21, 2025'!$A:$A,"LEASE-BH-F28-2025",'Apr 22 - May 21, 2025'!$N:$N),0)+IFERROR(SUMIF('May 22 - Jun 21, 2025'!$A:$A,"LEASE-BH-F28-2025",'May 22 - Jun 21, 2025'!$N:$N),0)+IFERROR(SUMIF('Jun 22 - Jul 21, 2025'!$A:$A,"LEASE-BH-F28-2025",'Jun 22 - Jul 21, 2025'!$N:$N),0)+IFERROR(SUMIF('Jul 22 - Aug 21, 2025'!$A:$A,"LEASE-BH-F28-2025",'Jul 22 - Aug 21, 2025'!$N:$N),0)+IFERROR(SUMIF('Aug 22 - Sep 21, 2025'!$A:$A,"LEASE-BH-F28-2025",'Aug 22 - Sep 21, 2025'!$N:$N),0)+IFERROR(SUMIF('Sep 22 - Oct 21, 2025'!$A:$A,"LEASE-BH-F28-2025",'Sep 22 - Oct 21, 2025'!$N:$N),0)+IFERROR(SUMIF('Oct 22 - Nov 21, 2025'!$A:$A,"LEASE-BH-F28-2025",'Oct 22 - Nov 21, 2025'!$N:$N),0)</f>
        <v>0.0</v>
      </c>
      <c r="M32" s="3" t="n">
        <f>IFERROR(SUMIF('Dec 22 - Jan 21, 2025'!$A:$A,"LEASE-BH-F28-2025",'Dec 22 - Jan 21, 2025'!$O:$O),0)+IFERROR(SUMIF('Jan 22 - Feb 21, 2025'!$A:$A,"LEASE-BH-F28-2025",'Jan 22 - Feb 21, 2025'!$O:$O),0)+IFERROR(SUMIF('Feb 22 - Mar 21, 2025'!$A:$A,"LEASE-BH-F28-2025",'Feb 22 - Mar 21, 2025'!$O:$O),0)+IFERROR(SUMIF('Mar 22 - Apr 21, 2025'!$A:$A,"LEASE-BH-F28-2025",'Mar 22 - Apr 21, 2025'!$O:$O),0)+IFERROR(SUMIF('Apr 22 - May 21, 2025'!$A:$A,"LEASE-BH-F28-2025",'Apr 22 - May 21, 2025'!$O:$O),0)+IFERROR(SUMIF('May 22 - Jun 21, 2025'!$A:$A,"LEASE-BH-F28-2025",'May 22 - Jun 21, 2025'!$O:$O),0)+IFERROR(SUMIF('Jun 22 - Jul 21, 2025'!$A:$A,"LEASE-BH-F28-2025",'Jun 22 - Jul 21, 2025'!$O:$O),0)+IFERROR(SUMIF('Jul 22 - Aug 21, 2025'!$A:$A,"LEASE-BH-F28-2025",'Jul 22 - Aug 21, 2025'!$O:$O),0)+IFERROR(SUMIF('Aug 22 - Sep 21, 2025'!$A:$A,"LEASE-BH-F28-2025",'Aug 22 - Sep 21, 2025'!$O:$O),0)+IFERROR(SUMIF('Sep 22 - Oct 21, 2025'!$A:$A,"LEASE-BH-F28-2025",'Sep 22 - Oct 21, 2025'!$O:$O),0)+IFERROR(SUMIF('Oct 22 - Nov 21, 2025'!$A:$A,"LEASE-BH-F28-2025",'Oct 22 - Nov 21, 2025'!$O:$O),0)</f>
        <v>0.0</v>
      </c>
      <c r="N32" s="3" t="n">
        <f>IFERROR(SUMIF('Dec 22 - Jan 21, 2025'!$A:$A,"LEASE-BH-F28-2025",'Dec 22 - Jan 21, 2025'!$P:$P),0)+IFERROR(SUMIF('Jan 22 - Feb 21, 2025'!$A:$A,"LEASE-BH-F28-2025",'Jan 22 - Feb 21, 2025'!$P:$P),0)+IFERROR(SUMIF('Feb 22 - Mar 21, 2025'!$A:$A,"LEASE-BH-F28-2025",'Feb 22 - Mar 21, 2025'!$P:$P),0)+IFERROR(SUMIF('Mar 22 - Apr 21, 2025'!$A:$A,"LEASE-BH-F28-2025",'Mar 22 - Apr 21, 2025'!$P:$P),0)+IFERROR(SUMIF('Apr 22 - May 21, 2025'!$A:$A,"LEASE-BH-F28-2025",'Apr 22 - May 21, 2025'!$P:$P),0)+IFERROR(SUMIF('May 22 - Jun 21, 2025'!$A:$A,"LEASE-BH-F28-2025",'May 22 - Jun 21, 2025'!$P:$P),0)+IFERROR(SUMIF('Jun 22 - Jul 21, 2025'!$A:$A,"LEASE-BH-F28-2025",'Jun 22 - Jul 21, 2025'!$P:$P),0)+IFERROR(SUMIF('Jul 22 - Aug 21, 2025'!$A:$A,"LEASE-BH-F28-2025",'Jul 22 - Aug 21, 2025'!$P:$P),0)+IFERROR(SUMIF('Aug 22 - Sep 21, 2025'!$A:$A,"LEASE-BH-F28-2025",'Aug 22 - Sep 21, 2025'!$P:$P),0)+IFERROR(SUMIF('Sep 22 - Oct 21, 2025'!$A:$A,"LEASE-BH-F28-2025",'Sep 22 - Oct 21, 2025'!$P:$P),0)+IFERROR(SUMIF('Oct 22 - Nov 21, 2025'!$A:$A,"LEASE-BH-F28-2025",'Oct 22 - Nov 21, 2025'!$P:$P),0)</f>
        <v>0.0</v>
      </c>
      <c r="O32" s="3" t="n">
        <f>IFERROR(SUMIF('Dec 22 - Jan 21, 2025'!$A:$A,"LEASE-BH-F28-2025",'Dec 22 - Jan 21, 2025'!$I:$I),0)</f>
        <v>0.0</v>
      </c>
      <c r="P32" s="3" t="n">
        <f>IFERROR(SUMIF('Oct 22 - Nov 21, 2025'!$A:$A,"LEASE-BH-F28-2025",'Oct 22 - Nov 21, 2025'!$K:$K),0)</f>
        <v>0.0</v>
      </c>
    </row>
    <row r="33">
      <c r="A33" t="inlineStr">
        <is>
          <t>LEASE-BH-F29-2025</t>
        </is>
      </c>
      <c r="B33" t="inlineStr">
        <is>
          <t>Flat 29 - 3 West Gate</t>
        </is>
      </c>
      <c r="C33" t="inlineStr">
        <is>
          <t>Achal (Delegated for Udayan)</t>
        </is>
      </c>
      <c r="D33" t="inlineStr">
        <is>
          <t>Mrs Margaret Fritchley</t>
        </is>
      </c>
      <c r="E33" s="2" t="n">
        <v>45715.0</v>
      </c>
      <c r="F33" t="n">
        <v>27.0</v>
      </c>
      <c r="G33" s="3" t="n">
        <f>IFERROR(SUMIF('Dec 22 - Jan 21, 2025'!$A:$A,"LEASE-BH-F29-2025",'Dec 22 - Jan 21, 2025'!$G:$G),0)+IFERROR(SUMIF('Jan 22 - Feb 21, 2025'!$A:$A,"LEASE-BH-F29-2025",'Jan 22 - Feb 21, 2025'!$G:$G),0)+IFERROR(SUMIF('Feb 22 - Mar 21, 2025'!$A:$A,"LEASE-BH-F29-2025",'Feb 22 - Mar 21, 2025'!$G:$G),0)+IFERROR(SUMIF('Mar 22 - Apr 21, 2025'!$A:$A,"LEASE-BH-F29-2025",'Mar 22 - Apr 21, 2025'!$G:$G),0)+IFERROR(SUMIF('Apr 22 - May 21, 2025'!$A:$A,"LEASE-BH-F29-2025",'Apr 22 - May 21, 2025'!$G:$G),0)+IFERROR(SUMIF('May 22 - Jun 21, 2025'!$A:$A,"LEASE-BH-F29-2025",'May 22 - Jun 21, 2025'!$G:$G),0)+IFERROR(SUMIF('Jun 22 - Jul 21, 2025'!$A:$A,"LEASE-BH-F29-2025",'Jun 22 - Jul 21, 2025'!$G:$G),0)+IFERROR(SUMIF('Jul 22 - Aug 21, 2025'!$A:$A,"LEASE-BH-F29-2025",'Jul 22 - Aug 21, 2025'!$G:$G),0)+IFERROR(SUMIF('Aug 22 - Sep 21, 2025'!$A:$A,"LEASE-BH-F29-2025",'Aug 22 - Sep 21, 2025'!$G:$G),0)+IFERROR(SUMIF('Sep 22 - Oct 21, 2025'!$A:$A,"LEASE-BH-F29-2025",'Sep 22 - Oct 21, 2025'!$G:$G),0)+IFERROR(SUMIF('Oct 22 - Nov 21, 2025'!$A:$A,"LEASE-BH-F29-2025",'Oct 22 - Nov 21, 2025'!$G:$G),0)</f>
        <v>0.0</v>
      </c>
      <c r="H33" s="3" t="n">
        <f>IFERROR(SUMIF('Dec 22 - Jan 21, 2025'!$A:$A,"LEASE-BH-F29-2025",'Dec 22 - Jan 21, 2025'!$H:$H),0)+IFERROR(SUMIF('Jan 22 - Feb 21, 2025'!$A:$A,"LEASE-BH-F29-2025",'Jan 22 - Feb 21, 2025'!$H:$H),0)+IFERROR(SUMIF('Feb 22 - Mar 21, 2025'!$A:$A,"LEASE-BH-F29-2025",'Feb 22 - Mar 21, 2025'!$H:$H),0)+IFERROR(SUMIF('Mar 22 - Apr 21, 2025'!$A:$A,"LEASE-BH-F29-2025",'Mar 22 - Apr 21, 2025'!$H:$H),0)+IFERROR(SUMIF('Apr 22 - May 21, 2025'!$A:$A,"LEASE-BH-F29-2025",'Apr 22 - May 21, 2025'!$H:$H),0)+IFERROR(SUMIF('May 22 - Jun 21, 2025'!$A:$A,"LEASE-BH-F29-2025",'May 22 - Jun 21, 2025'!$H:$H),0)+IFERROR(SUMIF('Jun 22 - Jul 21, 2025'!$A:$A,"LEASE-BH-F29-2025",'Jun 22 - Jul 21, 2025'!$H:$H),0)+IFERROR(SUMIF('Jul 22 - Aug 21, 2025'!$A:$A,"LEASE-BH-F29-2025",'Jul 22 - Aug 21, 2025'!$H:$H),0)+IFERROR(SUMIF('Aug 22 - Sep 21, 2025'!$A:$A,"LEASE-BH-F29-2025",'Aug 22 - Sep 21, 2025'!$H:$H),0)+IFERROR(SUMIF('Sep 22 - Oct 21, 2025'!$A:$A,"LEASE-BH-F29-2025",'Sep 22 - Oct 21, 2025'!$H:$H),0)+IFERROR(SUMIF('Oct 22 - Nov 21, 2025'!$A:$A,"LEASE-BH-F29-2025",'Oct 22 - Nov 21, 2025'!$H:$H),0)</f>
        <v>0.0</v>
      </c>
      <c r="I33" s="3" t="n">
        <f>G33 - H33</f>
        <v>0.0</v>
      </c>
      <c r="J33" s="3" t="n">
        <f>IFERROR(SUMIF('Dec 22 - Jan 21, 2025'!$A:$A,"LEASE-BH-F29-2025",'Dec 22 - Jan 21, 2025'!$L:$L),0)+IFERROR(SUMIF('Jan 22 - Feb 21, 2025'!$A:$A,"LEASE-BH-F29-2025",'Jan 22 - Feb 21, 2025'!$L:$L),0)+IFERROR(SUMIF('Feb 22 - Mar 21, 2025'!$A:$A,"LEASE-BH-F29-2025",'Feb 22 - Mar 21, 2025'!$L:$L),0)+IFERROR(SUMIF('Mar 22 - Apr 21, 2025'!$A:$A,"LEASE-BH-F29-2025",'Mar 22 - Apr 21, 2025'!$L:$L),0)+IFERROR(SUMIF('Apr 22 - May 21, 2025'!$A:$A,"LEASE-BH-F29-2025",'Apr 22 - May 21, 2025'!$L:$L),0)+IFERROR(SUMIF('May 22 - Jun 21, 2025'!$A:$A,"LEASE-BH-F29-2025",'May 22 - Jun 21, 2025'!$L:$L),0)+IFERROR(SUMIF('Jun 22 - Jul 21, 2025'!$A:$A,"LEASE-BH-F29-2025",'Jun 22 - Jul 21, 2025'!$L:$L),0)+IFERROR(SUMIF('Jul 22 - Aug 21, 2025'!$A:$A,"LEASE-BH-F29-2025",'Jul 22 - Aug 21, 2025'!$L:$L),0)+IFERROR(SUMIF('Aug 22 - Sep 21, 2025'!$A:$A,"LEASE-BH-F29-2025",'Aug 22 - Sep 21, 2025'!$L:$L),0)+IFERROR(SUMIF('Sep 22 - Oct 21, 2025'!$A:$A,"LEASE-BH-F29-2025",'Sep 22 - Oct 21, 2025'!$L:$L),0)+IFERROR(SUMIF('Oct 22 - Nov 21, 2025'!$A:$A,"LEASE-BH-F29-2025",'Oct 22 - Nov 21, 2025'!$L:$L),0)</f>
        <v>0.0</v>
      </c>
      <c r="K33" s="3" t="n">
        <f>IFERROR(SUMIF('Dec 22 - Jan 21, 2025'!$A:$A,"LEASE-BH-F29-2025",'Dec 22 - Jan 21, 2025'!$M:$M),0)+IFERROR(SUMIF('Jan 22 - Feb 21, 2025'!$A:$A,"LEASE-BH-F29-2025",'Jan 22 - Feb 21, 2025'!$M:$M),0)+IFERROR(SUMIF('Feb 22 - Mar 21, 2025'!$A:$A,"LEASE-BH-F29-2025",'Feb 22 - Mar 21, 2025'!$M:$M),0)+IFERROR(SUMIF('Mar 22 - Apr 21, 2025'!$A:$A,"LEASE-BH-F29-2025",'Mar 22 - Apr 21, 2025'!$M:$M),0)+IFERROR(SUMIF('Apr 22 - May 21, 2025'!$A:$A,"LEASE-BH-F29-2025",'Apr 22 - May 21, 2025'!$M:$M),0)+IFERROR(SUMIF('May 22 - Jun 21, 2025'!$A:$A,"LEASE-BH-F29-2025",'May 22 - Jun 21, 2025'!$M:$M),0)+IFERROR(SUMIF('Jun 22 - Jul 21, 2025'!$A:$A,"LEASE-BH-F29-2025",'Jun 22 - Jul 21, 2025'!$M:$M),0)+IFERROR(SUMIF('Jul 22 - Aug 21, 2025'!$A:$A,"LEASE-BH-F29-2025",'Jul 22 - Aug 21, 2025'!$M:$M),0)+IFERROR(SUMIF('Aug 22 - Sep 21, 2025'!$A:$A,"LEASE-BH-F29-2025",'Aug 22 - Sep 21, 2025'!$M:$M),0)+IFERROR(SUMIF('Sep 22 - Oct 21, 2025'!$A:$A,"LEASE-BH-F29-2025",'Sep 22 - Oct 21, 2025'!$M:$M),0)+IFERROR(SUMIF('Oct 22 - Nov 21, 2025'!$A:$A,"LEASE-BH-F29-2025",'Oct 22 - Nov 21, 2025'!$M:$M),0)</f>
        <v>0.0</v>
      </c>
      <c r="L33" s="3" t="n">
        <f>IFERROR(SUMIF('Dec 22 - Jan 21, 2025'!$A:$A,"LEASE-BH-F29-2025",'Dec 22 - Jan 21, 2025'!$N:$N),0)+IFERROR(SUMIF('Jan 22 - Feb 21, 2025'!$A:$A,"LEASE-BH-F29-2025",'Jan 22 - Feb 21, 2025'!$N:$N),0)+IFERROR(SUMIF('Feb 22 - Mar 21, 2025'!$A:$A,"LEASE-BH-F29-2025",'Feb 22 - Mar 21, 2025'!$N:$N),0)+IFERROR(SUMIF('Mar 22 - Apr 21, 2025'!$A:$A,"LEASE-BH-F29-2025",'Mar 22 - Apr 21, 2025'!$N:$N),0)+IFERROR(SUMIF('Apr 22 - May 21, 2025'!$A:$A,"LEASE-BH-F29-2025",'Apr 22 - May 21, 2025'!$N:$N),0)+IFERROR(SUMIF('May 22 - Jun 21, 2025'!$A:$A,"LEASE-BH-F29-2025",'May 22 - Jun 21, 2025'!$N:$N),0)+IFERROR(SUMIF('Jun 22 - Jul 21, 2025'!$A:$A,"LEASE-BH-F29-2025",'Jun 22 - Jul 21, 2025'!$N:$N),0)+IFERROR(SUMIF('Jul 22 - Aug 21, 2025'!$A:$A,"LEASE-BH-F29-2025",'Jul 22 - Aug 21, 2025'!$N:$N),0)+IFERROR(SUMIF('Aug 22 - Sep 21, 2025'!$A:$A,"LEASE-BH-F29-2025",'Aug 22 - Sep 21, 2025'!$N:$N),0)+IFERROR(SUMIF('Sep 22 - Oct 21, 2025'!$A:$A,"LEASE-BH-F29-2025",'Sep 22 - Oct 21, 2025'!$N:$N),0)+IFERROR(SUMIF('Oct 22 - Nov 21, 2025'!$A:$A,"LEASE-BH-F29-2025",'Oct 22 - Nov 21, 2025'!$N:$N),0)</f>
        <v>0.0</v>
      </c>
      <c r="M33" s="3" t="n">
        <f>IFERROR(SUMIF('Dec 22 - Jan 21, 2025'!$A:$A,"LEASE-BH-F29-2025",'Dec 22 - Jan 21, 2025'!$O:$O),0)+IFERROR(SUMIF('Jan 22 - Feb 21, 2025'!$A:$A,"LEASE-BH-F29-2025",'Jan 22 - Feb 21, 2025'!$O:$O),0)+IFERROR(SUMIF('Feb 22 - Mar 21, 2025'!$A:$A,"LEASE-BH-F29-2025",'Feb 22 - Mar 21, 2025'!$O:$O),0)+IFERROR(SUMIF('Mar 22 - Apr 21, 2025'!$A:$A,"LEASE-BH-F29-2025",'Mar 22 - Apr 21, 2025'!$O:$O),0)+IFERROR(SUMIF('Apr 22 - May 21, 2025'!$A:$A,"LEASE-BH-F29-2025",'Apr 22 - May 21, 2025'!$O:$O),0)+IFERROR(SUMIF('May 22 - Jun 21, 2025'!$A:$A,"LEASE-BH-F29-2025",'May 22 - Jun 21, 2025'!$O:$O),0)+IFERROR(SUMIF('Jun 22 - Jul 21, 2025'!$A:$A,"LEASE-BH-F29-2025",'Jun 22 - Jul 21, 2025'!$O:$O),0)+IFERROR(SUMIF('Jul 22 - Aug 21, 2025'!$A:$A,"LEASE-BH-F29-2025",'Jul 22 - Aug 21, 2025'!$O:$O),0)+IFERROR(SUMIF('Aug 22 - Sep 21, 2025'!$A:$A,"LEASE-BH-F29-2025",'Aug 22 - Sep 21, 2025'!$O:$O),0)+IFERROR(SUMIF('Sep 22 - Oct 21, 2025'!$A:$A,"LEASE-BH-F29-2025",'Sep 22 - Oct 21, 2025'!$O:$O),0)+IFERROR(SUMIF('Oct 22 - Nov 21, 2025'!$A:$A,"LEASE-BH-F29-2025",'Oct 22 - Nov 21, 2025'!$O:$O),0)</f>
        <v>0.0</v>
      </c>
      <c r="N33" s="3" t="n">
        <f>IFERROR(SUMIF('Dec 22 - Jan 21, 2025'!$A:$A,"LEASE-BH-F29-2025",'Dec 22 - Jan 21, 2025'!$P:$P),0)+IFERROR(SUMIF('Jan 22 - Feb 21, 2025'!$A:$A,"LEASE-BH-F29-2025",'Jan 22 - Feb 21, 2025'!$P:$P),0)+IFERROR(SUMIF('Feb 22 - Mar 21, 2025'!$A:$A,"LEASE-BH-F29-2025",'Feb 22 - Mar 21, 2025'!$P:$P),0)+IFERROR(SUMIF('Mar 22 - Apr 21, 2025'!$A:$A,"LEASE-BH-F29-2025",'Mar 22 - Apr 21, 2025'!$P:$P),0)+IFERROR(SUMIF('Apr 22 - May 21, 2025'!$A:$A,"LEASE-BH-F29-2025",'Apr 22 - May 21, 2025'!$P:$P),0)+IFERROR(SUMIF('May 22 - Jun 21, 2025'!$A:$A,"LEASE-BH-F29-2025",'May 22 - Jun 21, 2025'!$P:$P),0)+IFERROR(SUMIF('Jun 22 - Jul 21, 2025'!$A:$A,"LEASE-BH-F29-2025",'Jun 22 - Jul 21, 2025'!$P:$P),0)+IFERROR(SUMIF('Jul 22 - Aug 21, 2025'!$A:$A,"LEASE-BH-F29-2025",'Jul 22 - Aug 21, 2025'!$P:$P),0)+IFERROR(SUMIF('Aug 22 - Sep 21, 2025'!$A:$A,"LEASE-BH-F29-2025",'Aug 22 - Sep 21, 2025'!$P:$P),0)+IFERROR(SUMIF('Sep 22 - Oct 21, 2025'!$A:$A,"LEASE-BH-F29-2025",'Sep 22 - Oct 21, 2025'!$P:$P),0)+IFERROR(SUMIF('Oct 22 - Nov 21, 2025'!$A:$A,"LEASE-BH-F29-2025",'Oct 22 - Nov 21, 2025'!$P:$P),0)</f>
        <v>0.0</v>
      </c>
      <c r="O33" s="3" t="n">
        <f>IFERROR(SUMIF('Dec 22 - Jan 21, 2025'!$A:$A,"LEASE-BH-F29-2025",'Dec 22 - Jan 21, 2025'!$I:$I),0)</f>
        <v>0.0</v>
      </c>
      <c r="P33" s="3" t="n">
        <f>IFERROR(SUMIF('Oct 22 - Nov 21, 2025'!$A:$A,"LEASE-BH-F29-2025",'Oct 22 - Nov 21, 2025'!$K:$K),0)</f>
        <v>0.0</v>
      </c>
    </row>
    <row r="34">
      <c r="A34" t="inlineStr">
        <is>
          <t>LEASE-BH-F30-2025</t>
        </is>
      </c>
      <c r="B34" t="inlineStr">
        <is>
          <t>Flat 30 - 3 West Gate</t>
        </is>
      </c>
      <c r="C34" t="inlineStr">
        <is>
          <t>Achal (Delegated for Udayan)</t>
        </is>
      </c>
      <c r="D34" t="inlineStr">
        <is>
          <t>Mr Joel Bryan</t>
        </is>
      </c>
      <c r="E34" s="2" t="n">
        <v>45722.0</v>
      </c>
      <c r="F34" t="n">
        <v>6.0</v>
      </c>
      <c r="G34" s="3" t="n">
        <f>IFERROR(SUMIF('Dec 22 - Jan 21, 2025'!$A:$A,"LEASE-BH-F30-2025",'Dec 22 - Jan 21, 2025'!$G:$G),0)+IFERROR(SUMIF('Jan 22 - Feb 21, 2025'!$A:$A,"LEASE-BH-F30-2025",'Jan 22 - Feb 21, 2025'!$G:$G),0)+IFERROR(SUMIF('Feb 22 - Mar 21, 2025'!$A:$A,"LEASE-BH-F30-2025",'Feb 22 - Mar 21, 2025'!$G:$G),0)+IFERROR(SUMIF('Mar 22 - Apr 21, 2025'!$A:$A,"LEASE-BH-F30-2025",'Mar 22 - Apr 21, 2025'!$G:$G),0)+IFERROR(SUMIF('Apr 22 - May 21, 2025'!$A:$A,"LEASE-BH-F30-2025",'Apr 22 - May 21, 2025'!$G:$G),0)+IFERROR(SUMIF('May 22 - Jun 21, 2025'!$A:$A,"LEASE-BH-F30-2025",'May 22 - Jun 21, 2025'!$G:$G),0)+IFERROR(SUMIF('Jun 22 - Jul 21, 2025'!$A:$A,"LEASE-BH-F30-2025",'Jun 22 - Jul 21, 2025'!$G:$G),0)+IFERROR(SUMIF('Jul 22 - Aug 21, 2025'!$A:$A,"LEASE-BH-F30-2025",'Jul 22 - Aug 21, 2025'!$G:$G),0)+IFERROR(SUMIF('Aug 22 - Sep 21, 2025'!$A:$A,"LEASE-BH-F30-2025",'Aug 22 - Sep 21, 2025'!$G:$G),0)+IFERROR(SUMIF('Sep 22 - Oct 21, 2025'!$A:$A,"LEASE-BH-F30-2025",'Sep 22 - Oct 21, 2025'!$G:$G),0)+IFERROR(SUMIF('Oct 22 - Nov 21, 2025'!$A:$A,"LEASE-BH-F30-2025",'Oct 22 - Nov 21, 2025'!$G:$G),0)</f>
        <v>0.0</v>
      </c>
      <c r="H34" s="3" t="n">
        <f>IFERROR(SUMIF('Dec 22 - Jan 21, 2025'!$A:$A,"LEASE-BH-F30-2025",'Dec 22 - Jan 21, 2025'!$H:$H),0)+IFERROR(SUMIF('Jan 22 - Feb 21, 2025'!$A:$A,"LEASE-BH-F30-2025",'Jan 22 - Feb 21, 2025'!$H:$H),0)+IFERROR(SUMIF('Feb 22 - Mar 21, 2025'!$A:$A,"LEASE-BH-F30-2025",'Feb 22 - Mar 21, 2025'!$H:$H),0)+IFERROR(SUMIF('Mar 22 - Apr 21, 2025'!$A:$A,"LEASE-BH-F30-2025",'Mar 22 - Apr 21, 2025'!$H:$H),0)+IFERROR(SUMIF('Apr 22 - May 21, 2025'!$A:$A,"LEASE-BH-F30-2025",'Apr 22 - May 21, 2025'!$H:$H),0)+IFERROR(SUMIF('May 22 - Jun 21, 2025'!$A:$A,"LEASE-BH-F30-2025",'May 22 - Jun 21, 2025'!$H:$H),0)+IFERROR(SUMIF('Jun 22 - Jul 21, 2025'!$A:$A,"LEASE-BH-F30-2025",'Jun 22 - Jul 21, 2025'!$H:$H),0)+IFERROR(SUMIF('Jul 22 - Aug 21, 2025'!$A:$A,"LEASE-BH-F30-2025",'Jul 22 - Aug 21, 2025'!$H:$H),0)+IFERROR(SUMIF('Aug 22 - Sep 21, 2025'!$A:$A,"LEASE-BH-F30-2025",'Aug 22 - Sep 21, 2025'!$H:$H),0)+IFERROR(SUMIF('Sep 22 - Oct 21, 2025'!$A:$A,"LEASE-BH-F30-2025",'Sep 22 - Oct 21, 2025'!$H:$H),0)+IFERROR(SUMIF('Oct 22 - Nov 21, 2025'!$A:$A,"LEASE-BH-F30-2025",'Oct 22 - Nov 21, 2025'!$H:$H),0)</f>
        <v>0.0</v>
      </c>
      <c r="I34" s="3" t="n">
        <f>G34 - H34</f>
        <v>0.0</v>
      </c>
      <c r="J34" s="3" t="n">
        <f>IFERROR(SUMIF('Dec 22 - Jan 21, 2025'!$A:$A,"LEASE-BH-F30-2025",'Dec 22 - Jan 21, 2025'!$L:$L),0)+IFERROR(SUMIF('Jan 22 - Feb 21, 2025'!$A:$A,"LEASE-BH-F30-2025",'Jan 22 - Feb 21, 2025'!$L:$L),0)+IFERROR(SUMIF('Feb 22 - Mar 21, 2025'!$A:$A,"LEASE-BH-F30-2025",'Feb 22 - Mar 21, 2025'!$L:$L),0)+IFERROR(SUMIF('Mar 22 - Apr 21, 2025'!$A:$A,"LEASE-BH-F30-2025",'Mar 22 - Apr 21, 2025'!$L:$L),0)+IFERROR(SUMIF('Apr 22 - May 21, 2025'!$A:$A,"LEASE-BH-F30-2025",'Apr 22 - May 21, 2025'!$L:$L),0)+IFERROR(SUMIF('May 22 - Jun 21, 2025'!$A:$A,"LEASE-BH-F30-2025",'May 22 - Jun 21, 2025'!$L:$L),0)+IFERROR(SUMIF('Jun 22 - Jul 21, 2025'!$A:$A,"LEASE-BH-F30-2025",'Jun 22 - Jul 21, 2025'!$L:$L),0)+IFERROR(SUMIF('Jul 22 - Aug 21, 2025'!$A:$A,"LEASE-BH-F30-2025",'Jul 22 - Aug 21, 2025'!$L:$L),0)+IFERROR(SUMIF('Aug 22 - Sep 21, 2025'!$A:$A,"LEASE-BH-F30-2025",'Aug 22 - Sep 21, 2025'!$L:$L),0)+IFERROR(SUMIF('Sep 22 - Oct 21, 2025'!$A:$A,"LEASE-BH-F30-2025",'Sep 22 - Oct 21, 2025'!$L:$L),0)+IFERROR(SUMIF('Oct 22 - Nov 21, 2025'!$A:$A,"LEASE-BH-F30-2025",'Oct 22 - Nov 21, 2025'!$L:$L),0)</f>
        <v>0.0</v>
      </c>
      <c r="K34" s="3" t="n">
        <f>IFERROR(SUMIF('Dec 22 - Jan 21, 2025'!$A:$A,"LEASE-BH-F30-2025",'Dec 22 - Jan 21, 2025'!$M:$M),0)+IFERROR(SUMIF('Jan 22 - Feb 21, 2025'!$A:$A,"LEASE-BH-F30-2025",'Jan 22 - Feb 21, 2025'!$M:$M),0)+IFERROR(SUMIF('Feb 22 - Mar 21, 2025'!$A:$A,"LEASE-BH-F30-2025",'Feb 22 - Mar 21, 2025'!$M:$M),0)+IFERROR(SUMIF('Mar 22 - Apr 21, 2025'!$A:$A,"LEASE-BH-F30-2025",'Mar 22 - Apr 21, 2025'!$M:$M),0)+IFERROR(SUMIF('Apr 22 - May 21, 2025'!$A:$A,"LEASE-BH-F30-2025",'Apr 22 - May 21, 2025'!$M:$M),0)+IFERROR(SUMIF('May 22 - Jun 21, 2025'!$A:$A,"LEASE-BH-F30-2025",'May 22 - Jun 21, 2025'!$M:$M),0)+IFERROR(SUMIF('Jun 22 - Jul 21, 2025'!$A:$A,"LEASE-BH-F30-2025",'Jun 22 - Jul 21, 2025'!$M:$M),0)+IFERROR(SUMIF('Jul 22 - Aug 21, 2025'!$A:$A,"LEASE-BH-F30-2025",'Jul 22 - Aug 21, 2025'!$M:$M),0)+IFERROR(SUMIF('Aug 22 - Sep 21, 2025'!$A:$A,"LEASE-BH-F30-2025",'Aug 22 - Sep 21, 2025'!$M:$M),0)+IFERROR(SUMIF('Sep 22 - Oct 21, 2025'!$A:$A,"LEASE-BH-F30-2025",'Sep 22 - Oct 21, 2025'!$M:$M),0)+IFERROR(SUMIF('Oct 22 - Nov 21, 2025'!$A:$A,"LEASE-BH-F30-2025",'Oct 22 - Nov 21, 2025'!$M:$M),0)</f>
        <v>0.0</v>
      </c>
      <c r="L34" s="3" t="n">
        <f>IFERROR(SUMIF('Dec 22 - Jan 21, 2025'!$A:$A,"LEASE-BH-F30-2025",'Dec 22 - Jan 21, 2025'!$N:$N),0)+IFERROR(SUMIF('Jan 22 - Feb 21, 2025'!$A:$A,"LEASE-BH-F30-2025",'Jan 22 - Feb 21, 2025'!$N:$N),0)+IFERROR(SUMIF('Feb 22 - Mar 21, 2025'!$A:$A,"LEASE-BH-F30-2025",'Feb 22 - Mar 21, 2025'!$N:$N),0)+IFERROR(SUMIF('Mar 22 - Apr 21, 2025'!$A:$A,"LEASE-BH-F30-2025",'Mar 22 - Apr 21, 2025'!$N:$N),0)+IFERROR(SUMIF('Apr 22 - May 21, 2025'!$A:$A,"LEASE-BH-F30-2025",'Apr 22 - May 21, 2025'!$N:$N),0)+IFERROR(SUMIF('May 22 - Jun 21, 2025'!$A:$A,"LEASE-BH-F30-2025",'May 22 - Jun 21, 2025'!$N:$N),0)+IFERROR(SUMIF('Jun 22 - Jul 21, 2025'!$A:$A,"LEASE-BH-F30-2025",'Jun 22 - Jul 21, 2025'!$N:$N),0)+IFERROR(SUMIF('Jul 22 - Aug 21, 2025'!$A:$A,"LEASE-BH-F30-2025",'Jul 22 - Aug 21, 2025'!$N:$N),0)+IFERROR(SUMIF('Aug 22 - Sep 21, 2025'!$A:$A,"LEASE-BH-F30-2025",'Aug 22 - Sep 21, 2025'!$N:$N),0)+IFERROR(SUMIF('Sep 22 - Oct 21, 2025'!$A:$A,"LEASE-BH-F30-2025",'Sep 22 - Oct 21, 2025'!$N:$N),0)+IFERROR(SUMIF('Oct 22 - Nov 21, 2025'!$A:$A,"LEASE-BH-F30-2025",'Oct 22 - Nov 21, 2025'!$N:$N),0)</f>
        <v>0.0</v>
      </c>
      <c r="M34" s="3" t="n">
        <f>IFERROR(SUMIF('Dec 22 - Jan 21, 2025'!$A:$A,"LEASE-BH-F30-2025",'Dec 22 - Jan 21, 2025'!$O:$O),0)+IFERROR(SUMIF('Jan 22 - Feb 21, 2025'!$A:$A,"LEASE-BH-F30-2025",'Jan 22 - Feb 21, 2025'!$O:$O),0)+IFERROR(SUMIF('Feb 22 - Mar 21, 2025'!$A:$A,"LEASE-BH-F30-2025",'Feb 22 - Mar 21, 2025'!$O:$O),0)+IFERROR(SUMIF('Mar 22 - Apr 21, 2025'!$A:$A,"LEASE-BH-F30-2025",'Mar 22 - Apr 21, 2025'!$O:$O),0)+IFERROR(SUMIF('Apr 22 - May 21, 2025'!$A:$A,"LEASE-BH-F30-2025",'Apr 22 - May 21, 2025'!$O:$O),0)+IFERROR(SUMIF('May 22 - Jun 21, 2025'!$A:$A,"LEASE-BH-F30-2025",'May 22 - Jun 21, 2025'!$O:$O),0)+IFERROR(SUMIF('Jun 22 - Jul 21, 2025'!$A:$A,"LEASE-BH-F30-2025",'Jun 22 - Jul 21, 2025'!$O:$O),0)+IFERROR(SUMIF('Jul 22 - Aug 21, 2025'!$A:$A,"LEASE-BH-F30-2025",'Jul 22 - Aug 21, 2025'!$O:$O),0)+IFERROR(SUMIF('Aug 22 - Sep 21, 2025'!$A:$A,"LEASE-BH-F30-2025",'Aug 22 - Sep 21, 2025'!$O:$O),0)+IFERROR(SUMIF('Sep 22 - Oct 21, 2025'!$A:$A,"LEASE-BH-F30-2025",'Sep 22 - Oct 21, 2025'!$O:$O),0)+IFERROR(SUMIF('Oct 22 - Nov 21, 2025'!$A:$A,"LEASE-BH-F30-2025",'Oct 22 - Nov 21, 2025'!$O:$O),0)</f>
        <v>0.0</v>
      </c>
      <c r="N34" s="3" t="n">
        <f>IFERROR(SUMIF('Dec 22 - Jan 21, 2025'!$A:$A,"LEASE-BH-F30-2025",'Dec 22 - Jan 21, 2025'!$P:$P),0)+IFERROR(SUMIF('Jan 22 - Feb 21, 2025'!$A:$A,"LEASE-BH-F30-2025",'Jan 22 - Feb 21, 2025'!$P:$P),0)+IFERROR(SUMIF('Feb 22 - Mar 21, 2025'!$A:$A,"LEASE-BH-F30-2025",'Feb 22 - Mar 21, 2025'!$P:$P),0)+IFERROR(SUMIF('Mar 22 - Apr 21, 2025'!$A:$A,"LEASE-BH-F30-2025",'Mar 22 - Apr 21, 2025'!$P:$P),0)+IFERROR(SUMIF('Apr 22 - May 21, 2025'!$A:$A,"LEASE-BH-F30-2025",'Apr 22 - May 21, 2025'!$P:$P),0)+IFERROR(SUMIF('May 22 - Jun 21, 2025'!$A:$A,"LEASE-BH-F30-2025",'May 22 - Jun 21, 2025'!$P:$P),0)+IFERROR(SUMIF('Jun 22 - Jul 21, 2025'!$A:$A,"LEASE-BH-F30-2025",'Jun 22 - Jul 21, 2025'!$P:$P),0)+IFERROR(SUMIF('Jul 22 - Aug 21, 2025'!$A:$A,"LEASE-BH-F30-2025",'Jul 22 - Aug 21, 2025'!$P:$P),0)+IFERROR(SUMIF('Aug 22 - Sep 21, 2025'!$A:$A,"LEASE-BH-F30-2025",'Aug 22 - Sep 21, 2025'!$P:$P),0)+IFERROR(SUMIF('Sep 22 - Oct 21, 2025'!$A:$A,"LEASE-BH-F30-2025",'Sep 22 - Oct 21, 2025'!$P:$P),0)+IFERROR(SUMIF('Oct 22 - Nov 21, 2025'!$A:$A,"LEASE-BH-F30-2025",'Oct 22 - Nov 21, 2025'!$P:$P),0)</f>
        <v>0.0</v>
      </c>
      <c r="O34" s="3" t="n">
        <f>IFERROR(SUMIF('Dec 22 - Jan 21, 2025'!$A:$A,"LEASE-BH-F30-2025",'Dec 22 - Jan 21, 2025'!$I:$I),0)</f>
        <v>0.0</v>
      </c>
      <c r="P34" s="3" t="n">
        <f>IFERROR(SUMIF('Oct 22 - Nov 21, 2025'!$A:$A,"LEASE-BH-F30-2025",'Oct 22 - Nov 21, 2025'!$K:$K),0)</f>
        <v>0.0</v>
      </c>
    </row>
    <row r="35">
      <c r="A35" t="inlineStr">
        <is>
          <t>LEASE-BH-PS1-2025</t>
        </is>
      </c>
      <c r="B35" t="inlineStr">
        <is>
          <t>Parking Space 1 - 3 West Gate</t>
        </is>
      </c>
      <c r="C35" t="inlineStr">
        <is>
          <t>Achal (Delegated for Udayan)</t>
        </is>
      </c>
      <c r="D35" t="inlineStr">
        <is>
          <t>Mr Shermal Wijesinghage, Mrs Udeshika Dona</t>
        </is>
      </c>
      <c r="E35" s="2" t="n">
        <v>45842.0</v>
      </c>
      <c r="F35" t="n">
        <v>4.0</v>
      </c>
      <c r="G35" s="3" t="n">
        <f>IFERROR(SUMIF('Dec 22 - Jan 21, 2025'!$A:$A,"LEASE-BH-PS1-2025",'Dec 22 - Jan 21, 2025'!$G:$G),0)+IFERROR(SUMIF('Jan 22 - Feb 21, 2025'!$A:$A,"LEASE-BH-PS1-2025",'Jan 22 - Feb 21, 2025'!$G:$G),0)+IFERROR(SUMIF('Feb 22 - Mar 21, 2025'!$A:$A,"LEASE-BH-PS1-2025",'Feb 22 - Mar 21, 2025'!$G:$G),0)+IFERROR(SUMIF('Mar 22 - Apr 21, 2025'!$A:$A,"LEASE-BH-PS1-2025",'Mar 22 - Apr 21, 2025'!$G:$G),0)+IFERROR(SUMIF('Apr 22 - May 21, 2025'!$A:$A,"LEASE-BH-PS1-2025",'Apr 22 - May 21, 2025'!$G:$G),0)+IFERROR(SUMIF('May 22 - Jun 21, 2025'!$A:$A,"LEASE-BH-PS1-2025",'May 22 - Jun 21, 2025'!$G:$G),0)+IFERROR(SUMIF('Jun 22 - Jul 21, 2025'!$A:$A,"LEASE-BH-PS1-2025",'Jun 22 - Jul 21, 2025'!$G:$G),0)+IFERROR(SUMIF('Jul 22 - Aug 21, 2025'!$A:$A,"LEASE-BH-PS1-2025",'Jul 22 - Aug 21, 2025'!$G:$G),0)+IFERROR(SUMIF('Aug 22 - Sep 21, 2025'!$A:$A,"LEASE-BH-PS1-2025",'Aug 22 - Sep 21, 2025'!$G:$G),0)+IFERROR(SUMIF('Sep 22 - Oct 21, 2025'!$A:$A,"LEASE-BH-PS1-2025",'Sep 22 - Oct 21, 2025'!$G:$G),0)+IFERROR(SUMIF('Oct 22 - Nov 21, 2025'!$A:$A,"LEASE-BH-PS1-2025",'Oct 22 - Nov 21, 2025'!$G:$G),0)</f>
        <v>0.0</v>
      </c>
      <c r="H35" s="3" t="n">
        <f>IFERROR(SUMIF('Dec 22 - Jan 21, 2025'!$A:$A,"LEASE-BH-PS1-2025",'Dec 22 - Jan 21, 2025'!$H:$H),0)+IFERROR(SUMIF('Jan 22 - Feb 21, 2025'!$A:$A,"LEASE-BH-PS1-2025",'Jan 22 - Feb 21, 2025'!$H:$H),0)+IFERROR(SUMIF('Feb 22 - Mar 21, 2025'!$A:$A,"LEASE-BH-PS1-2025",'Feb 22 - Mar 21, 2025'!$H:$H),0)+IFERROR(SUMIF('Mar 22 - Apr 21, 2025'!$A:$A,"LEASE-BH-PS1-2025",'Mar 22 - Apr 21, 2025'!$H:$H),0)+IFERROR(SUMIF('Apr 22 - May 21, 2025'!$A:$A,"LEASE-BH-PS1-2025",'Apr 22 - May 21, 2025'!$H:$H),0)+IFERROR(SUMIF('May 22 - Jun 21, 2025'!$A:$A,"LEASE-BH-PS1-2025",'May 22 - Jun 21, 2025'!$H:$H),0)+IFERROR(SUMIF('Jun 22 - Jul 21, 2025'!$A:$A,"LEASE-BH-PS1-2025",'Jun 22 - Jul 21, 2025'!$H:$H),0)+IFERROR(SUMIF('Jul 22 - Aug 21, 2025'!$A:$A,"LEASE-BH-PS1-2025",'Jul 22 - Aug 21, 2025'!$H:$H),0)+IFERROR(SUMIF('Aug 22 - Sep 21, 2025'!$A:$A,"LEASE-BH-PS1-2025",'Aug 22 - Sep 21, 2025'!$H:$H),0)+IFERROR(SUMIF('Sep 22 - Oct 21, 2025'!$A:$A,"LEASE-BH-PS1-2025",'Sep 22 - Oct 21, 2025'!$H:$H),0)+IFERROR(SUMIF('Oct 22 - Nov 21, 2025'!$A:$A,"LEASE-BH-PS1-2025",'Oct 22 - Nov 21, 2025'!$H:$H),0)</f>
        <v>0.0</v>
      </c>
      <c r="I35" s="3" t="n">
        <f>G35 - H35</f>
        <v>0.0</v>
      </c>
      <c r="J35" s="3" t="n">
        <f>IFERROR(SUMIF('Dec 22 - Jan 21, 2025'!$A:$A,"LEASE-BH-PS1-2025",'Dec 22 - Jan 21, 2025'!$L:$L),0)+IFERROR(SUMIF('Jan 22 - Feb 21, 2025'!$A:$A,"LEASE-BH-PS1-2025",'Jan 22 - Feb 21, 2025'!$L:$L),0)+IFERROR(SUMIF('Feb 22 - Mar 21, 2025'!$A:$A,"LEASE-BH-PS1-2025",'Feb 22 - Mar 21, 2025'!$L:$L),0)+IFERROR(SUMIF('Mar 22 - Apr 21, 2025'!$A:$A,"LEASE-BH-PS1-2025",'Mar 22 - Apr 21, 2025'!$L:$L),0)+IFERROR(SUMIF('Apr 22 - May 21, 2025'!$A:$A,"LEASE-BH-PS1-2025",'Apr 22 - May 21, 2025'!$L:$L),0)+IFERROR(SUMIF('May 22 - Jun 21, 2025'!$A:$A,"LEASE-BH-PS1-2025",'May 22 - Jun 21, 2025'!$L:$L),0)+IFERROR(SUMIF('Jun 22 - Jul 21, 2025'!$A:$A,"LEASE-BH-PS1-2025",'Jun 22 - Jul 21, 2025'!$L:$L),0)+IFERROR(SUMIF('Jul 22 - Aug 21, 2025'!$A:$A,"LEASE-BH-PS1-2025",'Jul 22 - Aug 21, 2025'!$L:$L),0)+IFERROR(SUMIF('Aug 22 - Sep 21, 2025'!$A:$A,"LEASE-BH-PS1-2025",'Aug 22 - Sep 21, 2025'!$L:$L),0)+IFERROR(SUMIF('Sep 22 - Oct 21, 2025'!$A:$A,"LEASE-BH-PS1-2025",'Sep 22 - Oct 21, 2025'!$L:$L),0)+IFERROR(SUMIF('Oct 22 - Nov 21, 2025'!$A:$A,"LEASE-BH-PS1-2025",'Oct 22 - Nov 21, 2025'!$L:$L),0)</f>
        <v>0.0</v>
      </c>
      <c r="K35" s="3" t="n">
        <f>IFERROR(SUMIF('Dec 22 - Jan 21, 2025'!$A:$A,"LEASE-BH-PS1-2025",'Dec 22 - Jan 21, 2025'!$M:$M),0)+IFERROR(SUMIF('Jan 22 - Feb 21, 2025'!$A:$A,"LEASE-BH-PS1-2025",'Jan 22 - Feb 21, 2025'!$M:$M),0)+IFERROR(SUMIF('Feb 22 - Mar 21, 2025'!$A:$A,"LEASE-BH-PS1-2025",'Feb 22 - Mar 21, 2025'!$M:$M),0)+IFERROR(SUMIF('Mar 22 - Apr 21, 2025'!$A:$A,"LEASE-BH-PS1-2025",'Mar 22 - Apr 21, 2025'!$M:$M),0)+IFERROR(SUMIF('Apr 22 - May 21, 2025'!$A:$A,"LEASE-BH-PS1-2025",'Apr 22 - May 21, 2025'!$M:$M),0)+IFERROR(SUMIF('May 22 - Jun 21, 2025'!$A:$A,"LEASE-BH-PS1-2025",'May 22 - Jun 21, 2025'!$M:$M),0)+IFERROR(SUMIF('Jun 22 - Jul 21, 2025'!$A:$A,"LEASE-BH-PS1-2025",'Jun 22 - Jul 21, 2025'!$M:$M),0)+IFERROR(SUMIF('Jul 22 - Aug 21, 2025'!$A:$A,"LEASE-BH-PS1-2025",'Jul 22 - Aug 21, 2025'!$M:$M),0)+IFERROR(SUMIF('Aug 22 - Sep 21, 2025'!$A:$A,"LEASE-BH-PS1-2025",'Aug 22 - Sep 21, 2025'!$M:$M),0)+IFERROR(SUMIF('Sep 22 - Oct 21, 2025'!$A:$A,"LEASE-BH-PS1-2025",'Sep 22 - Oct 21, 2025'!$M:$M),0)+IFERROR(SUMIF('Oct 22 - Nov 21, 2025'!$A:$A,"LEASE-BH-PS1-2025",'Oct 22 - Nov 21, 2025'!$M:$M),0)</f>
        <v>0.0</v>
      </c>
      <c r="L35" s="3" t="n">
        <f>IFERROR(SUMIF('Dec 22 - Jan 21, 2025'!$A:$A,"LEASE-BH-PS1-2025",'Dec 22 - Jan 21, 2025'!$N:$N),0)+IFERROR(SUMIF('Jan 22 - Feb 21, 2025'!$A:$A,"LEASE-BH-PS1-2025",'Jan 22 - Feb 21, 2025'!$N:$N),0)+IFERROR(SUMIF('Feb 22 - Mar 21, 2025'!$A:$A,"LEASE-BH-PS1-2025",'Feb 22 - Mar 21, 2025'!$N:$N),0)+IFERROR(SUMIF('Mar 22 - Apr 21, 2025'!$A:$A,"LEASE-BH-PS1-2025",'Mar 22 - Apr 21, 2025'!$N:$N),0)+IFERROR(SUMIF('Apr 22 - May 21, 2025'!$A:$A,"LEASE-BH-PS1-2025",'Apr 22 - May 21, 2025'!$N:$N),0)+IFERROR(SUMIF('May 22 - Jun 21, 2025'!$A:$A,"LEASE-BH-PS1-2025",'May 22 - Jun 21, 2025'!$N:$N),0)+IFERROR(SUMIF('Jun 22 - Jul 21, 2025'!$A:$A,"LEASE-BH-PS1-2025",'Jun 22 - Jul 21, 2025'!$N:$N),0)+IFERROR(SUMIF('Jul 22 - Aug 21, 2025'!$A:$A,"LEASE-BH-PS1-2025",'Jul 22 - Aug 21, 2025'!$N:$N),0)+IFERROR(SUMIF('Aug 22 - Sep 21, 2025'!$A:$A,"LEASE-BH-PS1-2025",'Aug 22 - Sep 21, 2025'!$N:$N),0)+IFERROR(SUMIF('Sep 22 - Oct 21, 2025'!$A:$A,"LEASE-BH-PS1-2025",'Sep 22 - Oct 21, 2025'!$N:$N),0)+IFERROR(SUMIF('Oct 22 - Nov 21, 2025'!$A:$A,"LEASE-BH-PS1-2025",'Oct 22 - Nov 21, 2025'!$N:$N),0)</f>
        <v>0.0</v>
      </c>
      <c r="M35" s="3" t="n">
        <f>IFERROR(SUMIF('Dec 22 - Jan 21, 2025'!$A:$A,"LEASE-BH-PS1-2025",'Dec 22 - Jan 21, 2025'!$O:$O),0)+IFERROR(SUMIF('Jan 22 - Feb 21, 2025'!$A:$A,"LEASE-BH-PS1-2025",'Jan 22 - Feb 21, 2025'!$O:$O),0)+IFERROR(SUMIF('Feb 22 - Mar 21, 2025'!$A:$A,"LEASE-BH-PS1-2025",'Feb 22 - Mar 21, 2025'!$O:$O),0)+IFERROR(SUMIF('Mar 22 - Apr 21, 2025'!$A:$A,"LEASE-BH-PS1-2025",'Mar 22 - Apr 21, 2025'!$O:$O),0)+IFERROR(SUMIF('Apr 22 - May 21, 2025'!$A:$A,"LEASE-BH-PS1-2025",'Apr 22 - May 21, 2025'!$O:$O),0)+IFERROR(SUMIF('May 22 - Jun 21, 2025'!$A:$A,"LEASE-BH-PS1-2025",'May 22 - Jun 21, 2025'!$O:$O),0)+IFERROR(SUMIF('Jun 22 - Jul 21, 2025'!$A:$A,"LEASE-BH-PS1-2025",'Jun 22 - Jul 21, 2025'!$O:$O),0)+IFERROR(SUMIF('Jul 22 - Aug 21, 2025'!$A:$A,"LEASE-BH-PS1-2025",'Jul 22 - Aug 21, 2025'!$O:$O),0)+IFERROR(SUMIF('Aug 22 - Sep 21, 2025'!$A:$A,"LEASE-BH-PS1-2025",'Aug 22 - Sep 21, 2025'!$O:$O),0)+IFERROR(SUMIF('Sep 22 - Oct 21, 2025'!$A:$A,"LEASE-BH-PS1-2025",'Sep 22 - Oct 21, 2025'!$O:$O),0)+IFERROR(SUMIF('Oct 22 - Nov 21, 2025'!$A:$A,"LEASE-BH-PS1-2025",'Oct 22 - Nov 21, 2025'!$O:$O),0)</f>
        <v>0.0</v>
      </c>
      <c r="N35" s="3" t="n">
        <f>IFERROR(SUMIF('Dec 22 - Jan 21, 2025'!$A:$A,"LEASE-BH-PS1-2025",'Dec 22 - Jan 21, 2025'!$P:$P),0)+IFERROR(SUMIF('Jan 22 - Feb 21, 2025'!$A:$A,"LEASE-BH-PS1-2025",'Jan 22 - Feb 21, 2025'!$P:$P),0)+IFERROR(SUMIF('Feb 22 - Mar 21, 2025'!$A:$A,"LEASE-BH-PS1-2025",'Feb 22 - Mar 21, 2025'!$P:$P),0)+IFERROR(SUMIF('Mar 22 - Apr 21, 2025'!$A:$A,"LEASE-BH-PS1-2025",'Mar 22 - Apr 21, 2025'!$P:$P),0)+IFERROR(SUMIF('Apr 22 - May 21, 2025'!$A:$A,"LEASE-BH-PS1-2025",'Apr 22 - May 21, 2025'!$P:$P),0)+IFERROR(SUMIF('May 22 - Jun 21, 2025'!$A:$A,"LEASE-BH-PS1-2025",'May 22 - Jun 21, 2025'!$P:$P),0)+IFERROR(SUMIF('Jun 22 - Jul 21, 2025'!$A:$A,"LEASE-BH-PS1-2025",'Jun 22 - Jul 21, 2025'!$P:$P),0)+IFERROR(SUMIF('Jul 22 - Aug 21, 2025'!$A:$A,"LEASE-BH-PS1-2025",'Jul 22 - Aug 21, 2025'!$P:$P),0)+IFERROR(SUMIF('Aug 22 - Sep 21, 2025'!$A:$A,"LEASE-BH-PS1-2025",'Aug 22 - Sep 21, 2025'!$P:$P),0)+IFERROR(SUMIF('Sep 22 - Oct 21, 2025'!$A:$A,"LEASE-BH-PS1-2025",'Sep 22 - Oct 21, 2025'!$P:$P),0)+IFERROR(SUMIF('Oct 22 - Nov 21, 2025'!$A:$A,"LEASE-BH-PS1-2025",'Oct 22 - Nov 21, 2025'!$P:$P),0)</f>
        <v>0.0</v>
      </c>
      <c r="O35" s="3" t="n">
        <f>IFERROR(SUMIF('Dec 22 - Jan 21, 2025'!$A:$A,"LEASE-BH-PS1-2025",'Dec 22 - Jan 21, 2025'!$I:$I),0)</f>
        <v>0.0</v>
      </c>
      <c r="P35" s="3" t="n">
        <f>IFERROR(SUMIF('Oct 22 - Nov 21, 2025'!$A:$A,"LEASE-BH-PS1-2025",'Oct 22 - Nov 21, 2025'!$K:$K),0)</f>
        <v>0.0</v>
      </c>
    </row>
    <row r="36">
      <c r="A36" t="inlineStr">
        <is>
          <t>LEASE-BH-PS2-2025</t>
        </is>
      </c>
      <c r="B36" t="inlineStr">
        <is>
          <t>Parking Space 2 - 3 West Gate</t>
        </is>
      </c>
      <c r="C36" t="inlineStr">
        <is>
          <t>Achal (Delegated for Udayan)</t>
        </is>
      </c>
      <c r="D36" t="inlineStr">
        <is>
          <t>Nirmali Gedara and Janith Hetti Arachchilage</t>
        </is>
      </c>
      <c r="E36" s="2" t="n">
        <v>45852.0</v>
      </c>
      <c r="F36" t="n">
        <v>14.0</v>
      </c>
      <c r="G36" s="3" t="n">
        <f>IFERROR(SUMIF('Dec 22 - Jan 21, 2025'!$A:$A,"LEASE-BH-PS2-2025",'Dec 22 - Jan 21, 2025'!$G:$G),0)+IFERROR(SUMIF('Jan 22 - Feb 21, 2025'!$A:$A,"LEASE-BH-PS2-2025",'Jan 22 - Feb 21, 2025'!$G:$G),0)+IFERROR(SUMIF('Feb 22 - Mar 21, 2025'!$A:$A,"LEASE-BH-PS2-2025",'Feb 22 - Mar 21, 2025'!$G:$G),0)+IFERROR(SUMIF('Mar 22 - Apr 21, 2025'!$A:$A,"LEASE-BH-PS2-2025",'Mar 22 - Apr 21, 2025'!$G:$G),0)+IFERROR(SUMIF('Apr 22 - May 21, 2025'!$A:$A,"LEASE-BH-PS2-2025",'Apr 22 - May 21, 2025'!$G:$G),0)+IFERROR(SUMIF('May 22 - Jun 21, 2025'!$A:$A,"LEASE-BH-PS2-2025",'May 22 - Jun 21, 2025'!$G:$G),0)+IFERROR(SUMIF('Jun 22 - Jul 21, 2025'!$A:$A,"LEASE-BH-PS2-2025",'Jun 22 - Jul 21, 2025'!$G:$G),0)+IFERROR(SUMIF('Jul 22 - Aug 21, 2025'!$A:$A,"LEASE-BH-PS2-2025",'Jul 22 - Aug 21, 2025'!$G:$G),0)+IFERROR(SUMIF('Aug 22 - Sep 21, 2025'!$A:$A,"LEASE-BH-PS2-2025",'Aug 22 - Sep 21, 2025'!$G:$G),0)+IFERROR(SUMIF('Sep 22 - Oct 21, 2025'!$A:$A,"LEASE-BH-PS2-2025",'Sep 22 - Oct 21, 2025'!$G:$G),0)+IFERROR(SUMIF('Oct 22 - Nov 21, 2025'!$A:$A,"LEASE-BH-PS2-2025",'Oct 22 - Nov 21, 2025'!$G:$G),0)</f>
        <v>0.0</v>
      </c>
      <c r="H36" s="3" t="n">
        <f>IFERROR(SUMIF('Dec 22 - Jan 21, 2025'!$A:$A,"LEASE-BH-PS2-2025",'Dec 22 - Jan 21, 2025'!$H:$H),0)+IFERROR(SUMIF('Jan 22 - Feb 21, 2025'!$A:$A,"LEASE-BH-PS2-2025",'Jan 22 - Feb 21, 2025'!$H:$H),0)+IFERROR(SUMIF('Feb 22 - Mar 21, 2025'!$A:$A,"LEASE-BH-PS2-2025",'Feb 22 - Mar 21, 2025'!$H:$H),0)+IFERROR(SUMIF('Mar 22 - Apr 21, 2025'!$A:$A,"LEASE-BH-PS2-2025",'Mar 22 - Apr 21, 2025'!$H:$H),0)+IFERROR(SUMIF('Apr 22 - May 21, 2025'!$A:$A,"LEASE-BH-PS2-2025",'Apr 22 - May 21, 2025'!$H:$H),0)+IFERROR(SUMIF('May 22 - Jun 21, 2025'!$A:$A,"LEASE-BH-PS2-2025",'May 22 - Jun 21, 2025'!$H:$H),0)+IFERROR(SUMIF('Jun 22 - Jul 21, 2025'!$A:$A,"LEASE-BH-PS2-2025",'Jun 22 - Jul 21, 2025'!$H:$H),0)+IFERROR(SUMIF('Jul 22 - Aug 21, 2025'!$A:$A,"LEASE-BH-PS2-2025",'Jul 22 - Aug 21, 2025'!$H:$H),0)+IFERROR(SUMIF('Aug 22 - Sep 21, 2025'!$A:$A,"LEASE-BH-PS2-2025",'Aug 22 - Sep 21, 2025'!$H:$H),0)+IFERROR(SUMIF('Sep 22 - Oct 21, 2025'!$A:$A,"LEASE-BH-PS2-2025",'Sep 22 - Oct 21, 2025'!$H:$H),0)+IFERROR(SUMIF('Oct 22 - Nov 21, 2025'!$A:$A,"LEASE-BH-PS2-2025",'Oct 22 - Nov 21, 2025'!$H:$H),0)</f>
        <v>0.0</v>
      </c>
      <c r="I36" s="3" t="n">
        <f>G36 - H36</f>
        <v>0.0</v>
      </c>
      <c r="J36" s="3" t="n">
        <f>IFERROR(SUMIF('Dec 22 - Jan 21, 2025'!$A:$A,"LEASE-BH-PS2-2025",'Dec 22 - Jan 21, 2025'!$L:$L),0)+IFERROR(SUMIF('Jan 22 - Feb 21, 2025'!$A:$A,"LEASE-BH-PS2-2025",'Jan 22 - Feb 21, 2025'!$L:$L),0)+IFERROR(SUMIF('Feb 22 - Mar 21, 2025'!$A:$A,"LEASE-BH-PS2-2025",'Feb 22 - Mar 21, 2025'!$L:$L),0)+IFERROR(SUMIF('Mar 22 - Apr 21, 2025'!$A:$A,"LEASE-BH-PS2-2025",'Mar 22 - Apr 21, 2025'!$L:$L),0)+IFERROR(SUMIF('Apr 22 - May 21, 2025'!$A:$A,"LEASE-BH-PS2-2025",'Apr 22 - May 21, 2025'!$L:$L),0)+IFERROR(SUMIF('May 22 - Jun 21, 2025'!$A:$A,"LEASE-BH-PS2-2025",'May 22 - Jun 21, 2025'!$L:$L),0)+IFERROR(SUMIF('Jun 22 - Jul 21, 2025'!$A:$A,"LEASE-BH-PS2-2025",'Jun 22 - Jul 21, 2025'!$L:$L),0)+IFERROR(SUMIF('Jul 22 - Aug 21, 2025'!$A:$A,"LEASE-BH-PS2-2025",'Jul 22 - Aug 21, 2025'!$L:$L),0)+IFERROR(SUMIF('Aug 22 - Sep 21, 2025'!$A:$A,"LEASE-BH-PS2-2025",'Aug 22 - Sep 21, 2025'!$L:$L),0)+IFERROR(SUMIF('Sep 22 - Oct 21, 2025'!$A:$A,"LEASE-BH-PS2-2025",'Sep 22 - Oct 21, 2025'!$L:$L),0)+IFERROR(SUMIF('Oct 22 - Nov 21, 2025'!$A:$A,"LEASE-BH-PS2-2025",'Oct 22 - Nov 21, 2025'!$L:$L),0)</f>
        <v>0.0</v>
      </c>
      <c r="K36" s="3" t="n">
        <f>IFERROR(SUMIF('Dec 22 - Jan 21, 2025'!$A:$A,"LEASE-BH-PS2-2025",'Dec 22 - Jan 21, 2025'!$M:$M),0)+IFERROR(SUMIF('Jan 22 - Feb 21, 2025'!$A:$A,"LEASE-BH-PS2-2025",'Jan 22 - Feb 21, 2025'!$M:$M),0)+IFERROR(SUMIF('Feb 22 - Mar 21, 2025'!$A:$A,"LEASE-BH-PS2-2025",'Feb 22 - Mar 21, 2025'!$M:$M),0)+IFERROR(SUMIF('Mar 22 - Apr 21, 2025'!$A:$A,"LEASE-BH-PS2-2025",'Mar 22 - Apr 21, 2025'!$M:$M),0)+IFERROR(SUMIF('Apr 22 - May 21, 2025'!$A:$A,"LEASE-BH-PS2-2025",'Apr 22 - May 21, 2025'!$M:$M),0)+IFERROR(SUMIF('May 22 - Jun 21, 2025'!$A:$A,"LEASE-BH-PS2-2025",'May 22 - Jun 21, 2025'!$M:$M),0)+IFERROR(SUMIF('Jun 22 - Jul 21, 2025'!$A:$A,"LEASE-BH-PS2-2025",'Jun 22 - Jul 21, 2025'!$M:$M),0)+IFERROR(SUMIF('Jul 22 - Aug 21, 2025'!$A:$A,"LEASE-BH-PS2-2025",'Jul 22 - Aug 21, 2025'!$M:$M),0)+IFERROR(SUMIF('Aug 22 - Sep 21, 2025'!$A:$A,"LEASE-BH-PS2-2025",'Aug 22 - Sep 21, 2025'!$M:$M),0)+IFERROR(SUMIF('Sep 22 - Oct 21, 2025'!$A:$A,"LEASE-BH-PS2-2025",'Sep 22 - Oct 21, 2025'!$M:$M),0)+IFERROR(SUMIF('Oct 22 - Nov 21, 2025'!$A:$A,"LEASE-BH-PS2-2025",'Oct 22 - Nov 21, 2025'!$M:$M),0)</f>
        <v>0.0</v>
      </c>
      <c r="L36" s="3" t="n">
        <f>IFERROR(SUMIF('Dec 22 - Jan 21, 2025'!$A:$A,"LEASE-BH-PS2-2025",'Dec 22 - Jan 21, 2025'!$N:$N),0)+IFERROR(SUMIF('Jan 22 - Feb 21, 2025'!$A:$A,"LEASE-BH-PS2-2025",'Jan 22 - Feb 21, 2025'!$N:$N),0)+IFERROR(SUMIF('Feb 22 - Mar 21, 2025'!$A:$A,"LEASE-BH-PS2-2025",'Feb 22 - Mar 21, 2025'!$N:$N),0)+IFERROR(SUMIF('Mar 22 - Apr 21, 2025'!$A:$A,"LEASE-BH-PS2-2025",'Mar 22 - Apr 21, 2025'!$N:$N),0)+IFERROR(SUMIF('Apr 22 - May 21, 2025'!$A:$A,"LEASE-BH-PS2-2025",'Apr 22 - May 21, 2025'!$N:$N),0)+IFERROR(SUMIF('May 22 - Jun 21, 2025'!$A:$A,"LEASE-BH-PS2-2025",'May 22 - Jun 21, 2025'!$N:$N),0)+IFERROR(SUMIF('Jun 22 - Jul 21, 2025'!$A:$A,"LEASE-BH-PS2-2025",'Jun 22 - Jul 21, 2025'!$N:$N),0)+IFERROR(SUMIF('Jul 22 - Aug 21, 2025'!$A:$A,"LEASE-BH-PS2-2025",'Jul 22 - Aug 21, 2025'!$N:$N),0)+IFERROR(SUMIF('Aug 22 - Sep 21, 2025'!$A:$A,"LEASE-BH-PS2-2025",'Aug 22 - Sep 21, 2025'!$N:$N),0)+IFERROR(SUMIF('Sep 22 - Oct 21, 2025'!$A:$A,"LEASE-BH-PS2-2025",'Sep 22 - Oct 21, 2025'!$N:$N),0)+IFERROR(SUMIF('Oct 22 - Nov 21, 2025'!$A:$A,"LEASE-BH-PS2-2025",'Oct 22 - Nov 21, 2025'!$N:$N),0)</f>
        <v>0.0</v>
      </c>
      <c r="M36" s="3" t="n">
        <f>IFERROR(SUMIF('Dec 22 - Jan 21, 2025'!$A:$A,"LEASE-BH-PS2-2025",'Dec 22 - Jan 21, 2025'!$O:$O),0)+IFERROR(SUMIF('Jan 22 - Feb 21, 2025'!$A:$A,"LEASE-BH-PS2-2025",'Jan 22 - Feb 21, 2025'!$O:$O),0)+IFERROR(SUMIF('Feb 22 - Mar 21, 2025'!$A:$A,"LEASE-BH-PS2-2025",'Feb 22 - Mar 21, 2025'!$O:$O),0)+IFERROR(SUMIF('Mar 22 - Apr 21, 2025'!$A:$A,"LEASE-BH-PS2-2025",'Mar 22 - Apr 21, 2025'!$O:$O),0)+IFERROR(SUMIF('Apr 22 - May 21, 2025'!$A:$A,"LEASE-BH-PS2-2025",'Apr 22 - May 21, 2025'!$O:$O),0)+IFERROR(SUMIF('May 22 - Jun 21, 2025'!$A:$A,"LEASE-BH-PS2-2025",'May 22 - Jun 21, 2025'!$O:$O),0)+IFERROR(SUMIF('Jun 22 - Jul 21, 2025'!$A:$A,"LEASE-BH-PS2-2025",'Jun 22 - Jul 21, 2025'!$O:$O),0)+IFERROR(SUMIF('Jul 22 - Aug 21, 2025'!$A:$A,"LEASE-BH-PS2-2025",'Jul 22 - Aug 21, 2025'!$O:$O),0)+IFERROR(SUMIF('Aug 22 - Sep 21, 2025'!$A:$A,"LEASE-BH-PS2-2025",'Aug 22 - Sep 21, 2025'!$O:$O),0)+IFERROR(SUMIF('Sep 22 - Oct 21, 2025'!$A:$A,"LEASE-BH-PS2-2025",'Sep 22 - Oct 21, 2025'!$O:$O),0)+IFERROR(SUMIF('Oct 22 - Nov 21, 2025'!$A:$A,"LEASE-BH-PS2-2025",'Oct 22 - Nov 21, 2025'!$O:$O),0)</f>
        <v>0.0</v>
      </c>
      <c r="N36" s="3" t="n">
        <f>IFERROR(SUMIF('Dec 22 - Jan 21, 2025'!$A:$A,"LEASE-BH-PS2-2025",'Dec 22 - Jan 21, 2025'!$P:$P),0)+IFERROR(SUMIF('Jan 22 - Feb 21, 2025'!$A:$A,"LEASE-BH-PS2-2025",'Jan 22 - Feb 21, 2025'!$P:$P),0)+IFERROR(SUMIF('Feb 22 - Mar 21, 2025'!$A:$A,"LEASE-BH-PS2-2025",'Feb 22 - Mar 21, 2025'!$P:$P),0)+IFERROR(SUMIF('Mar 22 - Apr 21, 2025'!$A:$A,"LEASE-BH-PS2-2025",'Mar 22 - Apr 21, 2025'!$P:$P),0)+IFERROR(SUMIF('Apr 22 - May 21, 2025'!$A:$A,"LEASE-BH-PS2-2025",'Apr 22 - May 21, 2025'!$P:$P),0)+IFERROR(SUMIF('May 22 - Jun 21, 2025'!$A:$A,"LEASE-BH-PS2-2025",'May 22 - Jun 21, 2025'!$P:$P),0)+IFERROR(SUMIF('Jun 22 - Jul 21, 2025'!$A:$A,"LEASE-BH-PS2-2025",'Jun 22 - Jul 21, 2025'!$P:$P),0)+IFERROR(SUMIF('Jul 22 - Aug 21, 2025'!$A:$A,"LEASE-BH-PS2-2025",'Jul 22 - Aug 21, 2025'!$P:$P),0)+IFERROR(SUMIF('Aug 22 - Sep 21, 2025'!$A:$A,"LEASE-BH-PS2-2025",'Aug 22 - Sep 21, 2025'!$P:$P),0)+IFERROR(SUMIF('Sep 22 - Oct 21, 2025'!$A:$A,"LEASE-BH-PS2-2025",'Sep 22 - Oct 21, 2025'!$P:$P),0)+IFERROR(SUMIF('Oct 22 - Nov 21, 2025'!$A:$A,"LEASE-BH-PS2-2025",'Oct 22 - Nov 21, 2025'!$P:$P),0)</f>
        <v>0.0</v>
      </c>
      <c r="O36" s="3" t="n">
        <f>IFERROR(SUMIF('Dec 22 - Jan 21, 2025'!$A:$A,"LEASE-BH-PS2-2025",'Dec 22 - Jan 21, 2025'!$I:$I),0)</f>
        <v>0.0</v>
      </c>
      <c r="P36" s="3" t="n">
        <f>IFERROR(SUMIF('Oct 22 - Nov 21, 2025'!$A:$A,"LEASE-BH-PS2-2025",'Oct 22 - Nov 21, 2025'!$K:$K),0)</f>
        <v>0.0</v>
      </c>
    </row>
    <row r="37">
      <c r="A37" t="inlineStr">
        <is>
          <t>LEASE-KH-F-2024</t>
        </is>
      </c>
      <c r="B37" t="inlineStr">
        <is>
          <t>Apartment F - Knighton Hayes Manor</t>
        </is>
      </c>
      <c r="C37" t="inlineStr">
        <is>
          <t>Achal (Delegated for Udayan)</t>
        </is>
      </c>
      <c r="D37" t="inlineStr">
        <is>
          <t>Mr Riaz Hamid, Ismat Tarr-Hamid</t>
        </is>
      </c>
      <c r="E37" s="2" t="n">
        <v>45648.0</v>
      </c>
      <c r="F37" t="n">
        <v>22.0</v>
      </c>
      <c r="G37" s="3" t="n">
        <f>IFERROR(SUMIF('Dec 22 - Jan 21, 2025'!$A:$A,"LEASE-KH-F-2024",'Dec 22 - Jan 21, 2025'!$G:$G),0)+IFERROR(SUMIF('Jan 22 - Feb 21, 2025'!$A:$A,"LEASE-KH-F-2024",'Jan 22 - Feb 21, 2025'!$G:$G),0)+IFERROR(SUMIF('Feb 22 - Mar 21, 2025'!$A:$A,"LEASE-KH-F-2024",'Feb 22 - Mar 21, 2025'!$G:$G),0)+IFERROR(SUMIF('Mar 22 - Apr 21, 2025'!$A:$A,"LEASE-KH-F-2024",'Mar 22 - Apr 21, 2025'!$G:$G),0)+IFERROR(SUMIF('Apr 22 - May 21, 2025'!$A:$A,"LEASE-KH-F-2024",'Apr 22 - May 21, 2025'!$G:$G),0)+IFERROR(SUMIF('May 22 - Jun 21, 2025'!$A:$A,"LEASE-KH-F-2024",'May 22 - Jun 21, 2025'!$G:$G),0)+IFERROR(SUMIF('Jun 22 - Jul 21, 2025'!$A:$A,"LEASE-KH-F-2024",'Jun 22 - Jul 21, 2025'!$G:$G),0)+IFERROR(SUMIF('Jul 22 - Aug 21, 2025'!$A:$A,"LEASE-KH-F-2024",'Jul 22 - Aug 21, 2025'!$G:$G),0)+IFERROR(SUMIF('Aug 22 - Sep 21, 2025'!$A:$A,"LEASE-KH-F-2024",'Aug 22 - Sep 21, 2025'!$G:$G),0)+IFERROR(SUMIF('Sep 22 - Oct 21, 2025'!$A:$A,"LEASE-KH-F-2024",'Sep 22 - Oct 21, 2025'!$G:$G),0)+IFERROR(SUMIF('Oct 22 - Nov 21, 2025'!$A:$A,"LEASE-KH-F-2024",'Oct 22 - Nov 21, 2025'!$G:$G),0)</f>
        <v>0.0</v>
      </c>
      <c r="H37" s="3" t="n">
        <f>IFERROR(SUMIF('Dec 22 - Jan 21, 2025'!$A:$A,"LEASE-KH-F-2024",'Dec 22 - Jan 21, 2025'!$H:$H),0)+IFERROR(SUMIF('Jan 22 - Feb 21, 2025'!$A:$A,"LEASE-KH-F-2024",'Jan 22 - Feb 21, 2025'!$H:$H),0)+IFERROR(SUMIF('Feb 22 - Mar 21, 2025'!$A:$A,"LEASE-KH-F-2024",'Feb 22 - Mar 21, 2025'!$H:$H),0)+IFERROR(SUMIF('Mar 22 - Apr 21, 2025'!$A:$A,"LEASE-KH-F-2024",'Mar 22 - Apr 21, 2025'!$H:$H),0)+IFERROR(SUMIF('Apr 22 - May 21, 2025'!$A:$A,"LEASE-KH-F-2024",'Apr 22 - May 21, 2025'!$H:$H),0)+IFERROR(SUMIF('May 22 - Jun 21, 2025'!$A:$A,"LEASE-KH-F-2024",'May 22 - Jun 21, 2025'!$H:$H),0)+IFERROR(SUMIF('Jun 22 - Jul 21, 2025'!$A:$A,"LEASE-KH-F-2024",'Jun 22 - Jul 21, 2025'!$H:$H),0)+IFERROR(SUMIF('Jul 22 - Aug 21, 2025'!$A:$A,"LEASE-KH-F-2024",'Jul 22 - Aug 21, 2025'!$H:$H),0)+IFERROR(SUMIF('Aug 22 - Sep 21, 2025'!$A:$A,"LEASE-KH-F-2024",'Aug 22 - Sep 21, 2025'!$H:$H),0)+IFERROR(SUMIF('Sep 22 - Oct 21, 2025'!$A:$A,"LEASE-KH-F-2024",'Sep 22 - Oct 21, 2025'!$H:$H),0)+IFERROR(SUMIF('Oct 22 - Nov 21, 2025'!$A:$A,"LEASE-KH-F-2024",'Oct 22 - Nov 21, 2025'!$H:$H),0)</f>
        <v>0.0</v>
      </c>
      <c r="I37" s="3" t="n">
        <f>G37 - H37</f>
        <v>0.0</v>
      </c>
      <c r="J37" s="3" t="n">
        <f>IFERROR(SUMIF('Dec 22 - Jan 21, 2025'!$A:$A,"LEASE-KH-F-2024",'Dec 22 - Jan 21, 2025'!$L:$L),0)+IFERROR(SUMIF('Jan 22 - Feb 21, 2025'!$A:$A,"LEASE-KH-F-2024",'Jan 22 - Feb 21, 2025'!$L:$L),0)+IFERROR(SUMIF('Feb 22 - Mar 21, 2025'!$A:$A,"LEASE-KH-F-2024",'Feb 22 - Mar 21, 2025'!$L:$L),0)+IFERROR(SUMIF('Mar 22 - Apr 21, 2025'!$A:$A,"LEASE-KH-F-2024",'Mar 22 - Apr 21, 2025'!$L:$L),0)+IFERROR(SUMIF('Apr 22 - May 21, 2025'!$A:$A,"LEASE-KH-F-2024",'Apr 22 - May 21, 2025'!$L:$L),0)+IFERROR(SUMIF('May 22 - Jun 21, 2025'!$A:$A,"LEASE-KH-F-2024",'May 22 - Jun 21, 2025'!$L:$L),0)+IFERROR(SUMIF('Jun 22 - Jul 21, 2025'!$A:$A,"LEASE-KH-F-2024",'Jun 22 - Jul 21, 2025'!$L:$L),0)+IFERROR(SUMIF('Jul 22 - Aug 21, 2025'!$A:$A,"LEASE-KH-F-2024",'Jul 22 - Aug 21, 2025'!$L:$L),0)+IFERROR(SUMIF('Aug 22 - Sep 21, 2025'!$A:$A,"LEASE-KH-F-2024",'Aug 22 - Sep 21, 2025'!$L:$L),0)+IFERROR(SUMIF('Sep 22 - Oct 21, 2025'!$A:$A,"LEASE-KH-F-2024",'Sep 22 - Oct 21, 2025'!$L:$L),0)+IFERROR(SUMIF('Oct 22 - Nov 21, 2025'!$A:$A,"LEASE-KH-F-2024",'Oct 22 - Nov 21, 2025'!$L:$L),0)</f>
        <v>0.0</v>
      </c>
      <c r="K37" s="3" t="n">
        <f>IFERROR(SUMIF('Dec 22 - Jan 21, 2025'!$A:$A,"LEASE-KH-F-2024",'Dec 22 - Jan 21, 2025'!$M:$M),0)+IFERROR(SUMIF('Jan 22 - Feb 21, 2025'!$A:$A,"LEASE-KH-F-2024",'Jan 22 - Feb 21, 2025'!$M:$M),0)+IFERROR(SUMIF('Feb 22 - Mar 21, 2025'!$A:$A,"LEASE-KH-F-2024",'Feb 22 - Mar 21, 2025'!$M:$M),0)+IFERROR(SUMIF('Mar 22 - Apr 21, 2025'!$A:$A,"LEASE-KH-F-2024",'Mar 22 - Apr 21, 2025'!$M:$M),0)+IFERROR(SUMIF('Apr 22 - May 21, 2025'!$A:$A,"LEASE-KH-F-2024",'Apr 22 - May 21, 2025'!$M:$M),0)+IFERROR(SUMIF('May 22 - Jun 21, 2025'!$A:$A,"LEASE-KH-F-2024",'May 22 - Jun 21, 2025'!$M:$M),0)+IFERROR(SUMIF('Jun 22 - Jul 21, 2025'!$A:$A,"LEASE-KH-F-2024",'Jun 22 - Jul 21, 2025'!$M:$M),0)+IFERROR(SUMIF('Jul 22 - Aug 21, 2025'!$A:$A,"LEASE-KH-F-2024",'Jul 22 - Aug 21, 2025'!$M:$M),0)+IFERROR(SUMIF('Aug 22 - Sep 21, 2025'!$A:$A,"LEASE-KH-F-2024",'Aug 22 - Sep 21, 2025'!$M:$M),0)+IFERROR(SUMIF('Sep 22 - Oct 21, 2025'!$A:$A,"LEASE-KH-F-2024",'Sep 22 - Oct 21, 2025'!$M:$M),0)+IFERROR(SUMIF('Oct 22 - Nov 21, 2025'!$A:$A,"LEASE-KH-F-2024",'Oct 22 - Nov 21, 2025'!$M:$M),0)</f>
        <v>0.0</v>
      </c>
      <c r="L37" s="3" t="n">
        <f>IFERROR(SUMIF('Dec 22 - Jan 21, 2025'!$A:$A,"LEASE-KH-F-2024",'Dec 22 - Jan 21, 2025'!$N:$N),0)+IFERROR(SUMIF('Jan 22 - Feb 21, 2025'!$A:$A,"LEASE-KH-F-2024",'Jan 22 - Feb 21, 2025'!$N:$N),0)+IFERROR(SUMIF('Feb 22 - Mar 21, 2025'!$A:$A,"LEASE-KH-F-2024",'Feb 22 - Mar 21, 2025'!$N:$N),0)+IFERROR(SUMIF('Mar 22 - Apr 21, 2025'!$A:$A,"LEASE-KH-F-2024",'Mar 22 - Apr 21, 2025'!$N:$N),0)+IFERROR(SUMIF('Apr 22 - May 21, 2025'!$A:$A,"LEASE-KH-F-2024",'Apr 22 - May 21, 2025'!$N:$N),0)+IFERROR(SUMIF('May 22 - Jun 21, 2025'!$A:$A,"LEASE-KH-F-2024",'May 22 - Jun 21, 2025'!$N:$N),0)+IFERROR(SUMIF('Jun 22 - Jul 21, 2025'!$A:$A,"LEASE-KH-F-2024",'Jun 22 - Jul 21, 2025'!$N:$N),0)+IFERROR(SUMIF('Jul 22 - Aug 21, 2025'!$A:$A,"LEASE-KH-F-2024",'Jul 22 - Aug 21, 2025'!$N:$N),0)+IFERROR(SUMIF('Aug 22 - Sep 21, 2025'!$A:$A,"LEASE-KH-F-2024",'Aug 22 - Sep 21, 2025'!$N:$N),0)+IFERROR(SUMIF('Sep 22 - Oct 21, 2025'!$A:$A,"LEASE-KH-F-2024",'Sep 22 - Oct 21, 2025'!$N:$N),0)+IFERROR(SUMIF('Oct 22 - Nov 21, 2025'!$A:$A,"LEASE-KH-F-2024",'Oct 22 - Nov 21, 2025'!$N:$N),0)</f>
        <v>0.0</v>
      </c>
      <c r="M37" s="3" t="n">
        <f>IFERROR(SUMIF('Dec 22 - Jan 21, 2025'!$A:$A,"LEASE-KH-F-2024",'Dec 22 - Jan 21, 2025'!$O:$O),0)+IFERROR(SUMIF('Jan 22 - Feb 21, 2025'!$A:$A,"LEASE-KH-F-2024",'Jan 22 - Feb 21, 2025'!$O:$O),0)+IFERROR(SUMIF('Feb 22 - Mar 21, 2025'!$A:$A,"LEASE-KH-F-2024",'Feb 22 - Mar 21, 2025'!$O:$O),0)+IFERROR(SUMIF('Mar 22 - Apr 21, 2025'!$A:$A,"LEASE-KH-F-2024",'Mar 22 - Apr 21, 2025'!$O:$O),0)+IFERROR(SUMIF('Apr 22 - May 21, 2025'!$A:$A,"LEASE-KH-F-2024",'Apr 22 - May 21, 2025'!$O:$O),0)+IFERROR(SUMIF('May 22 - Jun 21, 2025'!$A:$A,"LEASE-KH-F-2024",'May 22 - Jun 21, 2025'!$O:$O),0)+IFERROR(SUMIF('Jun 22 - Jul 21, 2025'!$A:$A,"LEASE-KH-F-2024",'Jun 22 - Jul 21, 2025'!$O:$O),0)+IFERROR(SUMIF('Jul 22 - Aug 21, 2025'!$A:$A,"LEASE-KH-F-2024",'Jul 22 - Aug 21, 2025'!$O:$O),0)+IFERROR(SUMIF('Aug 22 - Sep 21, 2025'!$A:$A,"LEASE-KH-F-2024",'Aug 22 - Sep 21, 2025'!$O:$O),0)+IFERROR(SUMIF('Sep 22 - Oct 21, 2025'!$A:$A,"LEASE-KH-F-2024",'Sep 22 - Oct 21, 2025'!$O:$O),0)+IFERROR(SUMIF('Oct 22 - Nov 21, 2025'!$A:$A,"LEASE-KH-F-2024",'Oct 22 - Nov 21, 2025'!$O:$O),0)</f>
        <v>0.0</v>
      </c>
      <c r="N37" s="3" t="n">
        <f>IFERROR(SUMIF('Dec 22 - Jan 21, 2025'!$A:$A,"LEASE-KH-F-2024",'Dec 22 - Jan 21, 2025'!$P:$P),0)+IFERROR(SUMIF('Jan 22 - Feb 21, 2025'!$A:$A,"LEASE-KH-F-2024",'Jan 22 - Feb 21, 2025'!$P:$P),0)+IFERROR(SUMIF('Feb 22 - Mar 21, 2025'!$A:$A,"LEASE-KH-F-2024",'Feb 22 - Mar 21, 2025'!$P:$P),0)+IFERROR(SUMIF('Mar 22 - Apr 21, 2025'!$A:$A,"LEASE-KH-F-2024",'Mar 22 - Apr 21, 2025'!$P:$P),0)+IFERROR(SUMIF('Apr 22 - May 21, 2025'!$A:$A,"LEASE-KH-F-2024",'Apr 22 - May 21, 2025'!$P:$P),0)+IFERROR(SUMIF('May 22 - Jun 21, 2025'!$A:$A,"LEASE-KH-F-2024",'May 22 - Jun 21, 2025'!$P:$P),0)+IFERROR(SUMIF('Jun 22 - Jul 21, 2025'!$A:$A,"LEASE-KH-F-2024",'Jun 22 - Jul 21, 2025'!$P:$P),0)+IFERROR(SUMIF('Jul 22 - Aug 21, 2025'!$A:$A,"LEASE-KH-F-2024",'Jul 22 - Aug 21, 2025'!$P:$P),0)+IFERROR(SUMIF('Aug 22 - Sep 21, 2025'!$A:$A,"LEASE-KH-F-2024",'Aug 22 - Sep 21, 2025'!$P:$P),0)+IFERROR(SUMIF('Sep 22 - Oct 21, 2025'!$A:$A,"LEASE-KH-F-2024",'Sep 22 - Oct 21, 2025'!$P:$P),0)+IFERROR(SUMIF('Oct 22 - Nov 21, 2025'!$A:$A,"LEASE-KH-F-2024",'Oct 22 - Nov 21, 2025'!$P:$P),0)</f>
        <v>0.0</v>
      </c>
      <c r="O37" s="3" t="n">
        <f>IFERROR(SUMIF('Dec 22 - Jan 21, 2025'!$A:$A,"LEASE-KH-F-2024",'Dec 22 - Jan 21, 2025'!$I:$I),0)</f>
        <v>0.0</v>
      </c>
      <c r="P37" s="3" t="n">
        <f>IFERROR(SUMIF('Oct 22 - Nov 21, 2025'!$A:$A,"LEASE-KH-F-2024",'Oct 22 - Nov 21, 2025'!$K:$K),0)</f>
        <v>0.0</v>
      </c>
    </row>
    <row r="38">
      <c r="A38" t="inlineStr">
        <is>
          <t>LEASE-BH-F12-2025C</t>
        </is>
      </c>
      <c r="B38" t="inlineStr">
        <is>
          <t>Flat 12 - 3 West Gate</t>
        </is>
      </c>
      <c r="C38" t="inlineStr">
        <is>
          <t>Achal (Delegated for Udayan)</t>
        </is>
      </c>
      <c r="D38" t="inlineStr">
        <is>
          <t>Jemimah	Nallarajah &amp; Arulnesan Anthony</t>
        </is>
      </c>
      <c r="E38" s="2" t="n">
        <v>45940.0</v>
      </c>
      <c r="F38" t="n">
        <v>23.0</v>
      </c>
      <c r="G38" s="3" t="n">
        <f>IFERROR(SUMIF('Dec 22 - Jan 21, 2025'!$A:$A,"LEASE-BH-F12-2025C",'Dec 22 - Jan 21, 2025'!$G:$G),0)+IFERROR(SUMIF('Jan 22 - Feb 21, 2025'!$A:$A,"LEASE-BH-F12-2025C",'Jan 22 - Feb 21, 2025'!$G:$G),0)+IFERROR(SUMIF('Feb 22 - Mar 21, 2025'!$A:$A,"LEASE-BH-F12-2025C",'Feb 22 - Mar 21, 2025'!$G:$G),0)+IFERROR(SUMIF('Mar 22 - Apr 21, 2025'!$A:$A,"LEASE-BH-F12-2025C",'Mar 22 - Apr 21, 2025'!$G:$G),0)+IFERROR(SUMIF('Apr 22 - May 21, 2025'!$A:$A,"LEASE-BH-F12-2025C",'Apr 22 - May 21, 2025'!$G:$G),0)+IFERROR(SUMIF('May 22 - Jun 21, 2025'!$A:$A,"LEASE-BH-F12-2025C",'May 22 - Jun 21, 2025'!$G:$G),0)+IFERROR(SUMIF('Jun 22 - Jul 21, 2025'!$A:$A,"LEASE-BH-F12-2025C",'Jun 22 - Jul 21, 2025'!$G:$G),0)+IFERROR(SUMIF('Jul 22 - Aug 21, 2025'!$A:$A,"LEASE-BH-F12-2025C",'Jul 22 - Aug 21, 2025'!$G:$G),0)+IFERROR(SUMIF('Aug 22 - Sep 21, 2025'!$A:$A,"LEASE-BH-F12-2025C",'Aug 22 - Sep 21, 2025'!$G:$G),0)+IFERROR(SUMIF('Sep 22 - Oct 21, 2025'!$A:$A,"LEASE-BH-F12-2025C",'Sep 22 - Oct 21, 2025'!$G:$G),0)+IFERROR(SUMIF('Oct 22 - Nov 21, 2025'!$A:$A,"LEASE-BH-F12-2025C",'Oct 22 - Nov 21, 2025'!$G:$G),0)</f>
        <v>0.0</v>
      </c>
      <c r="H38" s="3" t="n">
        <f>IFERROR(SUMIF('Dec 22 - Jan 21, 2025'!$A:$A,"LEASE-BH-F12-2025C",'Dec 22 - Jan 21, 2025'!$H:$H),0)+IFERROR(SUMIF('Jan 22 - Feb 21, 2025'!$A:$A,"LEASE-BH-F12-2025C",'Jan 22 - Feb 21, 2025'!$H:$H),0)+IFERROR(SUMIF('Feb 22 - Mar 21, 2025'!$A:$A,"LEASE-BH-F12-2025C",'Feb 22 - Mar 21, 2025'!$H:$H),0)+IFERROR(SUMIF('Mar 22 - Apr 21, 2025'!$A:$A,"LEASE-BH-F12-2025C",'Mar 22 - Apr 21, 2025'!$H:$H),0)+IFERROR(SUMIF('Apr 22 - May 21, 2025'!$A:$A,"LEASE-BH-F12-2025C",'Apr 22 - May 21, 2025'!$H:$H),0)+IFERROR(SUMIF('May 22 - Jun 21, 2025'!$A:$A,"LEASE-BH-F12-2025C",'May 22 - Jun 21, 2025'!$H:$H),0)+IFERROR(SUMIF('Jun 22 - Jul 21, 2025'!$A:$A,"LEASE-BH-F12-2025C",'Jun 22 - Jul 21, 2025'!$H:$H),0)+IFERROR(SUMIF('Jul 22 - Aug 21, 2025'!$A:$A,"LEASE-BH-F12-2025C",'Jul 22 - Aug 21, 2025'!$H:$H),0)+IFERROR(SUMIF('Aug 22 - Sep 21, 2025'!$A:$A,"LEASE-BH-F12-2025C",'Aug 22 - Sep 21, 2025'!$H:$H),0)+IFERROR(SUMIF('Sep 22 - Oct 21, 2025'!$A:$A,"LEASE-BH-F12-2025C",'Sep 22 - Oct 21, 2025'!$H:$H),0)+IFERROR(SUMIF('Oct 22 - Nov 21, 2025'!$A:$A,"LEASE-BH-F12-2025C",'Oct 22 - Nov 21, 2025'!$H:$H),0)</f>
        <v>0.0</v>
      </c>
      <c r="I38" s="3" t="n">
        <f>G38 - H38</f>
        <v>0.0</v>
      </c>
      <c r="J38" s="3" t="n">
        <f>IFERROR(SUMIF('Dec 22 - Jan 21, 2025'!$A:$A,"LEASE-BH-F12-2025C",'Dec 22 - Jan 21, 2025'!$L:$L),0)+IFERROR(SUMIF('Jan 22 - Feb 21, 2025'!$A:$A,"LEASE-BH-F12-2025C",'Jan 22 - Feb 21, 2025'!$L:$L),0)+IFERROR(SUMIF('Feb 22 - Mar 21, 2025'!$A:$A,"LEASE-BH-F12-2025C",'Feb 22 - Mar 21, 2025'!$L:$L),0)+IFERROR(SUMIF('Mar 22 - Apr 21, 2025'!$A:$A,"LEASE-BH-F12-2025C",'Mar 22 - Apr 21, 2025'!$L:$L),0)+IFERROR(SUMIF('Apr 22 - May 21, 2025'!$A:$A,"LEASE-BH-F12-2025C",'Apr 22 - May 21, 2025'!$L:$L),0)+IFERROR(SUMIF('May 22 - Jun 21, 2025'!$A:$A,"LEASE-BH-F12-2025C",'May 22 - Jun 21, 2025'!$L:$L),0)+IFERROR(SUMIF('Jun 22 - Jul 21, 2025'!$A:$A,"LEASE-BH-F12-2025C",'Jun 22 - Jul 21, 2025'!$L:$L),0)+IFERROR(SUMIF('Jul 22 - Aug 21, 2025'!$A:$A,"LEASE-BH-F12-2025C",'Jul 22 - Aug 21, 2025'!$L:$L),0)+IFERROR(SUMIF('Aug 22 - Sep 21, 2025'!$A:$A,"LEASE-BH-F12-2025C",'Aug 22 - Sep 21, 2025'!$L:$L),0)+IFERROR(SUMIF('Sep 22 - Oct 21, 2025'!$A:$A,"LEASE-BH-F12-2025C",'Sep 22 - Oct 21, 2025'!$L:$L),0)+IFERROR(SUMIF('Oct 22 - Nov 21, 2025'!$A:$A,"LEASE-BH-F12-2025C",'Oct 22 - Nov 21, 2025'!$L:$L),0)</f>
        <v>0.0</v>
      </c>
      <c r="K38" s="3" t="n">
        <f>IFERROR(SUMIF('Dec 22 - Jan 21, 2025'!$A:$A,"LEASE-BH-F12-2025C",'Dec 22 - Jan 21, 2025'!$M:$M),0)+IFERROR(SUMIF('Jan 22 - Feb 21, 2025'!$A:$A,"LEASE-BH-F12-2025C",'Jan 22 - Feb 21, 2025'!$M:$M),0)+IFERROR(SUMIF('Feb 22 - Mar 21, 2025'!$A:$A,"LEASE-BH-F12-2025C",'Feb 22 - Mar 21, 2025'!$M:$M),0)+IFERROR(SUMIF('Mar 22 - Apr 21, 2025'!$A:$A,"LEASE-BH-F12-2025C",'Mar 22 - Apr 21, 2025'!$M:$M),0)+IFERROR(SUMIF('Apr 22 - May 21, 2025'!$A:$A,"LEASE-BH-F12-2025C",'Apr 22 - May 21, 2025'!$M:$M),0)+IFERROR(SUMIF('May 22 - Jun 21, 2025'!$A:$A,"LEASE-BH-F12-2025C",'May 22 - Jun 21, 2025'!$M:$M),0)+IFERROR(SUMIF('Jun 22 - Jul 21, 2025'!$A:$A,"LEASE-BH-F12-2025C",'Jun 22 - Jul 21, 2025'!$M:$M),0)+IFERROR(SUMIF('Jul 22 - Aug 21, 2025'!$A:$A,"LEASE-BH-F12-2025C",'Jul 22 - Aug 21, 2025'!$M:$M),0)+IFERROR(SUMIF('Aug 22 - Sep 21, 2025'!$A:$A,"LEASE-BH-F12-2025C",'Aug 22 - Sep 21, 2025'!$M:$M),0)+IFERROR(SUMIF('Sep 22 - Oct 21, 2025'!$A:$A,"LEASE-BH-F12-2025C",'Sep 22 - Oct 21, 2025'!$M:$M),0)+IFERROR(SUMIF('Oct 22 - Nov 21, 2025'!$A:$A,"LEASE-BH-F12-2025C",'Oct 22 - Nov 21, 2025'!$M:$M),0)</f>
        <v>0.0</v>
      </c>
      <c r="L38" s="3" t="n">
        <f>IFERROR(SUMIF('Dec 22 - Jan 21, 2025'!$A:$A,"LEASE-BH-F12-2025C",'Dec 22 - Jan 21, 2025'!$N:$N),0)+IFERROR(SUMIF('Jan 22 - Feb 21, 2025'!$A:$A,"LEASE-BH-F12-2025C",'Jan 22 - Feb 21, 2025'!$N:$N),0)+IFERROR(SUMIF('Feb 22 - Mar 21, 2025'!$A:$A,"LEASE-BH-F12-2025C",'Feb 22 - Mar 21, 2025'!$N:$N),0)+IFERROR(SUMIF('Mar 22 - Apr 21, 2025'!$A:$A,"LEASE-BH-F12-2025C",'Mar 22 - Apr 21, 2025'!$N:$N),0)+IFERROR(SUMIF('Apr 22 - May 21, 2025'!$A:$A,"LEASE-BH-F12-2025C",'Apr 22 - May 21, 2025'!$N:$N),0)+IFERROR(SUMIF('May 22 - Jun 21, 2025'!$A:$A,"LEASE-BH-F12-2025C",'May 22 - Jun 21, 2025'!$N:$N),0)+IFERROR(SUMIF('Jun 22 - Jul 21, 2025'!$A:$A,"LEASE-BH-F12-2025C",'Jun 22 - Jul 21, 2025'!$N:$N),0)+IFERROR(SUMIF('Jul 22 - Aug 21, 2025'!$A:$A,"LEASE-BH-F12-2025C",'Jul 22 - Aug 21, 2025'!$N:$N),0)+IFERROR(SUMIF('Aug 22 - Sep 21, 2025'!$A:$A,"LEASE-BH-F12-2025C",'Aug 22 - Sep 21, 2025'!$N:$N),0)+IFERROR(SUMIF('Sep 22 - Oct 21, 2025'!$A:$A,"LEASE-BH-F12-2025C",'Sep 22 - Oct 21, 2025'!$N:$N),0)+IFERROR(SUMIF('Oct 22 - Nov 21, 2025'!$A:$A,"LEASE-BH-F12-2025C",'Oct 22 - Nov 21, 2025'!$N:$N),0)</f>
        <v>0.0</v>
      </c>
      <c r="M38" s="3" t="n">
        <f>IFERROR(SUMIF('Dec 22 - Jan 21, 2025'!$A:$A,"LEASE-BH-F12-2025C",'Dec 22 - Jan 21, 2025'!$O:$O),0)+IFERROR(SUMIF('Jan 22 - Feb 21, 2025'!$A:$A,"LEASE-BH-F12-2025C",'Jan 22 - Feb 21, 2025'!$O:$O),0)+IFERROR(SUMIF('Feb 22 - Mar 21, 2025'!$A:$A,"LEASE-BH-F12-2025C",'Feb 22 - Mar 21, 2025'!$O:$O),0)+IFERROR(SUMIF('Mar 22 - Apr 21, 2025'!$A:$A,"LEASE-BH-F12-2025C",'Mar 22 - Apr 21, 2025'!$O:$O),0)+IFERROR(SUMIF('Apr 22 - May 21, 2025'!$A:$A,"LEASE-BH-F12-2025C",'Apr 22 - May 21, 2025'!$O:$O),0)+IFERROR(SUMIF('May 22 - Jun 21, 2025'!$A:$A,"LEASE-BH-F12-2025C",'May 22 - Jun 21, 2025'!$O:$O),0)+IFERROR(SUMIF('Jun 22 - Jul 21, 2025'!$A:$A,"LEASE-BH-F12-2025C",'Jun 22 - Jul 21, 2025'!$O:$O),0)+IFERROR(SUMIF('Jul 22 - Aug 21, 2025'!$A:$A,"LEASE-BH-F12-2025C",'Jul 22 - Aug 21, 2025'!$O:$O),0)+IFERROR(SUMIF('Aug 22 - Sep 21, 2025'!$A:$A,"LEASE-BH-F12-2025C",'Aug 22 - Sep 21, 2025'!$O:$O),0)+IFERROR(SUMIF('Sep 22 - Oct 21, 2025'!$A:$A,"LEASE-BH-F12-2025C",'Sep 22 - Oct 21, 2025'!$O:$O),0)+IFERROR(SUMIF('Oct 22 - Nov 21, 2025'!$A:$A,"LEASE-BH-F12-2025C",'Oct 22 - Nov 21, 2025'!$O:$O),0)</f>
        <v>0.0</v>
      </c>
      <c r="N38" s="3" t="n">
        <f>IFERROR(SUMIF('Dec 22 - Jan 21, 2025'!$A:$A,"LEASE-BH-F12-2025C",'Dec 22 - Jan 21, 2025'!$P:$P),0)+IFERROR(SUMIF('Jan 22 - Feb 21, 2025'!$A:$A,"LEASE-BH-F12-2025C",'Jan 22 - Feb 21, 2025'!$P:$P),0)+IFERROR(SUMIF('Feb 22 - Mar 21, 2025'!$A:$A,"LEASE-BH-F12-2025C",'Feb 22 - Mar 21, 2025'!$P:$P),0)+IFERROR(SUMIF('Mar 22 - Apr 21, 2025'!$A:$A,"LEASE-BH-F12-2025C",'Mar 22 - Apr 21, 2025'!$P:$P),0)+IFERROR(SUMIF('Apr 22 - May 21, 2025'!$A:$A,"LEASE-BH-F12-2025C",'Apr 22 - May 21, 2025'!$P:$P),0)+IFERROR(SUMIF('May 22 - Jun 21, 2025'!$A:$A,"LEASE-BH-F12-2025C",'May 22 - Jun 21, 2025'!$P:$P),0)+IFERROR(SUMIF('Jun 22 - Jul 21, 2025'!$A:$A,"LEASE-BH-F12-2025C",'Jun 22 - Jul 21, 2025'!$P:$P),0)+IFERROR(SUMIF('Jul 22 - Aug 21, 2025'!$A:$A,"LEASE-BH-F12-2025C",'Jul 22 - Aug 21, 2025'!$P:$P),0)+IFERROR(SUMIF('Aug 22 - Sep 21, 2025'!$A:$A,"LEASE-BH-F12-2025C",'Aug 22 - Sep 21, 2025'!$P:$P),0)+IFERROR(SUMIF('Sep 22 - Oct 21, 2025'!$A:$A,"LEASE-BH-F12-2025C",'Sep 22 - Oct 21, 2025'!$P:$P),0)+IFERROR(SUMIF('Oct 22 - Nov 21, 2025'!$A:$A,"LEASE-BH-F12-2025C",'Oct 22 - Nov 21, 2025'!$P:$P),0)</f>
        <v>0.0</v>
      </c>
      <c r="O38" s="3" t="n">
        <f>IFERROR(SUMIF('Dec 22 - Jan 21, 2025'!$A:$A,"LEASE-BH-F12-2025C",'Dec 22 - Jan 21, 2025'!$I:$I),0)</f>
        <v>0.0</v>
      </c>
      <c r="P38" s="3" t="n">
        <f>IFERROR(SUMIF('Oct 22 - Nov 21, 2025'!$A:$A,"LEASE-BH-F12-2025C",'Oct 22 - Nov 21, 2025'!$K:$K),0)</f>
        <v>0.0</v>
      </c>
    </row>
    <row r="39">
      <c r="A39" t="inlineStr">
        <is>
          <t>LEASE-BH-F25-2025</t>
        </is>
      </c>
      <c r="B39" t="inlineStr">
        <is>
          <t>Flat 25 - 3 West Gate</t>
        </is>
      </c>
      <c r="C39" t="inlineStr">
        <is>
          <t>Achal (Delegated for Udayan)</t>
        </is>
      </c>
      <c r="D39" t="inlineStr">
        <is>
          <t>Beatriz Silva</t>
        </is>
      </c>
      <c r="E39" s="2" t="n">
        <v>45922.0</v>
      </c>
      <c r="F39" t="n">
        <v>5.0</v>
      </c>
      <c r="G39" s="3" t="n">
        <f>IFERROR(SUMIF('Dec 22 - Jan 21, 2025'!$A:$A,"LEASE-BH-F25-2025",'Dec 22 - Jan 21, 2025'!$G:$G),0)+IFERROR(SUMIF('Jan 22 - Feb 21, 2025'!$A:$A,"LEASE-BH-F25-2025",'Jan 22 - Feb 21, 2025'!$G:$G),0)+IFERROR(SUMIF('Feb 22 - Mar 21, 2025'!$A:$A,"LEASE-BH-F25-2025",'Feb 22 - Mar 21, 2025'!$G:$G),0)+IFERROR(SUMIF('Mar 22 - Apr 21, 2025'!$A:$A,"LEASE-BH-F25-2025",'Mar 22 - Apr 21, 2025'!$G:$G),0)+IFERROR(SUMIF('Apr 22 - May 21, 2025'!$A:$A,"LEASE-BH-F25-2025",'Apr 22 - May 21, 2025'!$G:$G),0)+IFERROR(SUMIF('May 22 - Jun 21, 2025'!$A:$A,"LEASE-BH-F25-2025",'May 22 - Jun 21, 2025'!$G:$G),0)+IFERROR(SUMIF('Jun 22 - Jul 21, 2025'!$A:$A,"LEASE-BH-F25-2025",'Jun 22 - Jul 21, 2025'!$G:$G),0)+IFERROR(SUMIF('Jul 22 - Aug 21, 2025'!$A:$A,"LEASE-BH-F25-2025",'Jul 22 - Aug 21, 2025'!$G:$G),0)+IFERROR(SUMIF('Aug 22 - Sep 21, 2025'!$A:$A,"LEASE-BH-F25-2025",'Aug 22 - Sep 21, 2025'!$G:$G),0)+IFERROR(SUMIF('Sep 22 - Oct 21, 2025'!$A:$A,"LEASE-BH-F25-2025",'Sep 22 - Oct 21, 2025'!$G:$G),0)+IFERROR(SUMIF('Oct 22 - Nov 21, 2025'!$A:$A,"LEASE-BH-F25-2025",'Oct 22 - Nov 21, 2025'!$G:$G),0)</f>
        <v>0.0</v>
      </c>
      <c r="H39" s="3" t="n">
        <f>IFERROR(SUMIF('Dec 22 - Jan 21, 2025'!$A:$A,"LEASE-BH-F25-2025",'Dec 22 - Jan 21, 2025'!$H:$H),0)+IFERROR(SUMIF('Jan 22 - Feb 21, 2025'!$A:$A,"LEASE-BH-F25-2025",'Jan 22 - Feb 21, 2025'!$H:$H),0)+IFERROR(SUMIF('Feb 22 - Mar 21, 2025'!$A:$A,"LEASE-BH-F25-2025",'Feb 22 - Mar 21, 2025'!$H:$H),0)+IFERROR(SUMIF('Mar 22 - Apr 21, 2025'!$A:$A,"LEASE-BH-F25-2025",'Mar 22 - Apr 21, 2025'!$H:$H),0)+IFERROR(SUMIF('Apr 22 - May 21, 2025'!$A:$A,"LEASE-BH-F25-2025",'Apr 22 - May 21, 2025'!$H:$H),0)+IFERROR(SUMIF('May 22 - Jun 21, 2025'!$A:$A,"LEASE-BH-F25-2025",'May 22 - Jun 21, 2025'!$H:$H),0)+IFERROR(SUMIF('Jun 22 - Jul 21, 2025'!$A:$A,"LEASE-BH-F25-2025",'Jun 22 - Jul 21, 2025'!$H:$H),0)+IFERROR(SUMIF('Jul 22 - Aug 21, 2025'!$A:$A,"LEASE-BH-F25-2025",'Jul 22 - Aug 21, 2025'!$H:$H),0)+IFERROR(SUMIF('Aug 22 - Sep 21, 2025'!$A:$A,"LEASE-BH-F25-2025",'Aug 22 - Sep 21, 2025'!$H:$H),0)+IFERROR(SUMIF('Sep 22 - Oct 21, 2025'!$A:$A,"LEASE-BH-F25-2025",'Sep 22 - Oct 21, 2025'!$H:$H),0)+IFERROR(SUMIF('Oct 22 - Nov 21, 2025'!$A:$A,"LEASE-BH-F25-2025",'Oct 22 - Nov 21, 2025'!$H:$H),0)</f>
        <v>0.0</v>
      </c>
      <c r="I39" s="3" t="n">
        <f>G39 - H39</f>
        <v>0.0</v>
      </c>
      <c r="J39" s="3" t="n">
        <f>IFERROR(SUMIF('Dec 22 - Jan 21, 2025'!$A:$A,"LEASE-BH-F25-2025",'Dec 22 - Jan 21, 2025'!$L:$L),0)+IFERROR(SUMIF('Jan 22 - Feb 21, 2025'!$A:$A,"LEASE-BH-F25-2025",'Jan 22 - Feb 21, 2025'!$L:$L),0)+IFERROR(SUMIF('Feb 22 - Mar 21, 2025'!$A:$A,"LEASE-BH-F25-2025",'Feb 22 - Mar 21, 2025'!$L:$L),0)+IFERROR(SUMIF('Mar 22 - Apr 21, 2025'!$A:$A,"LEASE-BH-F25-2025",'Mar 22 - Apr 21, 2025'!$L:$L),0)+IFERROR(SUMIF('Apr 22 - May 21, 2025'!$A:$A,"LEASE-BH-F25-2025",'Apr 22 - May 21, 2025'!$L:$L),0)+IFERROR(SUMIF('May 22 - Jun 21, 2025'!$A:$A,"LEASE-BH-F25-2025",'May 22 - Jun 21, 2025'!$L:$L),0)+IFERROR(SUMIF('Jun 22 - Jul 21, 2025'!$A:$A,"LEASE-BH-F25-2025",'Jun 22 - Jul 21, 2025'!$L:$L),0)+IFERROR(SUMIF('Jul 22 - Aug 21, 2025'!$A:$A,"LEASE-BH-F25-2025",'Jul 22 - Aug 21, 2025'!$L:$L),0)+IFERROR(SUMIF('Aug 22 - Sep 21, 2025'!$A:$A,"LEASE-BH-F25-2025",'Aug 22 - Sep 21, 2025'!$L:$L),0)+IFERROR(SUMIF('Sep 22 - Oct 21, 2025'!$A:$A,"LEASE-BH-F25-2025",'Sep 22 - Oct 21, 2025'!$L:$L),0)+IFERROR(SUMIF('Oct 22 - Nov 21, 2025'!$A:$A,"LEASE-BH-F25-2025",'Oct 22 - Nov 21, 2025'!$L:$L),0)</f>
        <v>0.0</v>
      </c>
      <c r="K39" s="3" t="n">
        <f>IFERROR(SUMIF('Dec 22 - Jan 21, 2025'!$A:$A,"LEASE-BH-F25-2025",'Dec 22 - Jan 21, 2025'!$M:$M),0)+IFERROR(SUMIF('Jan 22 - Feb 21, 2025'!$A:$A,"LEASE-BH-F25-2025",'Jan 22 - Feb 21, 2025'!$M:$M),0)+IFERROR(SUMIF('Feb 22 - Mar 21, 2025'!$A:$A,"LEASE-BH-F25-2025",'Feb 22 - Mar 21, 2025'!$M:$M),0)+IFERROR(SUMIF('Mar 22 - Apr 21, 2025'!$A:$A,"LEASE-BH-F25-2025",'Mar 22 - Apr 21, 2025'!$M:$M),0)+IFERROR(SUMIF('Apr 22 - May 21, 2025'!$A:$A,"LEASE-BH-F25-2025",'Apr 22 - May 21, 2025'!$M:$M),0)+IFERROR(SUMIF('May 22 - Jun 21, 2025'!$A:$A,"LEASE-BH-F25-2025",'May 22 - Jun 21, 2025'!$M:$M),0)+IFERROR(SUMIF('Jun 22 - Jul 21, 2025'!$A:$A,"LEASE-BH-F25-2025",'Jun 22 - Jul 21, 2025'!$M:$M),0)+IFERROR(SUMIF('Jul 22 - Aug 21, 2025'!$A:$A,"LEASE-BH-F25-2025",'Jul 22 - Aug 21, 2025'!$M:$M),0)+IFERROR(SUMIF('Aug 22 - Sep 21, 2025'!$A:$A,"LEASE-BH-F25-2025",'Aug 22 - Sep 21, 2025'!$M:$M),0)+IFERROR(SUMIF('Sep 22 - Oct 21, 2025'!$A:$A,"LEASE-BH-F25-2025",'Sep 22 - Oct 21, 2025'!$M:$M),0)+IFERROR(SUMIF('Oct 22 - Nov 21, 2025'!$A:$A,"LEASE-BH-F25-2025",'Oct 22 - Nov 21, 2025'!$M:$M),0)</f>
        <v>0.0</v>
      </c>
      <c r="L39" s="3" t="n">
        <f>IFERROR(SUMIF('Dec 22 - Jan 21, 2025'!$A:$A,"LEASE-BH-F25-2025",'Dec 22 - Jan 21, 2025'!$N:$N),0)+IFERROR(SUMIF('Jan 22 - Feb 21, 2025'!$A:$A,"LEASE-BH-F25-2025",'Jan 22 - Feb 21, 2025'!$N:$N),0)+IFERROR(SUMIF('Feb 22 - Mar 21, 2025'!$A:$A,"LEASE-BH-F25-2025",'Feb 22 - Mar 21, 2025'!$N:$N),0)+IFERROR(SUMIF('Mar 22 - Apr 21, 2025'!$A:$A,"LEASE-BH-F25-2025",'Mar 22 - Apr 21, 2025'!$N:$N),0)+IFERROR(SUMIF('Apr 22 - May 21, 2025'!$A:$A,"LEASE-BH-F25-2025",'Apr 22 - May 21, 2025'!$N:$N),0)+IFERROR(SUMIF('May 22 - Jun 21, 2025'!$A:$A,"LEASE-BH-F25-2025",'May 22 - Jun 21, 2025'!$N:$N),0)+IFERROR(SUMIF('Jun 22 - Jul 21, 2025'!$A:$A,"LEASE-BH-F25-2025",'Jun 22 - Jul 21, 2025'!$N:$N),0)+IFERROR(SUMIF('Jul 22 - Aug 21, 2025'!$A:$A,"LEASE-BH-F25-2025",'Jul 22 - Aug 21, 2025'!$N:$N),0)+IFERROR(SUMIF('Aug 22 - Sep 21, 2025'!$A:$A,"LEASE-BH-F25-2025",'Aug 22 - Sep 21, 2025'!$N:$N),0)+IFERROR(SUMIF('Sep 22 - Oct 21, 2025'!$A:$A,"LEASE-BH-F25-2025",'Sep 22 - Oct 21, 2025'!$N:$N),0)+IFERROR(SUMIF('Oct 22 - Nov 21, 2025'!$A:$A,"LEASE-BH-F25-2025",'Oct 22 - Nov 21, 2025'!$N:$N),0)</f>
        <v>0.0</v>
      </c>
      <c r="M39" s="3" t="n">
        <f>IFERROR(SUMIF('Dec 22 - Jan 21, 2025'!$A:$A,"LEASE-BH-F25-2025",'Dec 22 - Jan 21, 2025'!$O:$O),0)+IFERROR(SUMIF('Jan 22 - Feb 21, 2025'!$A:$A,"LEASE-BH-F25-2025",'Jan 22 - Feb 21, 2025'!$O:$O),0)+IFERROR(SUMIF('Feb 22 - Mar 21, 2025'!$A:$A,"LEASE-BH-F25-2025",'Feb 22 - Mar 21, 2025'!$O:$O),0)+IFERROR(SUMIF('Mar 22 - Apr 21, 2025'!$A:$A,"LEASE-BH-F25-2025",'Mar 22 - Apr 21, 2025'!$O:$O),0)+IFERROR(SUMIF('Apr 22 - May 21, 2025'!$A:$A,"LEASE-BH-F25-2025",'Apr 22 - May 21, 2025'!$O:$O),0)+IFERROR(SUMIF('May 22 - Jun 21, 2025'!$A:$A,"LEASE-BH-F25-2025",'May 22 - Jun 21, 2025'!$O:$O),0)+IFERROR(SUMIF('Jun 22 - Jul 21, 2025'!$A:$A,"LEASE-BH-F25-2025",'Jun 22 - Jul 21, 2025'!$O:$O),0)+IFERROR(SUMIF('Jul 22 - Aug 21, 2025'!$A:$A,"LEASE-BH-F25-2025",'Jul 22 - Aug 21, 2025'!$O:$O),0)+IFERROR(SUMIF('Aug 22 - Sep 21, 2025'!$A:$A,"LEASE-BH-F25-2025",'Aug 22 - Sep 21, 2025'!$O:$O),0)+IFERROR(SUMIF('Sep 22 - Oct 21, 2025'!$A:$A,"LEASE-BH-F25-2025",'Sep 22 - Oct 21, 2025'!$O:$O),0)+IFERROR(SUMIF('Oct 22 - Nov 21, 2025'!$A:$A,"LEASE-BH-F25-2025",'Oct 22 - Nov 21, 2025'!$O:$O),0)</f>
        <v>0.0</v>
      </c>
      <c r="N39" s="3" t="n">
        <f>IFERROR(SUMIF('Dec 22 - Jan 21, 2025'!$A:$A,"LEASE-BH-F25-2025",'Dec 22 - Jan 21, 2025'!$P:$P),0)+IFERROR(SUMIF('Jan 22 - Feb 21, 2025'!$A:$A,"LEASE-BH-F25-2025",'Jan 22 - Feb 21, 2025'!$P:$P),0)+IFERROR(SUMIF('Feb 22 - Mar 21, 2025'!$A:$A,"LEASE-BH-F25-2025",'Feb 22 - Mar 21, 2025'!$P:$P),0)+IFERROR(SUMIF('Mar 22 - Apr 21, 2025'!$A:$A,"LEASE-BH-F25-2025",'Mar 22 - Apr 21, 2025'!$P:$P),0)+IFERROR(SUMIF('Apr 22 - May 21, 2025'!$A:$A,"LEASE-BH-F25-2025",'Apr 22 - May 21, 2025'!$P:$P),0)+IFERROR(SUMIF('May 22 - Jun 21, 2025'!$A:$A,"LEASE-BH-F25-2025",'May 22 - Jun 21, 2025'!$P:$P),0)+IFERROR(SUMIF('Jun 22 - Jul 21, 2025'!$A:$A,"LEASE-BH-F25-2025",'Jun 22 - Jul 21, 2025'!$P:$P),0)+IFERROR(SUMIF('Jul 22 - Aug 21, 2025'!$A:$A,"LEASE-BH-F25-2025",'Jul 22 - Aug 21, 2025'!$P:$P),0)+IFERROR(SUMIF('Aug 22 - Sep 21, 2025'!$A:$A,"LEASE-BH-F25-2025",'Aug 22 - Sep 21, 2025'!$P:$P),0)+IFERROR(SUMIF('Sep 22 - Oct 21, 2025'!$A:$A,"LEASE-BH-F25-2025",'Sep 22 - Oct 21, 2025'!$P:$P),0)+IFERROR(SUMIF('Oct 22 - Nov 21, 2025'!$A:$A,"LEASE-BH-F25-2025",'Oct 22 - Nov 21, 2025'!$P:$P),0)</f>
        <v>0.0</v>
      </c>
      <c r="O39" s="3" t="n">
        <f>IFERROR(SUMIF('Dec 22 - Jan 21, 2025'!$A:$A,"LEASE-BH-F25-2025",'Dec 22 - Jan 21, 2025'!$I:$I),0)</f>
        <v>0.0</v>
      </c>
      <c r="P39" s="3" t="n">
        <f>IFERROR(SUMIF('Oct 22 - Nov 21, 2025'!$A:$A,"LEASE-BH-F25-2025",'Oct 22 - Nov 21, 2025'!$K:$K),0)</f>
        <v>0.0</v>
      </c>
    </row>
    <row r="40">
      <c r="A40" t="inlineStr">
        <is>
          <t>BODEN-BLOCK-2025</t>
        </is>
      </c>
      <c r="B40" t="inlineStr">
        <is>
          <t>Boden House Block - Block Property</t>
        </is>
      </c>
      <c r="C40" t="inlineStr">
        <is>
          <t>Achal (Delegated for Udayan)</t>
        </is>
      </c>
      <c r="D40" t="inlineStr">
        <is>
          <t>Prestvale Properties Limited</t>
        </is>
      </c>
      <c r="E40" s="2" t="n">
        <v>45717.0</v>
      </c>
      <c r="F40" t="n">
        <v>1.0</v>
      </c>
      <c r="G40" s="3" t="n">
        <f>IFERROR(SUMIF('Dec 22 - Jan 21, 2025'!$A:$A,"BODEN-BLOCK-2025",'Dec 22 - Jan 21, 2025'!$G:$G),0)+IFERROR(SUMIF('Jan 22 - Feb 21, 2025'!$A:$A,"BODEN-BLOCK-2025",'Jan 22 - Feb 21, 2025'!$G:$G),0)+IFERROR(SUMIF('Feb 22 - Mar 21, 2025'!$A:$A,"BODEN-BLOCK-2025",'Feb 22 - Mar 21, 2025'!$G:$G),0)+IFERROR(SUMIF('Mar 22 - Apr 21, 2025'!$A:$A,"BODEN-BLOCK-2025",'Mar 22 - Apr 21, 2025'!$G:$G),0)+IFERROR(SUMIF('Apr 22 - May 21, 2025'!$A:$A,"BODEN-BLOCK-2025",'Apr 22 - May 21, 2025'!$G:$G),0)+IFERROR(SUMIF('May 22 - Jun 21, 2025'!$A:$A,"BODEN-BLOCK-2025",'May 22 - Jun 21, 2025'!$G:$G),0)+IFERROR(SUMIF('Jun 22 - Jul 21, 2025'!$A:$A,"BODEN-BLOCK-2025",'Jun 22 - Jul 21, 2025'!$G:$G),0)+IFERROR(SUMIF('Jul 22 - Aug 21, 2025'!$A:$A,"BODEN-BLOCK-2025",'Jul 22 - Aug 21, 2025'!$G:$G),0)+IFERROR(SUMIF('Aug 22 - Sep 21, 2025'!$A:$A,"BODEN-BLOCK-2025",'Aug 22 - Sep 21, 2025'!$G:$G),0)+IFERROR(SUMIF('Sep 22 - Oct 21, 2025'!$A:$A,"BODEN-BLOCK-2025",'Sep 22 - Oct 21, 2025'!$G:$G),0)+IFERROR(SUMIF('Oct 22 - Nov 21, 2025'!$A:$A,"BODEN-BLOCK-2025",'Oct 22 - Nov 21, 2025'!$G:$G),0)</f>
        <v>0.0</v>
      </c>
      <c r="H40" s="3" t="n">
        <f>IFERROR(SUMIF('Dec 22 - Jan 21, 2025'!$A:$A,"BODEN-BLOCK-2025",'Dec 22 - Jan 21, 2025'!$H:$H),0)+IFERROR(SUMIF('Jan 22 - Feb 21, 2025'!$A:$A,"BODEN-BLOCK-2025",'Jan 22 - Feb 21, 2025'!$H:$H),0)+IFERROR(SUMIF('Feb 22 - Mar 21, 2025'!$A:$A,"BODEN-BLOCK-2025",'Feb 22 - Mar 21, 2025'!$H:$H),0)+IFERROR(SUMIF('Mar 22 - Apr 21, 2025'!$A:$A,"BODEN-BLOCK-2025",'Mar 22 - Apr 21, 2025'!$H:$H),0)+IFERROR(SUMIF('Apr 22 - May 21, 2025'!$A:$A,"BODEN-BLOCK-2025",'Apr 22 - May 21, 2025'!$H:$H),0)+IFERROR(SUMIF('May 22 - Jun 21, 2025'!$A:$A,"BODEN-BLOCK-2025",'May 22 - Jun 21, 2025'!$H:$H),0)+IFERROR(SUMIF('Jun 22 - Jul 21, 2025'!$A:$A,"BODEN-BLOCK-2025",'Jun 22 - Jul 21, 2025'!$H:$H),0)+IFERROR(SUMIF('Jul 22 - Aug 21, 2025'!$A:$A,"BODEN-BLOCK-2025",'Jul 22 - Aug 21, 2025'!$H:$H),0)+IFERROR(SUMIF('Aug 22 - Sep 21, 2025'!$A:$A,"BODEN-BLOCK-2025",'Aug 22 - Sep 21, 2025'!$H:$H),0)+IFERROR(SUMIF('Sep 22 - Oct 21, 2025'!$A:$A,"BODEN-BLOCK-2025",'Sep 22 - Oct 21, 2025'!$H:$H),0)+IFERROR(SUMIF('Oct 22 - Nov 21, 2025'!$A:$A,"BODEN-BLOCK-2025",'Oct 22 - Nov 21, 2025'!$H:$H),0)</f>
        <v>0.0</v>
      </c>
      <c r="I40" s="3" t="n">
        <f>G40 - H40</f>
        <v>0.0</v>
      </c>
      <c r="J40" s="3" t="n">
        <f>IFERROR(SUMIF('Dec 22 - Jan 21, 2025'!$A:$A,"BODEN-BLOCK-2025",'Dec 22 - Jan 21, 2025'!$L:$L),0)+IFERROR(SUMIF('Jan 22 - Feb 21, 2025'!$A:$A,"BODEN-BLOCK-2025",'Jan 22 - Feb 21, 2025'!$L:$L),0)+IFERROR(SUMIF('Feb 22 - Mar 21, 2025'!$A:$A,"BODEN-BLOCK-2025",'Feb 22 - Mar 21, 2025'!$L:$L),0)+IFERROR(SUMIF('Mar 22 - Apr 21, 2025'!$A:$A,"BODEN-BLOCK-2025",'Mar 22 - Apr 21, 2025'!$L:$L),0)+IFERROR(SUMIF('Apr 22 - May 21, 2025'!$A:$A,"BODEN-BLOCK-2025",'Apr 22 - May 21, 2025'!$L:$L),0)+IFERROR(SUMIF('May 22 - Jun 21, 2025'!$A:$A,"BODEN-BLOCK-2025",'May 22 - Jun 21, 2025'!$L:$L),0)+IFERROR(SUMIF('Jun 22 - Jul 21, 2025'!$A:$A,"BODEN-BLOCK-2025",'Jun 22 - Jul 21, 2025'!$L:$L),0)+IFERROR(SUMIF('Jul 22 - Aug 21, 2025'!$A:$A,"BODEN-BLOCK-2025",'Jul 22 - Aug 21, 2025'!$L:$L),0)+IFERROR(SUMIF('Aug 22 - Sep 21, 2025'!$A:$A,"BODEN-BLOCK-2025",'Aug 22 - Sep 21, 2025'!$L:$L),0)+IFERROR(SUMIF('Sep 22 - Oct 21, 2025'!$A:$A,"BODEN-BLOCK-2025",'Sep 22 - Oct 21, 2025'!$L:$L),0)+IFERROR(SUMIF('Oct 22 - Nov 21, 2025'!$A:$A,"BODEN-BLOCK-2025",'Oct 22 - Nov 21, 2025'!$L:$L),0)</f>
        <v>0.0</v>
      </c>
      <c r="K40" s="3" t="n">
        <f>IFERROR(SUMIF('Dec 22 - Jan 21, 2025'!$A:$A,"BODEN-BLOCK-2025",'Dec 22 - Jan 21, 2025'!$M:$M),0)+IFERROR(SUMIF('Jan 22 - Feb 21, 2025'!$A:$A,"BODEN-BLOCK-2025",'Jan 22 - Feb 21, 2025'!$M:$M),0)+IFERROR(SUMIF('Feb 22 - Mar 21, 2025'!$A:$A,"BODEN-BLOCK-2025",'Feb 22 - Mar 21, 2025'!$M:$M),0)+IFERROR(SUMIF('Mar 22 - Apr 21, 2025'!$A:$A,"BODEN-BLOCK-2025",'Mar 22 - Apr 21, 2025'!$M:$M),0)+IFERROR(SUMIF('Apr 22 - May 21, 2025'!$A:$A,"BODEN-BLOCK-2025",'Apr 22 - May 21, 2025'!$M:$M),0)+IFERROR(SUMIF('May 22 - Jun 21, 2025'!$A:$A,"BODEN-BLOCK-2025",'May 22 - Jun 21, 2025'!$M:$M),0)+IFERROR(SUMIF('Jun 22 - Jul 21, 2025'!$A:$A,"BODEN-BLOCK-2025",'Jun 22 - Jul 21, 2025'!$M:$M),0)+IFERROR(SUMIF('Jul 22 - Aug 21, 2025'!$A:$A,"BODEN-BLOCK-2025",'Jul 22 - Aug 21, 2025'!$M:$M),0)+IFERROR(SUMIF('Aug 22 - Sep 21, 2025'!$A:$A,"BODEN-BLOCK-2025",'Aug 22 - Sep 21, 2025'!$M:$M),0)+IFERROR(SUMIF('Sep 22 - Oct 21, 2025'!$A:$A,"BODEN-BLOCK-2025",'Sep 22 - Oct 21, 2025'!$M:$M),0)+IFERROR(SUMIF('Oct 22 - Nov 21, 2025'!$A:$A,"BODEN-BLOCK-2025",'Oct 22 - Nov 21, 2025'!$M:$M),0)</f>
        <v>0.0</v>
      </c>
      <c r="L40" s="3" t="n">
        <f>IFERROR(SUMIF('Dec 22 - Jan 21, 2025'!$A:$A,"BODEN-BLOCK-2025",'Dec 22 - Jan 21, 2025'!$N:$N),0)+IFERROR(SUMIF('Jan 22 - Feb 21, 2025'!$A:$A,"BODEN-BLOCK-2025",'Jan 22 - Feb 21, 2025'!$N:$N),0)+IFERROR(SUMIF('Feb 22 - Mar 21, 2025'!$A:$A,"BODEN-BLOCK-2025",'Feb 22 - Mar 21, 2025'!$N:$N),0)+IFERROR(SUMIF('Mar 22 - Apr 21, 2025'!$A:$A,"BODEN-BLOCK-2025",'Mar 22 - Apr 21, 2025'!$N:$N),0)+IFERROR(SUMIF('Apr 22 - May 21, 2025'!$A:$A,"BODEN-BLOCK-2025",'Apr 22 - May 21, 2025'!$N:$N),0)+IFERROR(SUMIF('May 22 - Jun 21, 2025'!$A:$A,"BODEN-BLOCK-2025",'May 22 - Jun 21, 2025'!$N:$N),0)+IFERROR(SUMIF('Jun 22 - Jul 21, 2025'!$A:$A,"BODEN-BLOCK-2025",'Jun 22 - Jul 21, 2025'!$N:$N),0)+IFERROR(SUMIF('Jul 22 - Aug 21, 2025'!$A:$A,"BODEN-BLOCK-2025",'Jul 22 - Aug 21, 2025'!$N:$N),0)+IFERROR(SUMIF('Aug 22 - Sep 21, 2025'!$A:$A,"BODEN-BLOCK-2025",'Aug 22 - Sep 21, 2025'!$N:$N),0)+IFERROR(SUMIF('Sep 22 - Oct 21, 2025'!$A:$A,"BODEN-BLOCK-2025",'Sep 22 - Oct 21, 2025'!$N:$N),0)+IFERROR(SUMIF('Oct 22 - Nov 21, 2025'!$A:$A,"BODEN-BLOCK-2025",'Oct 22 - Nov 21, 2025'!$N:$N),0)</f>
        <v>0.0</v>
      </c>
      <c r="M40" s="3" t="n">
        <f>IFERROR(SUMIF('Dec 22 - Jan 21, 2025'!$A:$A,"BODEN-BLOCK-2025",'Dec 22 - Jan 21, 2025'!$O:$O),0)+IFERROR(SUMIF('Jan 22 - Feb 21, 2025'!$A:$A,"BODEN-BLOCK-2025",'Jan 22 - Feb 21, 2025'!$O:$O),0)+IFERROR(SUMIF('Feb 22 - Mar 21, 2025'!$A:$A,"BODEN-BLOCK-2025",'Feb 22 - Mar 21, 2025'!$O:$O),0)+IFERROR(SUMIF('Mar 22 - Apr 21, 2025'!$A:$A,"BODEN-BLOCK-2025",'Mar 22 - Apr 21, 2025'!$O:$O),0)+IFERROR(SUMIF('Apr 22 - May 21, 2025'!$A:$A,"BODEN-BLOCK-2025",'Apr 22 - May 21, 2025'!$O:$O),0)+IFERROR(SUMIF('May 22 - Jun 21, 2025'!$A:$A,"BODEN-BLOCK-2025",'May 22 - Jun 21, 2025'!$O:$O),0)+IFERROR(SUMIF('Jun 22 - Jul 21, 2025'!$A:$A,"BODEN-BLOCK-2025",'Jun 22 - Jul 21, 2025'!$O:$O),0)+IFERROR(SUMIF('Jul 22 - Aug 21, 2025'!$A:$A,"BODEN-BLOCK-2025",'Jul 22 - Aug 21, 2025'!$O:$O),0)+IFERROR(SUMIF('Aug 22 - Sep 21, 2025'!$A:$A,"BODEN-BLOCK-2025",'Aug 22 - Sep 21, 2025'!$O:$O),0)+IFERROR(SUMIF('Sep 22 - Oct 21, 2025'!$A:$A,"BODEN-BLOCK-2025",'Sep 22 - Oct 21, 2025'!$O:$O),0)+IFERROR(SUMIF('Oct 22 - Nov 21, 2025'!$A:$A,"BODEN-BLOCK-2025",'Oct 22 - Nov 21, 2025'!$O:$O),0)</f>
        <v>0.0</v>
      </c>
      <c r="N40" s="3" t="n">
        <f>IFERROR(SUMIF('Dec 22 - Jan 21, 2025'!$A:$A,"BODEN-BLOCK-2025",'Dec 22 - Jan 21, 2025'!$P:$P),0)+IFERROR(SUMIF('Jan 22 - Feb 21, 2025'!$A:$A,"BODEN-BLOCK-2025",'Jan 22 - Feb 21, 2025'!$P:$P),0)+IFERROR(SUMIF('Feb 22 - Mar 21, 2025'!$A:$A,"BODEN-BLOCK-2025",'Feb 22 - Mar 21, 2025'!$P:$P),0)+IFERROR(SUMIF('Mar 22 - Apr 21, 2025'!$A:$A,"BODEN-BLOCK-2025",'Mar 22 - Apr 21, 2025'!$P:$P),0)+IFERROR(SUMIF('Apr 22 - May 21, 2025'!$A:$A,"BODEN-BLOCK-2025",'Apr 22 - May 21, 2025'!$P:$P),0)+IFERROR(SUMIF('May 22 - Jun 21, 2025'!$A:$A,"BODEN-BLOCK-2025",'May 22 - Jun 21, 2025'!$P:$P),0)+IFERROR(SUMIF('Jun 22 - Jul 21, 2025'!$A:$A,"BODEN-BLOCK-2025",'Jun 22 - Jul 21, 2025'!$P:$P),0)+IFERROR(SUMIF('Jul 22 - Aug 21, 2025'!$A:$A,"BODEN-BLOCK-2025",'Jul 22 - Aug 21, 2025'!$P:$P),0)+IFERROR(SUMIF('Aug 22 - Sep 21, 2025'!$A:$A,"BODEN-BLOCK-2025",'Aug 22 - Sep 21, 2025'!$P:$P),0)+IFERROR(SUMIF('Sep 22 - Oct 21, 2025'!$A:$A,"BODEN-BLOCK-2025",'Sep 22 - Oct 21, 2025'!$P:$P),0)+IFERROR(SUMIF('Oct 22 - Nov 21, 2025'!$A:$A,"BODEN-BLOCK-2025",'Oct 22 - Nov 21, 2025'!$P:$P),0)</f>
        <v>0.0</v>
      </c>
      <c r="O40" s="3" t="n">
        <f>IFERROR(SUMIF('Dec 22 - Jan 21, 2025'!$A:$A,"BODEN-BLOCK-2025",'Dec 22 - Jan 21, 2025'!$I:$I),0)</f>
        <v>0.0</v>
      </c>
      <c r="P40" s="3" t="n">
        <f>IFERROR(SUMIF('Oct 22 - Nov 21, 2025'!$A:$A,"BODEN-BLOCK-2025",'Oct 22 - Nov 21, 2025'!$K:$K),0)</f>
        <v>0.0</v>
      </c>
    </row>
    <row r="41">
      <c r="A41" t="inlineStr">
        <is>
          <t>LEASE-88</t>
        </is>
      </c>
      <c r="B41" t="inlineStr">
        <is>
          <t>Flat 28 - 3 West Gate</t>
        </is>
      </c>
      <c r="C41" t="inlineStr">
        <is>
          <t>Achal (Delegated for Udayan)</t>
        </is>
      </c>
      <c r="D41" t="inlineStr">
        <is>
          <t>Masie Van</t>
        </is>
      </c>
      <c r="E41" s="2" t="n">
        <v>45956.0</v>
      </c>
      <c r="F41" t="n">
        <v>26.0</v>
      </c>
      <c r="G41" s="3" t="n">
        <f>IFERROR(SUMIF('Dec 22 - Jan 21, 2025'!$A:$A,"LEASE-88",'Dec 22 - Jan 21, 2025'!$G:$G),0)+IFERROR(SUMIF('Jan 22 - Feb 21, 2025'!$A:$A,"LEASE-88",'Jan 22 - Feb 21, 2025'!$G:$G),0)+IFERROR(SUMIF('Feb 22 - Mar 21, 2025'!$A:$A,"LEASE-88",'Feb 22 - Mar 21, 2025'!$G:$G),0)+IFERROR(SUMIF('Mar 22 - Apr 21, 2025'!$A:$A,"LEASE-88",'Mar 22 - Apr 21, 2025'!$G:$G),0)+IFERROR(SUMIF('Apr 22 - May 21, 2025'!$A:$A,"LEASE-88",'Apr 22 - May 21, 2025'!$G:$G),0)+IFERROR(SUMIF('May 22 - Jun 21, 2025'!$A:$A,"LEASE-88",'May 22 - Jun 21, 2025'!$G:$G),0)+IFERROR(SUMIF('Jun 22 - Jul 21, 2025'!$A:$A,"LEASE-88",'Jun 22 - Jul 21, 2025'!$G:$G),0)+IFERROR(SUMIF('Jul 22 - Aug 21, 2025'!$A:$A,"LEASE-88",'Jul 22 - Aug 21, 2025'!$G:$G),0)+IFERROR(SUMIF('Aug 22 - Sep 21, 2025'!$A:$A,"LEASE-88",'Aug 22 - Sep 21, 2025'!$G:$G),0)+IFERROR(SUMIF('Sep 22 - Oct 21, 2025'!$A:$A,"LEASE-88",'Sep 22 - Oct 21, 2025'!$G:$G),0)+IFERROR(SUMIF('Oct 22 - Nov 21, 2025'!$A:$A,"LEASE-88",'Oct 22 - Nov 21, 2025'!$G:$G),0)</f>
        <v>0.0</v>
      </c>
      <c r="H41" s="3" t="n">
        <f>IFERROR(SUMIF('Dec 22 - Jan 21, 2025'!$A:$A,"LEASE-88",'Dec 22 - Jan 21, 2025'!$H:$H),0)+IFERROR(SUMIF('Jan 22 - Feb 21, 2025'!$A:$A,"LEASE-88",'Jan 22 - Feb 21, 2025'!$H:$H),0)+IFERROR(SUMIF('Feb 22 - Mar 21, 2025'!$A:$A,"LEASE-88",'Feb 22 - Mar 21, 2025'!$H:$H),0)+IFERROR(SUMIF('Mar 22 - Apr 21, 2025'!$A:$A,"LEASE-88",'Mar 22 - Apr 21, 2025'!$H:$H),0)+IFERROR(SUMIF('Apr 22 - May 21, 2025'!$A:$A,"LEASE-88",'Apr 22 - May 21, 2025'!$H:$H),0)+IFERROR(SUMIF('May 22 - Jun 21, 2025'!$A:$A,"LEASE-88",'May 22 - Jun 21, 2025'!$H:$H),0)+IFERROR(SUMIF('Jun 22 - Jul 21, 2025'!$A:$A,"LEASE-88",'Jun 22 - Jul 21, 2025'!$H:$H),0)+IFERROR(SUMIF('Jul 22 - Aug 21, 2025'!$A:$A,"LEASE-88",'Jul 22 - Aug 21, 2025'!$H:$H),0)+IFERROR(SUMIF('Aug 22 - Sep 21, 2025'!$A:$A,"LEASE-88",'Aug 22 - Sep 21, 2025'!$H:$H),0)+IFERROR(SUMIF('Sep 22 - Oct 21, 2025'!$A:$A,"LEASE-88",'Sep 22 - Oct 21, 2025'!$H:$H),0)+IFERROR(SUMIF('Oct 22 - Nov 21, 2025'!$A:$A,"LEASE-88",'Oct 22 - Nov 21, 2025'!$H:$H),0)</f>
        <v>0.0</v>
      </c>
      <c r="I41" s="3" t="n">
        <f>G41 - H41</f>
        <v>0.0</v>
      </c>
      <c r="J41" s="3" t="n">
        <f>IFERROR(SUMIF('Dec 22 - Jan 21, 2025'!$A:$A,"LEASE-88",'Dec 22 - Jan 21, 2025'!$L:$L),0)+IFERROR(SUMIF('Jan 22 - Feb 21, 2025'!$A:$A,"LEASE-88",'Jan 22 - Feb 21, 2025'!$L:$L),0)+IFERROR(SUMIF('Feb 22 - Mar 21, 2025'!$A:$A,"LEASE-88",'Feb 22 - Mar 21, 2025'!$L:$L),0)+IFERROR(SUMIF('Mar 22 - Apr 21, 2025'!$A:$A,"LEASE-88",'Mar 22 - Apr 21, 2025'!$L:$L),0)+IFERROR(SUMIF('Apr 22 - May 21, 2025'!$A:$A,"LEASE-88",'Apr 22 - May 21, 2025'!$L:$L),0)+IFERROR(SUMIF('May 22 - Jun 21, 2025'!$A:$A,"LEASE-88",'May 22 - Jun 21, 2025'!$L:$L),0)+IFERROR(SUMIF('Jun 22 - Jul 21, 2025'!$A:$A,"LEASE-88",'Jun 22 - Jul 21, 2025'!$L:$L),0)+IFERROR(SUMIF('Jul 22 - Aug 21, 2025'!$A:$A,"LEASE-88",'Jul 22 - Aug 21, 2025'!$L:$L),0)+IFERROR(SUMIF('Aug 22 - Sep 21, 2025'!$A:$A,"LEASE-88",'Aug 22 - Sep 21, 2025'!$L:$L),0)+IFERROR(SUMIF('Sep 22 - Oct 21, 2025'!$A:$A,"LEASE-88",'Sep 22 - Oct 21, 2025'!$L:$L),0)+IFERROR(SUMIF('Oct 22 - Nov 21, 2025'!$A:$A,"LEASE-88",'Oct 22 - Nov 21, 2025'!$L:$L),0)</f>
        <v>0.0</v>
      </c>
      <c r="K41" s="3" t="n">
        <f>IFERROR(SUMIF('Dec 22 - Jan 21, 2025'!$A:$A,"LEASE-88",'Dec 22 - Jan 21, 2025'!$M:$M),0)+IFERROR(SUMIF('Jan 22 - Feb 21, 2025'!$A:$A,"LEASE-88",'Jan 22 - Feb 21, 2025'!$M:$M),0)+IFERROR(SUMIF('Feb 22 - Mar 21, 2025'!$A:$A,"LEASE-88",'Feb 22 - Mar 21, 2025'!$M:$M),0)+IFERROR(SUMIF('Mar 22 - Apr 21, 2025'!$A:$A,"LEASE-88",'Mar 22 - Apr 21, 2025'!$M:$M),0)+IFERROR(SUMIF('Apr 22 - May 21, 2025'!$A:$A,"LEASE-88",'Apr 22 - May 21, 2025'!$M:$M),0)+IFERROR(SUMIF('May 22 - Jun 21, 2025'!$A:$A,"LEASE-88",'May 22 - Jun 21, 2025'!$M:$M),0)+IFERROR(SUMIF('Jun 22 - Jul 21, 2025'!$A:$A,"LEASE-88",'Jun 22 - Jul 21, 2025'!$M:$M),0)+IFERROR(SUMIF('Jul 22 - Aug 21, 2025'!$A:$A,"LEASE-88",'Jul 22 - Aug 21, 2025'!$M:$M),0)+IFERROR(SUMIF('Aug 22 - Sep 21, 2025'!$A:$A,"LEASE-88",'Aug 22 - Sep 21, 2025'!$M:$M),0)+IFERROR(SUMIF('Sep 22 - Oct 21, 2025'!$A:$A,"LEASE-88",'Sep 22 - Oct 21, 2025'!$M:$M),0)+IFERROR(SUMIF('Oct 22 - Nov 21, 2025'!$A:$A,"LEASE-88",'Oct 22 - Nov 21, 2025'!$M:$M),0)</f>
        <v>0.0</v>
      </c>
      <c r="L41" s="3" t="n">
        <f>IFERROR(SUMIF('Dec 22 - Jan 21, 2025'!$A:$A,"LEASE-88",'Dec 22 - Jan 21, 2025'!$N:$N),0)+IFERROR(SUMIF('Jan 22 - Feb 21, 2025'!$A:$A,"LEASE-88",'Jan 22 - Feb 21, 2025'!$N:$N),0)+IFERROR(SUMIF('Feb 22 - Mar 21, 2025'!$A:$A,"LEASE-88",'Feb 22 - Mar 21, 2025'!$N:$N),0)+IFERROR(SUMIF('Mar 22 - Apr 21, 2025'!$A:$A,"LEASE-88",'Mar 22 - Apr 21, 2025'!$N:$N),0)+IFERROR(SUMIF('Apr 22 - May 21, 2025'!$A:$A,"LEASE-88",'Apr 22 - May 21, 2025'!$N:$N),0)+IFERROR(SUMIF('May 22 - Jun 21, 2025'!$A:$A,"LEASE-88",'May 22 - Jun 21, 2025'!$N:$N),0)+IFERROR(SUMIF('Jun 22 - Jul 21, 2025'!$A:$A,"LEASE-88",'Jun 22 - Jul 21, 2025'!$N:$N),0)+IFERROR(SUMIF('Jul 22 - Aug 21, 2025'!$A:$A,"LEASE-88",'Jul 22 - Aug 21, 2025'!$N:$N),0)+IFERROR(SUMIF('Aug 22 - Sep 21, 2025'!$A:$A,"LEASE-88",'Aug 22 - Sep 21, 2025'!$N:$N),0)+IFERROR(SUMIF('Sep 22 - Oct 21, 2025'!$A:$A,"LEASE-88",'Sep 22 - Oct 21, 2025'!$N:$N),0)+IFERROR(SUMIF('Oct 22 - Nov 21, 2025'!$A:$A,"LEASE-88",'Oct 22 - Nov 21, 2025'!$N:$N),0)</f>
        <v>0.0</v>
      </c>
      <c r="M41" s="3" t="n">
        <f>IFERROR(SUMIF('Dec 22 - Jan 21, 2025'!$A:$A,"LEASE-88",'Dec 22 - Jan 21, 2025'!$O:$O),0)+IFERROR(SUMIF('Jan 22 - Feb 21, 2025'!$A:$A,"LEASE-88",'Jan 22 - Feb 21, 2025'!$O:$O),0)+IFERROR(SUMIF('Feb 22 - Mar 21, 2025'!$A:$A,"LEASE-88",'Feb 22 - Mar 21, 2025'!$O:$O),0)+IFERROR(SUMIF('Mar 22 - Apr 21, 2025'!$A:$A,"LEASE-88",'Mar 22 - Apr 21, 2025'!$O:$O),0)+IFERROR(SUMIF('Apr 22 - May 21, 2025'!$A:$A,"LEASE-88",'Apr 22 - May 21, 2025'!$O:$O),0)+IFERROR(SUMIF('May 22 - Jun 21, 2025'!$A:$A,"LEASE-88",'May 22 - Jun 21, 2025'!$O:$O),0)+IFERROR(SUMIF('Jun 22 - Jul 21, 2025'!$A:$A,"LEASE-88",'Jun 22 - Jul 21, 2025'!$O:$O),0)+IFERROR(SUMIF('Jul 22 - Aug 21, 2025'!$A:$A,"LEASE-88",'Jul 22 - Aug 21, 2025'!$O:$O),0)+IFERROR(SUMIF('Aug 22 - Sep 21, 2025'!$A:$A,"LEASE-88",'Aug 22 - Sep 21, 2025'!$O:$O),0)+IFERROR(SUMIF('Sep 22 - Oct 21, 2025'!$A:$A,"LEASE-88",'Sep 22 - Oct 21, 2025'!$O:$O),0)+IFERROR(SUMIF('Oct 22 - Nov 21, 2025'!$A:$A,"LEASE-88",'Oct 22 - Nov 21, 2025'!$O:$O),0)</f>
        <v>0.0</v>
      </c>
      <c r="N41" s="3" t="n">
        <f>IFERROR(SUMIF('Dec 22 - Jan 21, 2025'!$A:$A,"LEASE-88",'Dec 22 - Jan 21, 2025'!$P:$P),0)+IFERROR(SUMIF('Jan 22 - Feb 21, 2025'!$A:$A,"LEASE-88",'Jan 22 - Feb 21, 2025'!$P:$P),0)+IFERROR(SUMIF('Feb 22 - Mar 21, 2025'!$A:$A,"LEASE-88",'Feb 22 - Mar 21, 2025'!$P:$P),0)+IFERROR(SUMIF('Mar 22 - Apr 21, 2025'!$A:$A,"LEASE-88",'Mar 22 - Apr 21, 2025'!$P:$P),0)+IFERROR(SUMIF('Apr 22 - May 21, 2025'!$A:$A,"LEASE-88",'Apr 22 - May 21, 2025'!$P:$P),0)+IFERROR(SUMIF('May 22 - Jun 21, 2025'!$A:$A,"LEASE-88",'May 22 - Jun 21, 2025'!$P:$P),0)+IFERROR(SUMIF('Jun 22 - Jul 21, 2025'!$A:$A,"LEASE-88",'Jun 22 - Jul 21, 2025'!$P:$P),0)+IFERROR(SUMIF('Jul 22 - Aug 21, 2025'!$A:$A,"LEASE-88",'Jul 22 - Aug 21, 2025'!$P:$P),0)+IFERROR(SUMIF('Aug 22 - Sep 21, 2025'!$A:$A,"LEASE-88",'Aug 22 - Sep 21, 2025'!$P:$P),0)+IFERROR(SUMIF('Sep 22 - Oct 21, 2025'!$A:$A,"LEASE-88",'Sep 22 - Oct 21, 2025'!$P:$P),0)+IFERROR(SUMIF('Oct 22 - Nov 21, 2025'!$A:$A,"LEASE-88",'Oct 22 - Nov 21, 2025'!$P:$P),0)</f>
        <v>0.0</v>
      </c>
      <c r="O41" s="3" t="n">
        <f>IFERROR(SUMIF('Dec 22 - Jan 21, 2025'!$A:$A,"LEASE-88",'Dec 22 - Jan 21, 2025'!$I:$I),0)</f>
        <v>0.0</v>
      </c>
      <c r="P41" s="3" t="n">
        <f>IFERROR(SUMIF('Oct 22 - Nov 21, 2025'!$A:$A,"LEASE-88",'Oct 22 - Nov 21, 2025'!$K:$K),0)</f>
        <v>0.0</v>
      </c>
    </row>
    <row r="42">
      <c r="A42" s="5" t="inlineStr">
        <is>
          <t>TOTALS</t>
        </is>
      </c>
      <c r="G42" s="6" t="n">
        <f>SUM(G2:G41)</f>
        <v>0.0</v>
      </c>
      <c r="H42" s="6" t="n">
        <f>SUM(H2:H41)</f>
        <v>0.0</v>
      </c>
      <c r="I42" s="6" t="n">
        <f>SUM(I2:I41)</f>
        <v>0.0</v>
      </c>
      <c r="J42" s="6" t="n">
        <f>SUM(J2:J41)</f>
        <v>0.0</v>
      </c>
      <c r="K42" s="6" t="n">
        <f>SUM(K2:K41)</f>
        <v>0.0</v>
      </c>
      <c r="L42" s="6" t="n">
        <f>SUM(L2:L41)</f>
        <v>0.0</v>
      </c>
      <c r="M42" s="6" t="n">
        <f>SUM(M2:M41)</f>
        <v>0.0</v>
      </c>
      <c r="N42" s="6" t="n">
        <f>SUM(N2:N41)</f>
        <v>0.0</v>
      </c>
      <c r="O42" s="6" t="n">
        <f>SUM(O2:O41)</f>
        <v>0.0</v>
      </c>
      <c r="P42" s="6" t="n">
        <f>SUM(P2:P41)</f>
        <v>0.0</v>
      </c>
    </row>
  </sheetData>
  <pageMargins bottom="0.75" footer="0.3" header="0.3" left="0.7" right="0.7" top="0.75"/>
</worksheet>
</file>

<file path=xl/worksheets/sheet20.xml><?xml version="1.0" encoding="utf-8"?>
<worksheet xmlns="http://schemas.openxmlformats.org/spreadsheetml/2006/main">
  <dimension ref="A1:J292"/>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s>
  <sheetData>
    <row r="1">
      <c r="A1" s="1" t="inlineStr">
        <is>
          <t>Transaction ID</t>
        </is>
      </c>
      <c r="B1" s="1" t="inlineStr">
        <is>
          <t>Date</t>
        </is>
      </c>
      <c r="C1" s="1" t="inlineStr">
        <is>
          <t>Property</t>
        </is>
      </c>
      <c r="D1" s="1" t="inlineStr">
        <is>
          <t>Category</t>
        </is>
      </c>
      <c r="E1" s="1" t="inlineStr">
        <is>
          <t>Description</t>
        </is>
      </c>
      <c r="F1" s="1" t="inlineStr">
        <is>
          <t>Source</t>
        </is>
      </c>
      <c r="G1" s="1" t="inlineStr">
        <is>
          <t>Amount</t>
        </is>
      </c>
      <c r="H1" s="1" t="inlineStr">
        <is>
          <t>Batch Ref</t>
        </is>
      </c>
      <c r="I1" s="1" t="inlineStr">
        <is>
          <t>Payment Date</t>
        </is>
      </c>
      <c r="J1" s="1" t="inlineStr">
        <is>
          <t>Payment Status</t>
        </is>
      </c>
    </row>
    <row r="2">
      <c r="A2" t="n">
        <v>8.0</v>
      </c>
      <c r="B2" s="2" t="n">
        <v>46002.82586805556</v>
      </c>
      <c r="C2" t="inlineStr">
        <is>
          <t>Apartment F - Knighton Hayes Manor</t>
        </is>
      </c>
      <c r="D2" t="inlineStr">
        <is>
          <t>rent</t>
        </is>
      </c>
      <c r="E2" t="inlineStr">
        <is>
          <t>Rent for flat apt f kh</t>
        </is>
      </c>
      <c r="F2" t="inlineStr">
        <is>
          <t>MANUAL</t>
        </is>
      </c>
      <c r="G2" s="3" t="n">
        <v>1012.5</v>
      </c>
      <c r="H2" t="inlineStr">
        <is>
          <t>HIST-2025-03-1474</t>
        </is>
      </c>
      <c r="I2" s="2" t="n">
        <v>45722.0</v>
      </c>
      <c r="J2" t="inlineStr">
        <is>
          <t>PAID</t>
        </is>
      </c>
    </row>
    <row r="3">
      <c r="A3" t="n">
        <v>8.0</v>
      </c>
      <c r="B3" s="2" t="n">
        <v>46002.82640046296</v>
      </c>
      <c r="C3" t="inlineStr">
        <is>
          <t>Apartment F - Knighton Hayes Manor</t>
        </is>
      </c>
      <c r="D3" t="inlineStr">
        <is>
          <t>rent</t>
        </is>
      </c>
      <c r="E3" t="inlineStr">
        <is>
          <t>Rent for flat apt f kh</t>
        </is>
      </c>
      <c r="F3" t="inlineStr">
        <is>
          <t>MANUAL</t>
        </is>
      </c>
      <c r="G3" s="3" t="n">
        <v>1012.5</v>
      </c>
      <c r="H3" t="inlineStr">
        <is>
          <t>HIST-2025-03-1473</t>
        </is>
      </c>
      <c r="I3" s="2" t="n">
        <v>45722.0</v>
      </c>
      <c r="J3" t="inlineStr">
        <is>
          <t>PAID</t>
        </is>
      </c>
    </row>
    <row r="4">
      <c r="A4" t="n">
        <v>5.0</v>
      </c>
      <c r="B4" s="2" t="n">
        <v>46002.83148148148</v>
      </c>
      <c r="C4" t="inlineStr">
        <is>
          <t>Flat 18 - 3 West Gate</t>
        </is>
      </c>
      <c r="D4" t="inlineStr">
        <is>
          <t>rent</t>
        </is>
      </c>
      <c r="E4" t="inlineStr">
        <is>
          <t>Rent for flat 18 boden</t>
        </is>
      </c>
      <c r="F4" t="inlineStr">
        <is>
          <t>MANUAL</t>
        </is>
      </c>
      <c r="G4" s="3" t="n">
        <v>629.0</v>
      </c>
      <c r="H4" t="inlineStr">
        <is>
          <t>HIST-2025-03-1475</t>
        </is>
      </c>
      <c r="I4" s="2" t="n">
        <v>45722.0</v>
      </c>
      <c r="J4" t="inlineStr">
        <is>
          <t>PAID</t>
        </is>
      </c>
    </row>
    <row r="5">
      <c r="A5" t="n">
        <v>6.0</v>
      </c>
      <c r="B5" s="2" t="n">
        <v>46002.83256944444</v>
      </c>
      <c r="C5" t="inlineStr">
        <is>
          <t>Flat 21 - 3 West Gate</t>
        </is>
      </c>
      <c r="D5" t="inlineStr">
        <is>
          <t>rent</t>
        </is>
      </c>
      <c r="E5" t="inlineStr">
        <is>
          <t>Rent for flat 21 boden</t>
        </is>
      </c>
      <c r="F5" t="inlineStr">
        <is>
          <t>MANUAL</t>
        </is>
      </c>
      <c r="G5" s="3" t="n">
        <v>187.25</v>
      </c>
      <c r="H5" t="inlineStr">
        <is>
          <t>HIST-2025-03-1475</t>
        </is>
      </c>
      <c r="I5" s="2" t="n">
        <v>45722.0</v>
      </c>
      <c r="J5" t="inlineStr">
        <is>
          <t>PAID</t>
        </is>
      </c>
    </row>
    <row r="6">
      <c r="A6" t="n">
        <v>6.0</v>
      </c>
      <c r="B6" s="2" t="n">
        <v>46002.83289351852</v>
      </c>
      <c r="C6" t="inlineStr">
        <is>
          <t>Flat 21 - 3 West Gate</t>
        </is>
      </c>
      <c r="D6" t="inlineStr">
        <is>
          <t>rent</t>
        </is>
      </c>
      <c r="E6" t="inlineStr">
        <is>
          <t>Rent for flat 21 boden</t>
        </is>
      </c>
      <c r="F6" t="inlineStr">
        <is>
          <t>MANUAL</t>
        </is>
      </c>
      <c r="G6" s="3" t="n">
        <v>488.5</v>
      </c>
      <c r="H6" t="inlineStr">
        <is>
          <t>HIST-2025-03-1472</t>
        </is>
      </c>
      <c r="I6" s="2" t="n">
        <v>45722.0</v>
      </c>
      <c r="J6" t="inlineStr">
        <is>
          <t>PAID</t>
        </is>
      </c>
    </row>
    <row r="7">
      <c r="A7" t="n">
        <v>1.0</v>
      </c>
      <c r="B7" s="2" t="n">
        <v>46002.83358796296</v>
      </c>
      <c r="C7" t="inlineStr">
        <is>
          <t>Flat 5 - 3 West Gate</t>
        </is>
      </c>
      <c r="D7" t="inlineStr">
        <is>
          <t>rent</t>
        </is>
      </c>
      <c r="E7" t="inlineStr">
        <is>
          <t>Rent for flat 5 boden</t>
        </is>
      </c>
      <c r="F7" t="inlineStr">
        <is>
          <t>MANUAL</t>
        </is>
      </c>
      <c r="G7" s="3" t="n">
        <v>629.0</v>
      </c>
      <c r="H7" t="inlineStr">
        <is>
          <t>HIST-2025-03-1472</t>
        </is>
      </c>
      <c r="I7" s="2" t="n">
        <v>45722.0</v>
      </c>
      <c r="J7" t="inlineStr">
        <is>
          <t>PAID</t>
        </is>
      </c>
    </row>
    <row r="8">
      <c r="A8" t="n">
        <v>2.0</v>
      </c>
      <c r="B8" s="2" t="n">
        <v>46002.83358796296</v>
      </c>
      <c r="C8" t="inlineStr">
        <is>
          <t>Flat 7 - 3 West Gate</t>
        </is>
      </c>
      <c r="D8" t="inlineStr">
        <is>
          <t>rent</t>
        </is>
      </c>
      <c r="E8" t="inlineStr">
        <is>
          <t>Rent for flat 7 boden</t>
        </is>
      </c>
      <c r="F8" t="inlineStr">
        <is>
          <t>MANUAL</t>
        </is>
      </c>
      <c r="G8" s="3" t="n">
        <v>595.0</v>
      </c>
      <c r="H8" t="inlineStr">
        <is>
          <t>HIST-2025-03-1472</t>
        </is>
      </c>
      <c r="I8" s="2" t="n">
        <v>45722.0</v>
      </c>
      <c r="J8" t="inlineStr">
        <is>
          <t>PAID</t>
        </is>
      </c>
    </row>
    <row r="9">
      <c r="A9" t="n">
        <v>3.0</v>
      </c>
      <c r="B9" s="2" t="n">
        <v>46002.834074074075</v>
      </c>
      <c r="C9" t="inlineStr">
        <is>
          <t>Flat 15 - 3 West Gate</t>
        </is>
      </c>
      <c r="D9" t="inlineStr">
        <is>
          <t>rent</t>
        </is>
      </c>
      <c r="E9" t="inlineStr">
        <is>
          <t>Rent for flat 15 boden</t>
        </is>
      </c>
      <c r="F9" t="inlineStr">
        <is>
          <t>MANUAL</t>
        </is>
      </c>
      <c r="G9" s="3" t="n">
        <v>398.5</v>
      </c>
      <c r="H9" t="inlineStr">
        <is>
          <t>HIST-2025-03-1472</t>
        </is>
      </c>
      <c r="I9" s="2" t="n">
        <v>45722.0</v>
      </c>
      <c r="J9" t="inlineStr">
        <is>
          <t>PAID</t>
        </is>
      </c>
    </row>
    <row r="10">
      <c r="A10" t="n">
        <v>3.0</v>
      </c>
      <c r="B10" s="2" t="n">
        <v>46002.83460648148</v>
      </c>
      <c r="C10" t="inlineStr">
        <is>
          <t>Flat 15 - 3 West Gate</t>
        </is>
      </c>
      <c r="D10" t="inlineStr">
        <is>
          <t>rent</t>
        </is>
      </c>
      <c r="E10" t="inlineStr">
        <is>
          <t>Rent for flat 15 boden</t>
        </is>
      </c>
      <c r="F10" t="inlineStr">
        <is>
          <t>MANUAL</t>
        </is>
      </c>
      <c r="G10" s="3" t="n">
        <v>230.5</v>
      </c>
      <c r="H10" t="inlineStr">
        <is>
          <t>HIST-2025-03-1501</t>
        </is>
      </c>
      <c r="I10" s="2" t="n">
        <v>45739.0</v>
      </c>
      <c r="J10" t="inlineStr">
        <is>
          <t>PAID</t>
        </is>
      </c>
    </row>
    <row r="11">
      <c r="A11" t="n">
        <v>4.0</v>
      </c>
      <c r="B11" s="2" t="n">
        <v>46002.83511574074</v>
      </c>
      <c r="C11" t="inlineStr">
        <is>
          <t>Flat 17 - 3 West Gate</t>
        </is>
      </c>
      <c r="D11" t="inlineStr">
        <is>
          <t>rent</t>
        </is>
      </c>
      <c r="E11" t="inlineStr">
        <is>
          <t>Rent for flat 17 boden</t>
        </is>
      </c>
      <c r="F11" t="inlineStr">
        <is>
          <t>MANUAL</t>
        </is>
      </c>
      <c r="G11" s="3" t="n">
        <v>595.0</v>
      </c>
      <c r="H11" t="inlineStr">
        <is>
          <t>HIST-2025-03-1501</t>
        </is>
      </c>
      <c r="I11" s="2" t="n">
        <v>45739.0</v>
      </c>
      <c r="J11" t="inlineStr">
        <is>
          <t>PAID</t>
        </is>
      </c>
    </row>
    <row r="12">
      <c r="A12" t="n">
        <v>7.0</v>
      </c>
      <c r="B12" s="2" t="n">
        <v>46002.83511574074</v>
      </c>
      <c r="C12" t="inlineStr">
        <is>
          <t>Flat 24 - 3 West Gate</t>
        </is>
      </c>
      <c r="D12" t="inlineStr">
        <is>
          <t>rent</t>
        </is>
      </c>
      <c r="E12" t="inlineStr">
        <is>
          <t>Rent for flat 24 boden</t>
        </is>
      </c>
      <c r="F12" t="inlineStr">
        <is>
          <t>MANUAL</t>
        </is>
      </c>
      <c r="G12" s="3" t="n">
        <v>688.5</v>
      </c>
      <c r="H12" t="inlineStr">
        <is>
          <t>HIST-2025-03-1501</t>
        </is>
      </c>
      <c r="I12" s="2" t="n">
        <v>45739.0</v>
      </c>
      <c r="J12" t="inlineStr">
        <is>
          <t>PAID</t>
        </is>
      </c>
    </row>
    <row r="13">
      <c r="A13" t="n">
        <v>23.0</v>
      </c>
      <c r="B13" s="2" t="n">
        <v>46002.835127314815</v>
      </c>
      <c r="C13" t="inlineStr">
        <is>
          <t>Flat 11 - 3 West Gate</t>
        </is>
      </c>
      <c r="D13" t="inlineStr">
        <is>
          <t>rent</t>
        </is>
      </c>
      <c r="E13" t="inlineStr">
        <is>
          <t>rent for flat 11 boden</t>
        </is>
      </c>
      <c r="F13" t="inlineStr">
        <is>
          <t>MANUAL</t>
        </is>
      </c>
      <c r="G13" s="3" t="n">
        <v>675.75</v>
      </c>
      <c r="H13" t="inlineStr">
        <is>
          <t>HIST-2025-03-1501</t>
        </is>
      </c>
      <c r="I13" s="2" t="n">
        <v>45739.0</v>
      </c>
      <c r="J13" t="inlineStr">
        <is>
          <t>PAID</t>
        </is>
      </c>
    </row>
    <row r="14">
      <c r="A14" t="n">
        <v>29.0</v>
      </c>
      <c r="B14" s="2" t="n">
        <v>46002.835127314815</v>
      </c>
      <c r="C14" t="inlineStr">
        <is>
          <t>Flat 19 - 3 West Gate</t>
        </is>
      </c>
      <c r="D14" t="inlineStr">
        <is>
          <t>rent</t>
        </is>
      </c>
      <c r="E14" t="inlineStr">
        <is>
          <t>rent for flat 19 boden</t>
        </is>
      </c>
      <c r="F14" t="inlineStr">
        <is>
          <t>MANUAL</t>
        </is>
      </c>
      <c r="G14" s="3" t="n">
        <v>629.0</v>
      </c>
      <c r="H14" t="inlineStr">
        <is>
          <t>HIST-2025-03-1501</t>
        </is>
      </c>
      <c r="I14" s="2" t="n">
        <v>45739.0</v>
      </c>
      <c r="J14" t="inlineStr">
        <is>
          <t>PAID</t>
        </is>
      </c>
    </row>
    <row r="15">
      <c r="A15" t="n">
        <v>15.0</v>
      </c>
      <c r="B15" s="2" t="n">
        <v>46002.835127314815</v>
      </c>
      <c r="C15" t="inlineStr">
        <is>
          <t>Flat 2 - 3 West Gate</t>
        </is>
      </c>
      <c r="D15" t="inlineStr">
        <is>
          <t>rent</t>
        </is>
      </c>
      <c r="E15" t="inlineStr">
        <is>
          <t>Rent for flat 2 boden</t>
        </is>
      </c>
      <c r="F15" t="inlineStr">
        <is>
          <t>MANUAL</t>
        </is>
      </c>
      <c r="G15" s="3" t="n">
        <v>629.0</v>
      </c>
      <c r="H15" t="inlineStr">
        <is>
          <t>HIST-2025-03-1501</t>
        </is>
      </c>
      <c r="I15" s="2" t="n">
        <v>45739.0</v>
      </c>
      <c r="J15" t="inlineStr">
        <is>
          <t>PAID</t>
        </is>
      </c>
    </row>
    <row r="16">
      <c r="A16" t="n">
        <v>32.0</v>
      </c>
      <c r="B16" s="2" t="n">
        <v>46002.835127314815</v>
      </c>
      <c r="C16" t="inlineStr">
        <is>
          <t>Flat 22 - 3 West Gate</t>
        </is>
      </c>
      <c r="D16" t="inlineStr">
        <is>
          <t>rent</t>
        </is>
      </c>
      <c r="E16" t="inlineStr">
        <is>
          <t>rent for flat 22 boden</t>
        </is>
      </c>
      <c r="F16" t="inlineStr">
        <is>
          <t>MANUAL</t>
        </is>
      </c>
      <c r="G16" s="3" t="n">
        <v>629.0</v>
      </c>
      <c r="H16" t="inlineStr">
        <is>
          <t>HIST-2025-03-1501</t>
        </is>
      </c>
      <c r="I16" s="2" t="n">
        <v>45739.0</v>
      </c>
      <c r="J16" t="inlineStr">
        <is>
          <t>PAID</t>
        </is>
      </c>
    </row>
    <row r="17">
      <c r="A17" t="n">
        <v>34.0</v>
      </c>
      <c r="B17" s="2" t="n">
        <v>46002.835127314815</v>
      </c>
      <c r="C17" t="inlineStr">
        <is>
          <t>Flat 26 - 3 West Gate</t>
        </is>
      </c>
      <c r="D17" t="inlineStr">
        <is>
          <t>rent</t>
        </is>
      </c>
      <c r="E17" t="inlineStr">
        <is>
          <t>rent for flat 26 boden</t>
        </is>
      </c>
      <c r="F17" t="inlineStr">
        <is>
          <t>MANUAL</t>
        </is>
      </c>
      <c r="G17" s="3" t="n">
        <v>573.75</v>
      </c>
      <c r="H17" t="inlineStr">
        <is>
          <t>HIST-2025-03-1501</t>
        </is>
      </c>
      <c r="I17" s="2" t="n">
        <v>45739.0</v>
      </c>
      <c r="J17" t="inlineStr">
        <is>
          <t>PAID</t>
        </is>
      </c>
    </row>
    <row r="18">
      <c r="A18" t="n">
        <v>17.0</v>
      </c>
      <c r="B18" s="2" t="n">
        <v>46002.835127314815</v>
      </c>
      <c r="C18" t="inlineStr">
        <is>
          <t>Flat 4 - 3 West Gate</t>
        </is>
      </c>
      <c r="D18" t="inlineStr">
        <is>
          <t>rent</t>
        </is>
      </c>
      <c r="E18" t="inlineStr">
        <is>
          <t>Rent for flat 4 boden</t>
        </is>
      </c>
      <c r="F18" t="inlineStr">
        <is>
          <t>MANUAL</t>
        </is>
      </c>
      <c r="G18" s="3" t="n">
        <v>726.75</v>
      </c>
      <c r="H18" t="inlineStr">
        <is>
          <t>HIST-2025-03-1501</t>
        </is>
      </c>
      <c r="I18" s="2" t="n">
        <v>45739.0</v>
      </c>
      <c r="J18" t="inlineStr">
        <is>
          <t>PAID</t>
        </is>
      </c>
    </row>
    <row r="19">
      <c r="A19" t="n">
        <v>21.0</v>
      </c>
      <c r="B19" s="2" t="n">
        <v>46002.835127314815</v>
      </c>
      <c r="C19" t="inlineStr">
        <is>
          <t>Flat 9 - 3 West Gate</t>
        </is>
      </c>
      <c r="D19" t="inlineStr">
        <is>
          <t>rent</t>
        </is>
      </c>
      <c r="E19" t="inlineStr">
        <is>
          <t>Rent for flat 9 boden</t>
        </is>
      </c>
      <c r="F19" t="inlineStr">
        <is>
          <t>MANUAL</t>
        </is>
      </c>
      <c r="G19" s="3" t="n">
        <v>595.0</v>
      </c>
      <c r="H19" t="inlineStr">
        <is>
          <t>HIST-2025-03-1501</t>
        </is>
      </c>
      <c r="I19" s="2" t="n">
        <v>45739.0</v>
      </c>
      <c r="J19" t="inlineStr">
        <is>
          <t>PAID</t>
        </is>
      </c>
    </row>
    <row r="20">
      <c r="A20" t="n">
        <v>14.0</v>
      </c>
      <c r="B20" s="2" t="n">
        <v>46002.83546296296</v>
      </c>
      <c r="C20" t="inlineStr">
        <is>
          <t>Flat 1 - 3 West Gate</t>
        </is>
      </c>
      <c r="D20" t="inlineStr">
        <is>
          <t>rent</t>
        </is>
      </c>
      <c r="E20" t="inlineStr">
        <is>
          <t>Rent for flat 1 boden</t>
        </is>
      </c>
      <c r="F20" t="inlineStr">
        <is>
          <t>MANUAL</t>
        </is>
      </c>
      <c r="G20" s="3" t="n">
        <v>675.75</v>
      </c>
      <c r="H20" t="inlineStr">
        <is>
          <t>HIST-2025-03-1501</t>
        </is>
      </c>
      <c r="I20" s="2" t="n">
        <v>45739.0</v>
      </c>
      <c r="J20" t="inlineStr">
        <is>
          <t>PAID</t>
        </is>
      </c>
    </row>
    <row r="21">
      <c r="A21" t="n">
        <v>22.0</v>
      </c>
      <c r="B21" s="2" t="n">
        <v>46002.83546296296</v>
      </c>
      <c r="C21" t="inlineStr">
        <is>
          <t>Flat 10 - 3 West Gate</t>
        </is>
      </c>
      <c r="D21" t="inlineStr">
        <is>
          <t>rent</t>
        </is>
      </c>
      <c r="E21" t="inlineStr">
        <is>
          <t>rent for flat 10 boden</t>
        </is>
      </c>
      <c r="F21" t="inlineStr">
        <is>
          <t>MANUAL</t>
        </is>
      </c>
      <c r="G21" s="3" t="n">
        <v>624.75</v>
      </c>
      <c r="H21" t="inlineStr">
        <is>
          <t>HIST-2025-03-1501</t>
        </is>
      </c>
      <c r="I21" s="2" t="n">
        <v>45739.0</v>
      </c>
      <c r="J21" t="inlineStr">
        <is>
          <t>PAID</t>
        </is>
      </c>
    </row>
    <row r="22">
      <c r="A22" t="n">
        <v>30.0</v>
      </c>
      <c r="B22" s="2" t="n">
        <v>46002.83546296296</v>
      </c>
      <c r="C22" t="inlineStr">
        <is>
          <t>Flat 20 - 3 West Gate</t>
        </is>
      </c>
      <c r="D22" t="inlineStr">
        <is>
          <t>rent</t>
        </is>
      </c>
      <c r="E22" t="inlineStr">
        <is>
          <t>rent for flat 20 boden</t>
        </is>
      </c>
      <c r="F22" t="inlineStr">
        <is>
          <t>MANUAL</t>
        </is>
      </c>
      <c r="G22" s="3" t="n">
        <v>595.0</v>
      </c>
      <c r="H22" t="inlineStr">
        <is>
          <t>HIST-2025-03-1501</t>
        </is>
      </c>
      <c r="I22" s="2" t="n">
        <v>45739.0</v>
      </c>
      <c r="J22" t="inlineStr">
        <is>
          <t>PAID</t>
        </is>
      </c>
    </row>
    <row r="23">
      <c r="A23" t="n">
        <v>35.0</v>
      </c>
      <c r="B23" s="2" t="n">
        <v>46002.83546296296</v>
      </c>
      <c r="C23" t="inlineStr">
        <is>
          <t>Flat 27 - 3 West Gate</t>
        </is>
      </c>
      <c r="D23" t="inlineStr">
        <is>
          <t>rent</t>
        </is>
      </c>
      <c r="E23" t="inlineStr">
        <is>
          <t>rent for flat 27 boden</t>
        </is>
      </c>
      <c r="F23" t="inlineStr">
        <is>
          <t>MANUAL</t>
        </is>
      </c>
      <c r="G23" s="3" t="n">
        <v>595.0</v>
      </c>
      <c r="H23" t="inlineStr">
        <is>
          <t>HIST-2025-03-1501</t>
        </is>
      </c>
      <c r="I23" s="2" t="n">
        <v>45739.0</v>
      </c>
      <c r="J23" t="inlineStr">
        <is>
          <t>PAID</t>
        </is>
      </c>
    </row>
    <row r="24">
      <c r="A24" t="n">
        <v>36.0</v>
      </c>
      <c r="B24" s="2" t="n">
        <v>46002.83546296296</v>
      </c>
      <c r="C24" t="inlineStr">
        <is>
          <t>Flat 29 - 3 West Gate</t>
        </is>
      </c>
      <c r="D24" t="inlineStr">
        <is>
          <t>rent</t>
        </is>
      </c>
      <c r="E24" t="inlineStr">
        <is>
          <t>rent for flat 29 boden</t>
        </is>
      </c>
      <c r="F24" t="inlineStr">
        <is>
          <t>MANUAL</t>
        </is>
      </c>
      <c r="G24" s="3" t="n">
        <v>629.0</v>
      </c>
      <c r="H24" t="inlineStr">
        <is>
          <t>HIST-2025-03-1501</t>
        </is>
      </c>
      <c r="I24" s="2" t="n">
        <v>45739.0</v>
      </c>
      <c r="J24" t="inlineStr">
        <is>
          <t>PAID</t>
        </is>
      </c>
    </row>
    <row r="25">
      <c r="A25" t="n">
        <v>20.0</v>
      </c>
      <c r="B25" s="2" t="n">
        <v>46002.83546296296</v>
      </c>
      <c r="C25" t="inlineStr">
        <is>
          <t>Flat 8 - 3 West Gate</t>
        </is>
      </c>
      <c r="D25" t="inlineStr">
        <is>
          <t>rent</t>
        </is>
      </c>
      <c r="E25" t="inlineStr">
        <is>
          <t>Rent for flat 8 boden</t>
        </is>
      </c>
      <c r="F25" t="inlineStr">
        <is>
          <t>MANUAL</t>
        </is>
      </c>
      <c r="G25" s="3" t="n">
        <v>573.75</v>
      </c>
      <c r="H25" t="inlineStr">
        <is>
          <t>HIST-2025-03-1501</t>
        </is>
      </c>
      <c r="I25" s="2" t="n">
        <v>45739.0</v>
      </c>
      <c r="J25" t="inlineStr">
        <is>
          <t>PAID</t>
        </is>
      </c>
    </row>
    <row r="26">
      <c r="A26" t="n">
        <v>24.0</v>
      </c>
      <c r="B26" s="2" t="n">
        <v>46002.83608796296</v>
      </c>
      <c r="C26" t="inlineStr">
        <is>
          <t>Flat 13 - 3 West Gate</t>
        </is>
      </c>
      <c r="D26" t="inlineStr">
        <is>
          <t>rent</t>
        </is>
      </c>
      <c r="E26" t="inlineStr">
        <is>
          <t>rent for flat 13 boden</t>
        </is>
      </c>
      <c r="F26" t="inlineStr">
        <is>
          <t>MANUAL</t>
        </is>
      </c>
      <c r="G26" s="3" t="n">
        <v>680.0</v>
      </c>
      <c r="H26" t="inlineStr">
        <is>
          <t>HIST-2025-03-1501</t>
        </is>
      </c>
      <c r="I26" s="2" t="n">
        <v>45739.0</v>
      </c>
      <c r="J26" t="inlineStr">
        <is>
          <t>PAID</t>
        </is>
      </c>
    </row>
    <row r="27">
      <c r="A27" t="n">
        <v>26.0</v>
      </c>
      <c r="B27" s="2" t="n">
        <v>46002.83608796296</v>
      </c>
      <c r="C27" t="inlineStr">
        <is>
          <t>Flat 16 - 3 West Gate</t>
        </is>
      </c>
      <c r="D27" t="inlineStr">
        <is>
          <t>rent</t>
        </is>
      </c>
      <c r="E27" t="inlineStr">
        <is>
          <t>rent for flat 16 boden</t>
        </is>
      </c>
      <c r="F27" t="inlineStr">
        <is>
          <t>MANUAL</t>
        </is>
      </c>
      <c r="G27" s="3" t="n">
        <v>629.0</v>
      </c>
      <c r="H27" t="inlineStr">
        <is>
          <t>HIST-2025-03-1501</t>
        </is>
      </c>
      <c r="I27" s="2" t="n">
        <v>45739.0</v>
      </c>
      <c r="J27" t="inlineStr">
        <is>
          <t>PAID</t>
        </is>
      </c>
    </row>
    <row r="28">
      <c r="A28" t="n">
        <v>28.0</v>
      </c>
      <c r="B28" s="2" t="n">
        <v>46002.83608796296</v>
      </c>
      <c r="C28" t="inlineStr">
        <is>
          <t>Flat 18 - 3 West Gate</t>
        </is>
      </c>
      <c r="D28" t="inlineStr">
        <is>
          <t>rent</t>
        </is>
      </c>
      <c r="E28" t="inlineStr">
        <is>
          <t>rent for flat 18 boden</t>
        </is>
      </c>
      <c r="F28" t="inlineStr">
        <is>
          <t>MANUAL</t>
        </is>
      </c>
      <c r="G28" s="3" t="n">
        <v>629.0</v>
      </c>
      <c r="H28" t="inlineStr">
        <is>
          <t>HIST-2025-03-1501</t>
        </is>
      </c>
      <c r="I28" s="2" t="n">
        <v>45739.0</v>
      </c>
      <c r="J28" t="inlineStr">
        <is>
          <t>PAID</t>
        </is>
      </c>
    </row>
    <row r="29">
      <c r="A29" t="n">
        <v>31.0</v>
      </c>
      <c r="B29" s="2" t="n">
        <v>46002.83608796296</v>
      </c>
      <c r="C29" t="inlineStr">
        <is>
          <t>Flat 21 - 3 West Gate</t>
        </is>
      </c>
      <c r="D29" t="inlineStr">
        <is>
          <t>rent</t>
        </is>
      </c>
      <c r="E29" t="inlineStr">
        <is>
          <t>rent for flat 21 boden</t>
        </is>
      </c>
      <c r="F29" t="inlineStr">
        <is>
          <t>MANUAL</t>
        </is>
      </c>
      <c r="G29" s="3" t="n">
        <v>675.75</v>
      </c>
      <c r="H29" t="inlineStr">
        <is>
          <t>HIST-2025-03-1501</t>
        </is>
      </c>
      <c r="I29" s="2" t="n">
        <v>45739.0</v>
      </c>
      <c r="J29" t="inlineStr">
        <is>
          <t>PAID</t>
        </is>
      </c>
    </row>
    <row r="30">
      <c r="A30" t="n">
        <v>16.0</v>
      </c>
      <c r="B30" s="2" t="n">
        <v>46002.83608796296</v>
      </c>
      <c r="C30" t="inlineStr">
        <is>
          <t>Flat 3 - 3 West Gate</t>
        </is>
      </c>
      <c r="D30" t="inlineStr">
        <is>
          <t>rent</t>
        </is>
      </c>
      <c r="E30" t="inlineStr">
        <is>
          <t>Rent for flat 3 boden</t>
        </is>
      </c>
      <c r="F30" t="inlineStr">
        <is>
          <t>MANUAL</t>
        </is>
      </c>
      <c r="G30" s="3" t="n">
        <v>629.0</v>
      </c>
      <c r="H30" t="inlineStr">
        <is>
          <t>HIST-2025-03-1501</t>
        </is>
      </c>
      <c r="I30" s="2" t="n">
        <v>45739.0</v>
      </c>
      <c r="J30" t="inlineStr">
        <is>
          <t>PAID</t>
        </is>
      </c>
    </row>
    <row r="31">
      <c r="A31" t="n">
        <v>37.0</v>
      </c>
      <c r="B31" s="2" t="n">
        <v>46002.83608796296</v>
      </c>
      <c r="C31" t="inlineStr">
        <is>
          <t>Flat 30 - 3 West Gate</t>
        </is>
      </c>
      <c r="D31" t="inlineStr">
        <is>
          <t>rent</t>
        </is>
      </c>
      <c r="E31" t="inlineStr">
        <is>
          <t>Payment - Flat 30 - 3 West Gate - Mr Joel Bryan</t>
        </is>
      </c>
      <c r="F31" t="inlineStr">
        <is>
          <t>MANUAL</t>
        </is>
      </c>
      <c r="G31" s="3" t="n">
        <v>629.0</v>
      </c>
      <c r="H31" t="inlineStr">
        <is>
          <t>HIST-2025-03-1501</t>
        </is>
      </c>
      <c r="I31" s="2" t="n">
        <v>45739.0</v>
      </c>
      <c r="J31" t="inlineStr">
        <is>
          <t>PAID</t>
        </is>
      </c>
    </row>
    <row r="32">
      <c r="A32" t="n">
        <v>25.0</v>
      </c>
      <c r="B32" s="2" t="n">
        <v>46002.83641203704</v>
      </c>
      <c r="C32" t="inlineStr">
        <is>
          <t>Flat 15 - 3 West Gate</t>
        </is>
      </c>
      <c r="D32" t="inlineStr">
        <is>
          <t>rent</t>
        </is>
      </c>
      <c r="E32" t="inlineStr">
        <is>
          <t>rent for flat 15 boden</t>
        </is>
      </c>
      <c r="F32" t="inlineStr">
        <is>
          <t>MANUAL</t>
        </is>
      </c>
      <c r="G32" s="3" t="n">
        <v>629.0</v>
      </c>
      <c r="H32" t="inlineStr">
        <is>
          <t>HIST-2025-03-1501</t>
        </is>
      </c>
      <c r="I32" s="2" t="n">
        <v>45739.0</v>
      </c>
      <c r="J32" t="inlineStr">
        <is>
          <t>PAID</t>
        </is>
      </c>
    </row>
    <row r="33">
      <c r="A33" t="n">
        <v>27.0</v>
      </c>
      <c r="B33" s="2" t="n">
        <v>46002.83641203704</v>
      </c>
      <c r="C33" t="inlineStr">
        <is>
          <t>Flat 17 - 3 West Gate</t>
        </is>
      </c>
      <c r="D33" t="inlineStr">
        <is>
          <t>rent</t>
        </is>
      </c>
      <c r="E33" t="inlineStr">
        <is>
          <t>rent for flat 17 boden</t>
        </is>
      </c>
      <c r="F33" t="inlineStr">
        <is>
          <t>MANUAL</t>
        </is>
      </c>
      <c r="G33" s="3" t="n">
        <v>595.0</v>
      </c>
      <c r="H33" t="inlineStr">
        <is>
          <t>HIST-2025-03-1501</t>
        </is>
      </c>
      <c r="I33" s="2" t="n">
        <v>45739.0</v>
      </c>
      <c r="J33" t="inlineStr">
        <is>
          <t>PAID</t>
        </is>
      </c>
    </row>
    <row r="34">
      <c r="A34" t="n">
        <v>33.0</v>
      </c>
      <c r="B34" s="2" t="n">
        <v>46002.83641203704</v>
      </c>
      <c r="C34" t="inlineStr">
        <is>
          <t>Flat 24 - 3 West Gate</t>
        </is>
      </c>
      <c r="D34" t="inlineStr">
        <is>
          <t>rent</t>
        </is>
      </c>
      <c r="E34" t="inlineStr">
        <is>
          <t>rent for flat 2</t>
        </is>
      </c>
      <c r="F34" t="inlineStr">
        <is>
          <t>MANUAL</t>
        </is>
      </c>
      <c r="G34" s="3" t="n">
        <v>688.5</v>
      </c>
      <c r="H34" t="inlineStr">
        <is>
          <t>HIST-2025-03-1501</t>
        </is>
      </c>
      <c r="I34" s="2" t="n">
        <v>45739.0</v>
      </c>
      <c r="J34" t="inlineStr">
        <is>
          <t>PAID</t>
        </is>
      </c>
    </row>
    <row r="35">
      <c r="A35" t="n">
        <v>18.0</v>
      </c>
      <c r="B35" s="2" t="n">
        <v>46002.83641203704</v>
      </c>
      <c r="C35" t="inlineStr">
        <is>
          <t>Flat 5 - 3 West Gate</t>
        </is>
      </c>
      <c r="D35" t="inlineStr">
        <is>
          <t>rent</t>
        </is>
      </c>
      <c r="E35" t="inlineStr">
        <is>
          <t>Rent for flat 5 boden</t>
        </is>
      </c>
      <c r="F35" t="inlineStr">
        <is>
          <t>MANUAL</t>
        </is>
      </c>
      <c r="G35" s="3" t="n">
        <v>629.0</v>
      </c>
      <c r="H35" t="inlineStr">
        <is>
          <t>HIST-2025-03-1501</t>
        </is>
      </c>
      <c r="I35" s="2" t="n">
        <v>45739.0</v>
      </c>
      <c r="J35" t="inlineStr">
        <is>
          <t>PAID</t>
        </is>
      </c>
    </row>
    <row r="36">
      <c r="A36" t="n">
        <v>19.0</v>
      </c>
      <c r="B36" s="2" t="n">
        <v>46002.83641203704</v>
      </c>
      <c r="C36" t="inlineStr">
        <is>
          <t>Flat 7 - 3 West Gate</t>
        </is>
      </c>
      <c r="D36" t="inlineStr">
        <is>
          <t>rent</t>
        </is>
      </c>
      <c r="E36" t="inlineStr">
        <is>
          <t>Rent for flat 7 boden</t>
        </is>
      </c>
      <c r="F36" t="inlineStr">
        <is>
          <t>MANUAL</t>
        </is>
      </c>
      <c r="G36" s="3" t="n">
        <v>595.0</v>
      </c>
      <c r="H36" t="inlineStr">
        <is>
          <t>HIST-2025-03-1501</t>
        </is>
      </c>
      <c r="I36" s="2" t="n">
        <v>45739.0</v>
      </c>
      <c r="J36" t="inlineStr">
        <is>
          <t>PAID</t>
        </is>
      </c>
    </row>
    <row r="37">
      <c r="A37" t="n">
        <v>38.0</v>
      </c>
      <c r="B37" s="2" t="n">
        <v>46002.83783564815</v>
      </c>
      <c r="C37" t="inlineStr">
        <is>
          <t>Apartment F - Knighton Hayes Manor</t>
        </is>
      </c>
      <c r="D37" t="inlineStr">
        <is>
          <t>rent</t>
        </is>
      </c>
      <c r="E37" t="inlineStr">
        <is>
          <t>rent for apartment F KH for 2 months</t>
        </is>
      </c>
      <c r="F37" t="inlineStr">
        <is>
          <t>MANUAL</t>
        </is>
      </c>
      <c r="G37" s="3" t="n">
        <v>1012.5</v>
      </c>
      <c r="H37" t="inlineStr">
        <is>
          <t>HIST-2025-03-1501</t>
        </is>
      </c>
      <c r="I37" s="2" t="n">
        <v>45739.0</v>
      </c>
      <c r="J37" t="inlineStr">
        <is>
          <t>PAID</t>
        </is>
      </c>
    </row>
    <row r="38">
      <c r="A38" t="n">
        <v>38.0</v>
      </c>
      <c r="B38" s="2" t="n">
        <v>46002.8440162037</v>
      </c>
      <c r="C38" t="inlineStr">
        <is>
          <t>Apartment F - Knighton Hayes Manor</t>
        </is>
      </c>
      <c r="D38" t="inlineStr">
        <is>
          <t>rent</t>
        </is>
      </c>
      <c r="E38" t="inlineStr">
        <is>
          <t>rent for apartment F KH for 2 months</t>
        </is>
      </c>
      <c r="F38" t="inlineStr">
        <is>
          <t>MANUAL</t>
        </is>
      </c>
      <c r="G38" s="3" t="n">
        <v>1012.5</v>
      </c>
      <c r="H38" t="inlineStr">
        <is>
          <t>HIST-2025-03-1502</t>
        </is>
      </c>
      <c r="I38" s="2" t="n">
        <v>45741.0</v>
      </c>
      <c r="J38" t="inlineStr">
        <is>
          <t>PAID</t>
        </is>
      </c>
    </row>
    <row r="39">
      <c r="A39" t="n">
        <v>53.0</v>
      </c>
      <c r="B39" s="2" t="n">
        <v>46002.844988425924</v>
      </c>
      <c r="C39" t="inlineStr">
        <is>
          <t>Flat 14 - 3 West Gate</t>
        </is>
      </c>
      <c r="D39" t="inlineStr">
        <is>
          <t>rent</t>
        </is>
      </c>
      <c r="E39" t="inlineStr">
        <is>
          <t>rent for flat 14 boden</t>
        </is>
      </c>
      <c r="F39" t="inlineStr">
        <is>
          <t>MANUAL</t>
        </is>
      </c>
      <c r="G39" s="3" t="n">
        <v>675.75</v>
      </c>
      <c r="H39" t="inlineStr">
        <is>
          <t>HIST-2025-04-1533</t>
        </is>
      </c>
      <c r="I39" s="2" t="n">
        <v>45765.0</v>
      </c>
      <c r="J39" t="inlineStr">
        <is>
          <t>PAID</t>
        </is>
      </c>
    </row>
    <row r="40">
      <c r="A40" t="n">
        <v>62.0</v>
      </c>
      <c r="B40" s="2" t="n">
        <v>46002.84622685185</v>
      </c>
      <c r="C40" t="inlineStr">
        <is>
          <t>Flat 26 - 3 West Gate</t>
        </is>
      </c>
      <c r="D40" t="inlineStr">
        <is>
          <t>rent</t>
        </is>
      </c>
      <c r="E40" t="inlineStr">
        <is>
          <t>rent for flat 26 boden</t>
        </is>
      </c>
      <c r="F40" t="inlineStr">
        <is>
          <t>MANUAL</t>
        </is>
      </c>
      <c r="G40" s="3" t="n">
        <v>170.75</v>
      </c>
      <c r="H40" t="inlineStr">
        <is>
          <t>HIST-2025-04-1533</t>
        </is>
      </c>
      <c r="I40" s="2" t="n">
        <v>45765.0</v>
      </c>
      <c r="J40" t="inlineStr">
        <is>
          <t>PAID</t>
        </is>
      </c>
    </row>
    <row r="41">
      <c r="A41" t="n">
        <v>62.0</v>
      </c>
      <c r="B41" s="2" t="n">
        <v>46002.84657407407</v>
      </c>
      <c r="C41" t="inlineStr">
        <is>
          <t>Flat 26 - 3 West Gate</t>
        </is>
      </c>
      <c r="D41" t="inlineStr">
        <is>
          <t>rent</t>
        </is>
      </c>
      <c r="E41" t="inlineStr">
        <is>
          <t>rent for flat 26 boden</t>
        </is>
      </c>
      <c r="F41" t="inlineStr">
        <is>
          <t>MANUAL</t>
        </is>
      </c>
      <c r="G41" s="3" t="n">
        <v>403.0</v>
      </c>
      <c r="H41" t="inlineStr">
        <is>
          <t>HIST-2025-04-1532</t>
        </is>
      </c>
      <c r="I41" s="2" t="n">
        <v>45772.0</v>
      </c>
      <c r="J41" t="inlineStr">
        <is>
          <t>PAID</t>
        </is>
      </c>
    </row>
    <row r="42">
      <c r="A42" t="n">
        <v>50.0</v>
      </c>
      <c r="B42" s="2" t="n">
        <v>46002.84762731481</v>
      </c>
      <c r="C42" t="inlineStr">
        <is>
          <t>Flat 11 - 3 West Gate</t>
        </is>
      </c>
      <c r="D42" t="inlineStr">
        <is>
          <t>rent</t>
        </is>
      </c>
      <c r="E42" t="inlineStr">
        <is>
          <t>rent for flat 11 boden</t>
        </is>
      </c>
      <c r="F42" t="inlineStr">
        <is>
          <t>MANUAL</t>
        </is>
      </c>
      <c r="G42" s="3" t="n">
        <v>675.75</v>
      </c>
      <c r="H42" t="inlineStr">
        <is>
          <t>HIST-2025-04-1532</t>
        </is>
      </c>
      <c r="I42" s="2" t="n">
        <v>45772.0</v>
      </c>
      <c r="J42" t="inlineStr">
        <is>
          <t>PAID</t>
        </is>
      </c>
    </row>
    <row r="43">
      <c r="A43" t="n">
        <v>57.0</v>
      </c>
      <c r="B43" s="2" t="n">
        <v>46002.84762731481</v>
      </c>
      <c r="C43" t="inlineStr">
        <is>
          <t>Flat 19 - 3 West Gate</t>
        </is>
      </c>
      <c r="D43" t="inlineStr">
        <is>
          <t>rent</t>
        </is>
      </c>
      <c r="E43" t="inlineStr">
        <is>
          <t>rent for flat 19 boden</t>
        </is>
      </c>
      <c r="F43" t="inlineStr">
        <is>
          <t>MANUAL</t>
        </is>
      </c>
      <c r="G43" s="3" t="n">
        <v>629.0</v>
      </c>
      <c r="H43" t="inlineStr">
        <is>
          <t>HIST-2025-04-1532</t>
        </is>
      </c>
      <c r="I43" s="2" t="n">
        <v>45772.0</v>
      </c>
      <c r="J43" t="inlineStr">
        <is>
          <t>PAID</t>
        </is>
      </c>
    </row>
    <row r="44">
      <c r="A44" t="n">
        <v>42.0</v>
      </c>
      <c r="B44" s="2" t="n">
        <v>46002.84762731481</v>
      </c>
      <c r="C44" t="inlineStr">
        <is>
          <t>Flat 2 - 3 West Gate</t>
        </is>
      </c>
      <c r="D44" t="inlineStr">
        <is>
          <t>rent</t>
        </is>
      </c>
      <c r="E44" t="inlineStr">
        <is>
          <t>Rent for flat 2 boden</t>
        </is>
      </c>
      <c r="F44" t="inlineStr">
        <is>
          <t>MANUAL</t>
        </is>
      </c>
      <c r="G44" s="3" t="n">
        <v>629.0</v>
      </c>
      <c r="H44" t="inlineStr">
        <is>
          <t>HIST-2025-04-1532</t>
        </is>
      </c>
      <c r="I44" s="2" t="n">
        <v>45772.0</v>
      </c>
      <c r="J44" t="inlineStr">
        <is>
          <t>PAID</t>
        </is>
      </c>
    </row>
    <row r="45">
      <c r="A45" t="n">
        <v>58.0</v>
      </c>
      <c r="B45" s="2" t="n">
        <v>46002.84762731481</v>
      </c>
      <c r="C45" t="inlineStr">
        <is>
          <t>Flat 20 - 3 West Gate</t>
        </is>
      </c>
      <c r="D45" t="inlineStr">
        <is>
          <t>rent</t>
        </is>
      </c>
      <c r="E45" t="inlineStr">
        <is>
          <t>rent for flat 20 boden</t>
        </is>
      </c>
      <c r="F45" t="inlineStr">
        <is>
          <t>MANUAL</t>
        </is>
      </c>
      <c r="G45" s="3" t="n">
        <v>595.0</v>
      </c>
      <c r="H45" t="inlineStr">
        <is>
          <t>HIST-2025-04-1532</t>
        </is>
      </c>
      <c r="I45" s="2" t="n">
        <v>45772.0</v>
      </c>
      <c r="J45" t="inlineStr">
        <is>
          <t>PAID</t>
        </is>
      </c>
    </row>
    <row r="46">
      <c r="A46" t="n">
        <v>60.0</v>
      </c>
      <c r="B46" s="2" t="n">
        <v>46002.84762731481</v>
      </c>
      <c r="C46" t="inlineStr">
        <is>
          <t>Flat 22 - 3 West Gate</t>
        </is>
      </c>
      <c r="D46" t="inlineStr">
        <is>
          <t>rent</t>
        </is>
      </c>
      <c r="E46" t="inlineStr">
        <is>
          <t>rent for flat 22 boden</t>
        </is>
      </c>
      <c r="F46" t="inlineStr">
        <is>
          <t>MANUAL</t>
        </is>
      </c>
      <c r="G46" s="3" t="n">
        <v>629.0</v>
      </c>
      <c r="H46" t="inlineStr">
        <is>
          <t>HIST-2025-04-1532</t>
        </is>
      </c>
      <c r="I46" s="2" t="n">
        <v>45772.0</v>
      </c>
      <c r="J46" t="inlineStr">
        <is>
          <t>PAID</t>
        </is>
      </c>
    </row>
    <row r="47">
      <c r="A47" t="n">
        <v>63.0</v>
      </c>
      <c r="B47" s="2" t="n">
        <v>46002.84762731481</v>
      </c>
      <c r="C47" t="inlineStr">
        <is>
          <t>Flat 27 - 3 West Gate</t>
        </is>
      </c>
      <c r="D47" t="inlineStr">
        <is>
          <t>rent</t>
        </is>
      </c>
      <c r="E47" t="inlineStr">
        <is>
          <t>rent for flat 27 boden</t>
        </is>
      </c>
      <c r="F47" t="inlineStr">
        <is>
          <t>MANUAL</t>
        </is>
      </c>
      <c r="G47" s="3" t="n">
        <v>595.0</v>
      </c>
      <c r="H47" t="inlineStr">
        <is>
          <t>HIST-2025-04-1532</t>
        </is>
      </c>
      <c r="I47" s="2" t="n">
        <v>45772.0</v>
      </c>
      <c r="J47" t="inlineStr">
        <is>
          <t>PAID</t>
        </is>
      </c>
    </row>
    <row r="48">
      <c r="A48" t="n">
        <v>64.0</v>
      </c>
      <c r="B48" s="2" t="n">
        <v>46002.84762731481</v>
      </c>
      <c r="C48" t="inlineStr">
        <is>
          <t>Flat 28 - 3 West Gate</t>
        </is>
      </c>
      <c r="D48" t="inlineStr">
        <is>
          <t>rent</t>
        </is>
      </c>
      <c r="E48" t="inlineStr">
        <is>
          <t>rent for flat 28 boden</t>
        </is>
      </c>
      <c r="F48" t="inlineStr">
        <is>
          <t>MANUAL</t>
        </is>
      </c>
      <c r="G48" s="3" t="n">
        <v>629.0</v>
      </c>
      <c r="H48" t="inlineStr">
        <is>
          <t>HIST-2025-04-1532</t>
        </is>
      </c>
      <c r="I48" s="2" t="n">
        <v>45772.0</v>
      </c>
      <c r="J48" t="inlineStr">
        <is>
          <t>PAID</t>
        </is>
      </c>
    </row>
    <row r="49">
      <c r="A49" t="n">
        <v>65.0</v>
      </c>
      <c r="B49" s="2" t="n">
        <v>46002.84762731481</v>
      </c>
      <c r="C49" t="inlineStr">
        <is>
          <t>Flat 29 - 3 West Gate</t>
        </is>
      </c>
      <c r="D49" t="inlineStr">
        <is>
          <t>rent</t>
        </is>
      </c>
      <c r="E49" t="inlineStr">
        <is>
          <t>rent for flat 29 boden</t>
        </is>
      </c>
      <c r="F49" t="inlineStr">
        <is>
          <t>MANUAL</t>
        </is>
      </c>
      <c r="G49" s="3" t="n">
        <v>629.0</v>
      </c>
      <c r="H49" t="inlineStr">
        <is>
          <t>HIST-2025-04-1532</t>
        </is>
      </c>
      <c r="I49" s="2" t="n">
        <v>45772.0</v>
      </c>
      <c r="J49" t="inlineStr">
        <is>
          <t>PAID</t>
        </is>
      </c>
    </row>
    <row r="50">
      <c r="A50" t="n">
        <v>44.0</v>
      </c>
      <c r="B50" s="2" t="n">
        <v>46002.84762731481</v>
      </c>
      <c r="C50" t="inlineStr">
        <is>
          <t>Flat 4 - 3 West Gate</t>
        </is>
      </c>
      <c r="D50" t="inlineStr">
        <is>
          <t>rent</t>
        </is>
      </c>
      <c r="E50" t="inlineStr">
        <is>
          <t>Rent for flat 4 boden</t>
        </is>
      </c>
      <c r="F50" t="inlineStr">
        <is>
          <t>MANUAL</t>
        </is>
      </c>
      <c r="G50" s="3" t="n">
        <v>726.75</v>
      </c>
      <c r="H50" t="inlineStr">
        <is>
          <t>HIST-2025-04-1532</t>
        </is>
      </c>
      <c r="I50" s="2" t="n">
        <v>45772.0</v>
      </c>
      <c r="J50" t="inlineStr">
        <is>
          <t>PAID</t>
        </is>
      </c>
    </row>
    <row r="51">
      <c r="A51" t="n">
        <v>46.0</v>
      </c>
      <c r="B51" s="2" t="n">
        <v>46002.84762731481</v>
      </c>
      <c r="C51" t="inlineStr">
        <is>
          <t>Flat 6 - 3 West Gate</t>
        </is>
      </c>
      <c r="D51" t="inlineStr">
        <is>
          <t>rent</t>
        </is>
      </c>
      <c r="E51" t="inlineStr">
        <is>
          <t>Rent for flat 6 boden</t>
        </is>
      </c>
      <c r="F51" t="inlineStr">
        <is>
          <t>MANUAL</t>
        </is>
      </c>
      <c r="G51" s="3" t="n">
        <v>629.0</v>
      </c>
      <c r="H51" t="inlineStr">
        <is>
          <t>HIST-2025-04-1532</t>
        </is>
      </c>
      <c r="I51" s="2" t="n">
        <v>45772.0</v>
      </c>
      <c r="J51" t="inlineStr">
        <is>
          <t>PAID</t>
        </is>
      </c>
    </row>
    <row r="52">
      <c r="A52" t="n">
        <v>48.0</v>
      </c>
      <c r="B52" s="2" t="n">
        <v>46002.84762731481</v>
      </c>
      <c r="C52" t="inlineStr">
        <is>
          <t>Flat 9 - 3 West Gate</t>
        </is>
      </c>
      <c r="D52" t="inlineStr">
        <is>
          <t>rent</t>
        </is>
      </c>
      <c r="E52" t="inlineStr">
        <is>
          <t>rent for flat 9 boden</t>
        </is>
      </c>
      <c r="F52" t="inlineStr">
        <is>
          <t>MANUAL</t>
        </is>
      </c>
      <c r="G52" s="3" t="n">
        <v>595.0</v>
      </c>
      <c r="H52" t="inlineStr">
        <is>
          <t>HIST-2025-04-1532</t>
        </is>
      </c>
      <c r="I52" s="2" t="n">
        <v>45772.0</v>
      </c>
      <c r="J52" t="inlineStr">
        <is>
          <t>PAID</t>
        </is>
      </c>
    </row>
    <row r="53">
      <c r="A53" t="n">
        <v>67.0</v>
      </c>
      <c r="B53" s="2" t="n">
        <v>46002.84763888889</v>
      </c>
      <c r="C53" t="inlineStr">
        <is>
          <t>Apartment F - Knighton Hayes Manor</t>
        </is>
      </c>
      <c r="D53" t="inlineStr">
        <is>
          <t>rent</t>
        </is>
      </c>
      <c r="E53" t="inlineStr">
        <is>
          <t>rent for apartment f kh</t>
        </is>
      </c>
      <c r="F53" t="inlineStr">
        <is>
          <t>MANUAL</t>
        </is>
      </c>
      <c r="G53" s="3" t="n">
        <v>1012.5</v>
      </c>
      <c r="H53" t="inlineStr">
        <is>
          <t>HIST-2025-04-1532</t>
        </is>
      </c>
      <c r="I53" s="2" t="n">
        <v>45772.0</v>
      </c>
      <c r="J53" t="inlineStr">
        <is>
          <t>PAID</t>
        </is>
      </c>
    </row>
    <row r="54">
      <c r="A54" t="n">
        <v>41.0</v>
      </c>
      <c r="B54" s="2" t="n">
        <v>46002.84763888889</v>
      </c>
      <c r="C54" t="inlineStr">
        <is>
          <t>Flat 1 - 3 West Gate</t>
        </is>
      </c>
      <c r="D54" t="inlineStr">
        <is>
          <t>rent</t>
        </is>
      </c>
      <c r="E54" t="inlineStr">
        <is>
          <t>Rent for flat 1 boden</t>
        </is>
      </c>
      <c r="F54" t="inlineStr">
        <is>
          <t>MANUAL</t>
        </is>
      </c>
      <c r="G54" s="3" t="n">
        <v>675.75</v>
      </c>
      <c r="H54" t="inlineStr">
        <is>
          <t>HIST-2025-04-1532</t>
        </is>
      </c>
      <c r="I54" s="2" t="n">
        <v>45772.0</v>
      </c>
      <c r="J54" t="inlineStr">
        <is>
          <t>PAID</t>
        </is>
      </c>
    </row>
    <row r="55">
      <c r="A55" t="n">
        <v>49.0</v>
      </c>
      <c r="B55" s="2" t="n">
        <v>46002.84763888889</v>
      </c>
      <c r="C55" t="inlineStr">
        <is>
          <t>Flat 10 - 3 West Gate</t>
        </is>
      </c>
      <c r="D55" t="inlineStr">
        <is>
          <t>rent</t>
        </is>
      </c>
      <c r="E55" t="inlineStr">
        <is>
          <t>rent for flat 10 boden</t>
        </is>
      </c>
      <c r="F55" t="inlineStr">
        <is>
          <t>MANUAL</t>
        </is>
      </c>
      <c r="G55" s="3" t="n">
        <v>624.75</v>
      </c>
      <c r="H55" t="inlineStr">
        <is>
          <t>HIST-2025-04-1532</t>
        </is>
      </c>
      <c r="I55" s="2" t="n">
        <v>45772.0</v>
      </c>
      <c r="J55" t="inlineStr">
        <is>
          <t>PAID</t>
        </is>
      </c>
    </row>
    <row r="56">
      <c r="A56" t="n">
        <v>51.0</v>
      </c>
      <c r="B56" s="2" t="n">
        <v>46002.84763888889</v>
      </c>
      <c r="C56" t="inlineStr">
        <is>
          <t>Flat 12 - 3 West Gate</t>
        </is>
      </c>
      <c r="D56" t="inlineStr">
        <is>
          <t>rent</t>
        </is>
      </c>
      <c r="E56" t="inlineStr">
        <is>
          <t>rent for flat 12 boden</t>
        </is>
      </c>
      <c r="F56" t="inlineStr">
        <is>
          <t>MANUAL</t>
        </is>
      </c>
      <c r="G56" s="3" t="n">
        <v>573.75</v>
      </c>
      <c r="H56" t="inlineStr">
        <is>
          <t>HIST-2025-04-1532</t>
        </is>
      </c>
      <c r="I56" s="2" t="n">
        <v>45772.0</v>
      </c>
      <c r="J56" t="inlineStr">
        <is>
          <t>PAID</t>
        </is>
      </c>
    </row>
    <row r="57">
      <c r="A57" t="n">
        <v>52.0</v>
      </c>
      <c r="B57" s="2" t="n">
        <v>46002.84763888889</v>
      </c>
      <c r="C57" t="inlineStr">
        <is>
          <t>Flat 13 - 3 West Gate</t>
        </is>
      </c>
      <c r="D57" t="inlineStr">
        <is>
          <t>rent</t>
        </is>
      </c>
      <c r="E57" t="inlineStr">
        <is>
          <t>rent for flat 13 boden</t>
        </is>
      </c>
      <c r="F57" t="inlineStr">
        <is>
          <t>MANUAL</t>
        </is>
      </c>
      <c r="G57" s="3" t="n">
        <v>680.0</v>
      </c>
      <c r="H57" t="inlineStr">
        <is>
          <t>HIST-2025-04-1532</t>
        </is>
      </c>
      <c r="I57" s="2" t="n">
        <v>45772.0</v>
      </c>
      <c r="J57" t="inlineStr">
        <is>
          <t>PAID</t>
        </is>
      </c>
    </row>
    <row r="58">
      <c r="A58" t="n">
        <v>54.0</v>
      </c>
      <c r="B58" s="2" t="n">
        <v>46002.84763888889</v>
      </c>
      <c r="C58" t="inlineStr">
        <is>
          <t>Flat 16 - 3 West Gate</t>
        </is>
      </c>
      <c r="D58" t="inlineStr">
        <is>
          <t>rent</t>
        </is>
      </c>
      <c r="E58" t="inlineStr">
        <is>
          <t>rent for flat 16 boden</t>
        </is>
      </c>
      <c r="F58" t="inlineStr">
        <is>
          <t>MANUAL</t>
        </is>
      </c>
      <c r="G58" s="3" t="n">
        <v>629.0</v>
      </c>
      <c r="H58" t="inlineStr">
        <is>
          <t>HIST-2025-04-1532</t>
        </is>
      </c>
      <c r="I58" s="2" t="n">
        <v>45772.0</v>
      </c>
      <c r="J58" t="inlineStr">
        <is>
          <t>PAID</t>
        </is>
      </c>
    </row>
    <row r="59">
      <c r="A59" t="n">
        <v>55.0</v>
      </c>
      <c r="B59" s="2" t="n">
        <v>46002.84763888889</v>
      </c>
      <c r="C59" t="inlineStr">
        <is>
          <t>Flat 17 - 3 West Gate</t>
        </is>
      </c>
      <c r="D59" t="inlineStr">
        <is>
          <t>rent</t>
        </is>
      </c>
      <c r="E59" t="inlineStr">
        <is>
          <t>rent for flat 17 boden</t>
        </is>
      </c>
      <c r="F59" t="inlineStr">
        <is>
          <t>MANUAL</t>
        </is>
      </c>
      <c r="G59" s="3" t="n">
        <v>595.0</v>
      </c>
      <c r="H59" t="inlineStr">
        <is>
          <t>HIST-2025-04-1532</t>
        </is>
      </c>
      <c r="I59" s="2" t="n">
        <v>45772.0</v>
      </c>
      <c r="J59" t="inlineStr">
        <is>
          <t>PAID</t>
        </is>
      </c>
    </row>
    <row r="60">
      <c r="A60" t="n">
        <v>56.0</v>
      </c>
      <c r="B60" s="2" t="n">
        <v>46002.84763888889</v>
      </c>
      <c r="C60" t="inlineStr">
        <is>
          <t>Flat 18 - 3 West Gate</t>
        </is>
      </c>
      <c r="D60" t="inlineStr">
        <is>
          <t>rent</t>
        </is>
      </c>
      <c r="E60" t="inlineStr">
        <is>
          <t>rent for flat 18 boden</t>
        </is>
      </c>
      <c r="F60" t="inlineStr">
        <is>
          <t>MANUAL</t>
        </is>
      </c>
      <c r="G60" s="3" t="n">
        <v>629.0</v>
      </c>
      <c r="H60" t="inlineStr">
        <is>
          <t>HIST-2025-04-1532</t>
        </is>
      </c>
      <c r="I60" s="2" t="n">
        <v>45772.0</v>
      </c>
      <c r="J60" t="inlineStr">
        <is>
          <t>PAID</t>
        </is>
      </c>
    </row>
    <row r="61">
      <c r="A61" t="n">
        <v>59.0</v>
      </c>
      <c r="B61" s="2" t="n">
        <v>46002.84763888889</v>
      </c>
      <c r="C61" t="inlineStr">
        <is>
          <t>Flat 21 - 3 West Gate</t>
        </is>
      </c>
      <c r="D61" t="inlineStr">
        <is>
          <t>rent</t>
        </is>
      </c>
      <c r="E61" t="inlineStr">
        <is>
          <t>rent for flat 21 boden</t>
        </is>
      </c>
      <c r="F61" t="inlineStr">
        <is>
          <t>MANUAL</t>
        </is>
      </c>
      <c r="G61" s="3" t="n">
        <v>675.75</v>
      </c>
      <c r="H61" t="inlineStr">
        <is>
          <t>HIST-2025-04-1532</t>
        </is>
      </c>
      <c r="I61" s="2" t="n">
        <v>45772.0</v>
      </c>
      <c r="J61" t="inlineStr">
        <is>
          <t>PAID</t>
        </is>
      </c>
    </row>
    <row r="62">
      <c r="A62" t="n">
        <v>61.0</v>
      </c>
      <c r="B62" s="2" t="n">
        <v>46002.84763888889</v>
      </c>
      <c r="C62" t="inlineStr">
        <is>
          <t>Flat 24 - 3 West Gate</t>
        </is>
      </c>
      <c r="D62" t="inlineStr">
        <is>
          <t>rent</t>
        </is>
      </c>
      <c r="E62" t="inlineStr">
        <is>
          <t>rent for flat 24 boden</t>
        </is>
      </c>
      <c r="F62" t="inlineStr">
        <is>
          <t>MANUAL</t>
        </is>
      </c>
      <c r="G62" s="3" t="n">
        <v>688.5</v>
      </c>
      <c r="H62" t="inlineStr">
        <is>
          <t>HIST-2025-04-1532</t>
        </is>
      </c>
      <c r="I62" s="2" t="n">
        <v>45772.0</v>
      </c>
      <c r="J62" t="inlineStr">
        <is>
          <t>PAID</t>
        </is>
      </c>
    </row>
    <row r="63">
      <c r="A63" t="n">
        <v>43.0</v>
      </c>
      <c r="B63" s="2" t="n">
        <v>46002.84763888889</v>
      </c>
      <c r="C63" t="inlineStr">
        <is>
          <t>Flat 3 - 3 West Gate</t>
        </is>
      </c>
      <c r="D63" t="inlineStr">
        <is>
          <t>rent</t>
        </is>
      </c>
      <c r="E63" t="inlineStr">
        <is>
          <t>Rent for flat 3 boden</t>
        </is>
      </c>
      <c r="F63" t="inlineStr">
        <is>
          <t>MANUAL</t>
        </is>
      </c>
      <c r="G63" s="3" t="n">
        <v>629.0</v>
      </c>
      <c r="H63" t="inlineStr">
        <is>
          <t>HIST-2025-04-1532</t>
        </is>
      </c>
      <c r="I63" s="2" t="n">
        <v>45772.0</v>
      </c>
      <c r="J63" t="inlineStr">
        <is>
          <t>PAID</t>
        </is>
      </c>
    </row>
    <row r="64">
      <c r="A64" t="n">
        <v>66.0</v>
      </c>
      <c r="B64" s="2" t="n">
        <v>46002.84763888889</v>
      </c>
      <c r="C64" t="inlineStr">
        <is>
          <t>Flat 30 - 3 West Gate</t>
        </is>
      </c>
      <c r="D64" t="inlineStr">
        <is>
          <t>rent</t>
        </is>
      </c>
      <c r="E64" t="inlineStr">
        <is>
          <t>rent for flat 30 boden</t>
        </is>
      </c>
      <c r="F64" t="inlineStr">
        <is>
          <t>MANUAL</t>
        </is>
      </c>
      <c r="G64" s="3" t="n">
        <v>629.0</v>
      </c>
      <c r="H64" t="inlineStr">
        <is>
          <t>HIST-2025-04-1532</t>
        </is>
      </c>
      <c r="I64" s="2" t="n">
        <v>45772.0</v>
      </c>
      <c r="J64" t="inlineStr">
        <is>
          <t>PAID</t>
        </is>
      </c>
    </row>
    <row r="65">
      <c r="A65" t="n">
        <v>45.0</v>
      </c>
      <c r="B65" s="2" t="n">
        <v>46002.84763888889</v>
      </c>
      <c r="C65" t="inlineStr">
        <is>
          <t>Flat 5 - 3 West Gate</t>
        </is>
      </c>
      <c r="D65" t="inlineStr">
        <is>
          <t>rent</t>
        </is>
      </c>
      <c r="E65" t="inlineStr">
        <is>
          <t>Rent for flat 5 boden</t>
        </is>
      </c>
      <c r="F65" t="inlineStr">
        <is>
          <t>MANUAL</t>
        </is>
      </c>
      <c r="G65" s="3" t="n">
        <v>629.0</v>
      </c>
      <c r="H65" t="inlineStr">
        <is>
          <t>HIST-2025-04-1532</t>
        </is>
      </c>
      <c r="I65" s="2" t="n">
        <v>45772.0</v>
      </c>
      <c r="J65" t="inlineStr">
        <is>
          <t>PAID</t>
        </is>
      </c>
    </row>
    <row r="66">
      <c r="A66" t="n">
        <v>47.0</v>
      </c>
      <c r="B66" s="2" t="n">
        <v>46002.84763888889</v>
      </c>
      <c r="C66" t="inlineStr">
        <is>
          <t>Flat 8 - 3 West Gate</t>
        </is>
      </c>
      <c r="D66" t="inlineStr">
        <is>
          <t>rent</t>
        </is>
      </c>
      <c r="E66" t="inlineStr">
        <is>
          <t>Rent for flat 8 boden</t>
        </is>
      </c>
      <c r="F66" t="inlineStr">
        <is>
          <t>MANUAL</t>
        </is>
      </c>
      <c r="G66" s="3" t="n">
        <v>573.75</v>
      </c>
      <c r="H66" t="inlineStr">
        <is>
          <t>HIST-2025-04-1532</t>
        </is>
      </c>
      <c r="I66" s="2" t="n">
        <v>45772.0</v>
      </c>
      <c r="J66" t="inlineStr">
        <is>
          <t>PAID</t>
        </is>
      </c>
    </row>
    <row r="67">
      <c r="A67" t="n">
        <v>77.0</v>
      </c>
      <c r="B67" s="2" t="n">
        <v>46002.90440972222</v>
      </c>
      <c r="C67" t="inlineStr">
        <is>
          <t>Flat 6 - 3 West Gate</t>
        </is>
      </c>
      <c r="D67" t="inlineStr">
        <is>
          <t>rent</t>
        </is>
      </c>
      <c r="E67" t="inlineStr">
        <is>
          <t>rent for flat 6 boden</t>
        </is>
      </c>
      <c r="F67" t="inlineStr">
        <is>
          <t>MANUAL</t>
        </is>
      </c>
      <c r="G67" s="3" t="n">
        <v>629.0</v>
      </c>
      <c r="H67" t="inlineStr">
        <is>
          <t>HIST-2025-04-1532</t>
        </is>
      </c>
      <c r="I67" s="2" t="n">
        <v>45772.0</v>
      </c>
      <c r="J67" t="inlineStr">
        <is>
          <t>PAID</t>
        </is>
      </c>
    </row>
    <row r="68">
      <c r="A68" t="n">
        <v>85.0</v>
      </c>
      <c r="B68" s="2" t="n">
        <v>46002.946863425925</v>
      </c>
      <c r="C68" t="inlineStr">
        <is>
          <t>Flat 14 - 3 West Gate</t>
        </is>
      </c>
      <c r="D68" t="inlineStr">
        <is>
          <t>rent</t>
        </is>
      </c>
      <c r="E68" t="inlineStr">
        <is>
          <t>rent for flat 14 boden</t>
        </is>
      </c>
      <c r="F68" t="inlineStr">
        <is>
          <t>MANUAL</t>
        </is>
      </c>
      <c r="G68" s="3" t="n">
        <v>680.0</v>
      </c>
      <c r="H68" t="inlineStr">
        <is>
          <t>HIST-2025-04-1532</t>
        </is>
      </c>
      <c r="I68" s="2" t="n">
        <v>45772.0</v>
      </c>
      <c r="J68" t="inlineStr">
        <is>
          <t>PAID</t>
        </is>
      </c>
    </row>
    <row r="69">
      <c r="A69" t="n">
        <v>93.0</v>
      </c>
      <c r="B69" s="2" t="n">
        <v>46002.947592592594</v>
      </c>
      <c r="C69" t="inlineStr">
        <is>
          <t>Flat 22 - 3 West Gate</t>
        </is>
      </c>
      <c r="D69" t="inlineStr">
        <is>
          <t>rent</t>
        </is>
      </c>
      <c r="E69" t="inlineStr">
        <is>
          <t>rent for flat 22 boden</t>
        </is>
      </c>
      <c r="F69" t="inlineStr">
        <is>
          <t>MANUAL</t>
        </is>
      </c>
      <c r="G69" s="3" t="n">
        <v>578.0</v>
      </c>
      <c r="H69" t="inlineStr">
        <is>
          <t>HIST-2025-04-1532</t>
        </is>
      </c>
      <c r="I69" s="2" t="n">
        <v>45772.0</v>
      </c>
      <c r="J69" t="inlineStr">
        <is>
          <t>PAID</t>
        </is>
      </c>
    </row>
    <row r="70">
      <c r="A70" t="n">
        <v>93.0</v>
      </c>
      <c r="B70" s="2" t="n">
        <v>46002.9480787037</v>
      </c>
      <c r="C70" t="inlineStr">
        <is>
          <t>Flat 22 - 3 West Gate</t>
        </is>
      </c>
      <c r="D70" t="inlineStr">
        <is>
          <t>rent</t>
        </is>
      </c>
      <c r="E70" t="inlineStr">
        <is>
          <t>rent for flat 22 boden</t>
        </is>
      </c>
      <c r="F70" t="inlineStr">
        <is>
          <t>MANUAL</t>
        </is>
      </c>
      <c r="G70" s="3" t="n">
        <v>51.0</v>
      </c>
      <c r="H70" t="inlineStr">
        <is>
          <t>HIST-2025-05-1564</t>
        </is>
      </c>
      <c r="I70" s="2" t="n">
        <v>45804.0</v>
      </c>
      <c r="J70" t="inlineStr">
        <is>
          <t>PAID</t>
        </is>
      </c>
    </row>
    <row r="71">
      <c r="A71" t="n">
        <v>95.0</v>
      </c>
      <c r="B71" s="2" t="n">
        <v>46002.9496875</v>
      </c>
      <c r="C71" t="inlineStr">
        <is>
          <t>Flat 26 - 3 West Gate</t>
        </is>
      </c>
      <c r="D71" t="inlineStr">
        <is>
          <t>rent</t>
        </is>
      </c>
      <c r="E71" t="inlineStr">
        <is>
          <t>rent for flat 26 boden</t>
        </is>
      </c>
      <c r="F71" t="inlineStr">
        <is>
          <t>MANUAL</t>
        </is>
      </c>
      <c r="G71" s="3" t="n">
        <v>573.75</v>
      </c>
      <c r="H71" t="inlineStr">
        <is>
          <t>HIST-2025-05-1564</t>
        </is>
      </c>
      <c r="I71" s="2" t="n">
        <v>45804.0</v>
      </c>
      <c r="J71" t="inlineStr">
        <is>
          <t>PAID</t>
        </is>
      </c>
    </row>
    <row r="72">
      <c r="A72" t="n">
        <v>72.0</v>
      </c>
      <c r="B72" s="2" t="n">
        <v>46002.94969907407</v>
      </c>
      <c r="C72" t="inlineStr">
        <is>
          <t>Flat 1 - 3 West Gate</t>
        </is>
      </c>
      <c r="D72" t="inlineStr">
        <is>
          <t>rent</t>
        </is>
      </c>
      <c r="E72" t="inlineStr">
        <is>
          <t>rent for flat 1 boden</t>
        </is>
      </c>
      <c r="F72" t="inlineStr">
        <is>
          <t>MANUAL</t>
        </is>
      </c>
      <c r="G72" s="3" t="n">
        <v>675.75</v>
      </c>
      <c r="H72" t="inlineStr">
        <is>
          <t>HIST-2025-05-1564</t>
        </is>
      </c>
      <c r="I72" s="2" t="n">
        <v>45804.0</v>
      </c>
      <c r="J72" t="inlineStr">
        <is>
          <t>PAID</t>
        </is>
      </c>
    </row>
    <row r="73">
      <c r="A73" t="n">
        <v>81.0</v>
      </c>
      <c r="B73" s="2" t="n">
        <v>46002.94969907407</v>
      </c>
      <c r="C73" t="inlineStr">
        <is>
          <t>Flat 10 - 3 West Gate</t>
        </is>
      </c>
      <c r="D73" t="inlineStr">
        <is>
          <t>rent</t>
        </is>
      </c>
      <c r="E73" t="inlineStr">
        <is>
          <t>rent for flat 10 boden</t>
        </is>
      </c>
      <c r="F73" t="inlineStr">
        <is>
          <t>MANUAL</t>
        </is>
      </c>
      <c r="G73" s="3" t="n">
        <v>624.75</v>
      </c>
      <c r="H73" t="inlineStr">
        <is>
          <t>HIST-2025-05-1564</t>
        </is>
      </c>
      <c r="I73" s="2" t="n">
        <v>45804.0</v>
      </c>
      <c r="J73" t="inlineStr">
        <is>
          <t>PAID</t>
        </is>
      </c>
    </row>
    <row r="74">
      <c r="A74" t="n">
        <v>82.0</v>
      </c>
      <c r="B74" s="2" t="n">
        <v>46002.94969907407</v>
      </c>
      <c r="C74" t="inlineStr">
        <is>
          <t>Flat 11 - 3 West Gate</t>
        </is>
      </c>
      <c r="D74" t="inlineStr">
        <is>
          <t>rent</t>
        </is>
      </c>
      <c r="E74" t="inlineStr">
        <is>
          <t>rent for flat 11 boden</t>
        </is>
      </c>
      <c r="F74" t="inlineStr">
        <is>
          <t>MANUAL</t>
        </is>
      </c>
      <c r="G74" s="3" t="n">
        <v>675.75</v>
      </c>
      <c r="H74" t="inlineStr">
        <is>
          <t>HIST-2025-05-1564</t>
        </is>
      </c>
      <c r="I74" s="2" t="n">
        <v>45804.0</v>
      </c>
      <c r="J74" t="inlineStr">
        <is>
          <t>PAID</t>
        </is>
      </c>
    </row>
    <row r="75">
      <c r="A75" t="n">
        <v>83.0</v>
      </c>
      <c r="B75" s="2" t="n">
        <v>46002.94969907407</v>
      </c>
      <c r="C75" t="inlineStr">
        <is>
          <t>Flat 12 - 3 West Gate</t>
        </is>
      </c>
      <c r="D75" t="inlineStr">
        <is>
          <t>rent</t>
        </is>
      </c>
      <c r="E75" t="inlineStr">
        <is>
          <t>rent for flat 12 boden</t>
        </is>
      </c>
      <c r="F75" t="inlineStr">
        <is>
          <t>MANUAL</t>
        </is>
      </c>
      <c r="G75" s="3" t="n">
        <v>573.75</v>
      </c>
      <c r="H75" t="inlineStr">
        <is>
          <t>HIST-2025-05-1564</t>
        </is>
      </c>
      <c r="I75" s="2" t="n">
        <v>45804.0</v>
      </c>
      <c r="J75" t="inlineStr">
        <is>
          <t>PAID</t>
        </is>
      </c>
    </row>
    <row r="76">
      <c r="A76" t="n">
        <v>84.0</v>
      </c>
      <c r="B76" s="2" t="n">
        <v>46002.94969907407</v>
      </c>
      <c r="C76" t="inlineStr">
        <is>
          <t>Flat 13 - 3 West Gate</t>
        </is>
      </c>
      <c r="D76" t="inlineStr">
        <is>
          <t>rent</t>
        </is>
      </c>
      <c r="E76" t="inlineStr">
        <is>
          <t>rent for flat 13 boden</t>
        </is>
      </c>
      <c r="F76" t="inlineStr">
        <is>
          <t>MANUAL</t>
        </is>
      </c>
      <c r="G76" s="3" t="n">
        <v>680.0</v>
      </c>
      <c r="H76" t="inlineStr">
        <is>
          <t>HIST-2025-05-1564</t>
        </is>
      </c>
      <c r="I76" s="2" t="n">
        <v>45804.0</v>
      </c>
      <c r="J76" t="inlineStr">
        <is>
          <t>PAID</t>
        </is>
      </c>
    </row>
    <row r="77">
      <c r="A77" t="n">
        <v>87.0</v>
      </c>
      <c r="B77" s="2" t="n">
        <v>46002.94969907407</v>
      </c>
      <c r="C77" t="inlineStr">
        <is>
          <t>Flat 16 - 3 West Gate</t>
        </is>
      </c>
      <c r="D77" t="inlineStr">
        <is>
          <t>rent</t>
        </is>
      </c>
      <c r="E77" t="inlineStr">
        <is>
          <t>rent for flat 16 boden</t>
        </is>
      </c>
      <c r="F77" t="inlineStr">
        <is>
          <t>MANUAL</t>
        </is>
      </c>
      <c r="G77" s="3" t="n">
        <v>629.0</v>
      </c>
      <c r="H77" t="inlineStr">
        <is>
          <t>HIST-2025-05-1564</t>
        </is>
      </c>
      <c r="I77" s="2" t="n">
        <v>45804.0</v>
      </c>
      <c r="J77" t="inlineStr">
        <is>
          <t>PAID</t>
        </is>
      </c>
    </row>
    <row r="78">
      <c r="A78" t="n">
        <v>90.0</v>
      </c>
      <c r="B78" s="2" t="n">
        <v>46002.94969907407</v>
      </c>
      <c r="C78" t="inlineStr">
        <is>
          <t>Flat 19 - 3 West Gate</t>
        </is>
      </c>
      <c r="D78" t="inlineStr">
        <is>
          <t>rent</t>
        </is>
      </c>
      <c r="E78" t="inlineStr">
        <is>
          <t>rent for flat 19 boden</t>
        </is>
      </c>
      <c r="F78" t="inlineStr">
        <is>
          <t>MANUAL</t>
        </is>
      </c>
      <c r="G78" s="3" t="n">
        <v>629.0</v>
      </c>
      <c r="H78" t="inlineStr">
        <is>
          <t>HIST-2025-05-1564</t>
        </is>
      </c>
      <c r="I78" s="2" t="n">
        <v>45804.0</v>
      </c>
      <c r="J78" t="inlineStr">
        <is>
          <t>PAID</t>
        </is>
      </c>
    </row>
    <row r="79">
      <c r="A79" t="n">
        <v>73.0</v>
      </c>
      <c r="B79" s="2" t="n">
        <v>46002.94969907407</v>
      </c>
      <c r="C79" t="inlineStr">
        <is>
          <t>Flat 2 - 3 West Gate</t>
        </is>
      </c>
      <c r="D79" t="inlineStr">
        <is>
          <t>rent</t>
        </is>
      </c>
      <c r="E79" t="inlineStr">
        <is>
          <t>rent for flat 2 boden</t>
        </is>
      </c>
      <c r="F79" t="inlineStr">
        <is>
          <t>MANUAL</t>
        </is>
      </c>
      <c r="G79" s="3" t="n">
        <v>629.0</v>
      </c>
      <c r="H79" t="inlineStr">
        <is>
          <t>HIST-2025-05-1564</t>
        </is>
      </c>
      <c r="I79" s="2" t="n">
        <v>45804.0</v>
      </c>
      <c r="J79" t="inlineStr">
        <is>
          <t>PAID</t>
        </is>
      </c>
    </row>
    <row r="80">
      <c r="A80" t="n">
        <v>91.0</v>
      </c>
      <c r="B80" s="2" t="n">
        <v>46002.94969907407</v>
      </c>
      <c r="C80" t="inlineStr">
        <is>
          <t>Flat 20 - 3 West Gate</t>
        </is>
      </c>
      <c r="D80" t="inlineStr">
        <is>
          <t>rent</t>
        </is>
      </c>
      <c r="E80" t="inlineStr">
        <is>
          <t>rent for flat 20 boden</t>
        </is>
      </c>
      <c r="F80" t="inlineStr">
        <is>
          <t>MANUAL</t>
        </is>
      </c>
      <c r="G80" s="3" t="n">
        <v>595.0</v>
      </c>
      <c r="H80" t="inlineStr">
        <is>
          <t>HIST-2025-05-1564</t>
        </is>
      </c>
      <c r="I80" s="2" t="n">
        <v>45804.0</v>
      </c>
      <c r="J80" t="inlineStr">
        <is>
          <t>PAID</t>
        </is>
      </c>
    </row>
    <row r="81">
      <c r="A81" t="n">
        <v>96.0</v>
      </c>
      <c r="B81" s="2" t="n">
        <v>46002.94969907407</v>
      </c>
      <c r="C81" t="inlineStr">
        <is>
          <t>Flat 27 - 3 West Gate</t>
        </is>
      </c>
      <c r="D81" t="inlineStr">
        <is>
          <t>rent</t>
        </is>
      </c>
      <c r="E81" t="inlineStr">
        <is>
          <t>rent for flat 27 boden</t>
        </is>
      </c>
      <c r="F81" t="inlineStr">
        <is>
          <t>MANUAL</t>
        </is>
      </c>
      <c r="G81" s="3" t="n">
        <v>595.0</v>
      </c>
      <c r="H81" t="inlineStr">
        <is>
          <t>HIST-2025-05-1564</t>
        </is>
      </c>
      <c r="I81" s="2" t="n">
        <v>45804.0</v>
      </c>
      <c r="J81" t="inlineStr">
        <is>
          <t>PAID</t>
        </is>
      </c>
    </row>
    <row r="82">
      <c r="A82" t="n">
        <v>97.0</v>
      </c>
      <c r="B82" s="2" t="n">
        <v>46002.94969907407</v>
      </c>
      <c r="C82" t="inlineStr">
        <is>
          <t>Flat 28 - 3 West Gate</t>
        </is>
      </c>
      <c r="D82" t="inlineStr">
        <is>
          <t>rent</t>
        </is>
      </c>
      <c r="E82" t="inlineStr">
        <is>
          <t>rent for flat 28 boden</t>
        </is>
      </c>
      <c r="F82" t="inlineStr">
        <is>
          <t>MANUAL</t>
        </is>
      </c>
      <c r="G82" s="3" t="n">
        <v>629.0</v>
      </c>
      <c r="H82" t="inlineStr">
        <is>
          <t>HIST-2025-05-1564</t>
        </is>
      </c>
      <c r="I82" s="2" t="n">
        <v>45804.0</v>
      </c>
      <c r="J82" t="inlineStr">
        <is>
          <t>PAID</t>
        </is>
      </c>
    </row>
    <row r="83">
      <c r="A83" t="n">
        <v>98.0</v>
      </c>
      <c r="B83" s="2" t="n">
        <v>46002.94969907407</v>
      </c>
      <c r="C83" t="inlineStr">
        <is>
          <t>Flat 29 - 3 West Gate</t>
        </is>
      </c>
      <c r="D83" t="inlineStr">
        <is>
          <t>rent</t>
        </is>
      </c>
      <c r="E83" t="inlineStr">
        <is>
          <t>rent for flat 29 boden</t>
        </is>
      </c>
      <c r="F83" t="inlineStr">
        <is>
          <t>MANUAL</t>
        </is>
      </c>
      <c r="G83" s="3" t="n">
        <v>629.0</v>
      </c>
      <c r="H83" t="inlineStr">
        <is>
          <t>HIST-2025-05-1564</t>
        </is>
      </c>
      <c r="I83" s="2" t="n">
        <v>45804.0</v>
      </c>
      <c r="J83" t="inlineStr">
        <is>
          <t>PAID</t>
        </is>
      </c>
    </row>
    <row r="84">
      <c r="A84" t="n">
        <v>75.0</v>
      </c>
      <c r="B84" s="2" t="n">
        <v>46002.94969907407</v>
      </c>
      <c r="C84" t="inlineStr">
        <is>
          <t>Flat 4 - 3 West Gate</t>
        </is>
      </c>
      <c r="D84" t="inlineStr">
        <is>
          <t>rent</t>
        </is>
      </c>
      <c r="E84" t="inlineStr">
        <is>
          <t>rent for flat 4 boden</t>
        </is>
      </c>
      <c r="F84" t="inlineStr">
        <is>
          <t>MANUAL</t>
        </is>
      </c>
      <c r="G84" s="3" t="n">
        <v>726.75</v>
      </c>
      <c r="H84" t="inlineStr">
        <is>
          <t>HIST-2025-05-1564</t>
        </is>
      </c>
      <c r="I84" s="2" t="n">
        <v>45804.0</v>
      </c>
      <c r="J84" t="inlineStr">
        <is>
          <t>PAID</t>
        </is>
      </c>
    </row>
    <row r="85">
      <c r="A85" t="n">
        <v>79.0</v>
      </c>
      <c r="B85" s="2" t="n">
        <v>46002.94969907407</v>
      </c>
      <c r="C85" t="inlineStr">
        <is>
          <t>Flat 8 - 3 West Gate</t>
        </is>
      </c>
      <c r="D85" t="inlineStr">
        <is>
          <t>rent</t>
        </is>
      </c>
      <c r="E85" t="inlineStr">
        <is>
          <t>rent for flat 8 boden</t>
        </is>
      </c>
      <c r="F85" t="inlineStr">
        <is>
          <t>MANUAL</t>
        </is>
      </c>
      <c r="G85" s="3" t="n">
        <v>573.75</v>
      </c>
      <c r="H85" t="inlineStr">
        <is>
          <t>HIST-2025-05-1564</t>
        </is>
      </c>
      <c r="I85" s="2" t="n">
        <v>45804.0</v>
      </c>
      <c r="J85" t="inlineStr">
        <is>
          <t>PAID</t>
        </is>
      </c>
    </row>
    <row r="86">
      <c r="A86" t="n">
        <v>80.0</v>
      </c>
      <c r="B86" s="2" t="n">
        <v>46002.94969907407</v>
      </c>
      <c r="C86" t="inlineStr">
        <is>
          <t>Flat 9 - 3 West Gate</t>
        </is>
      </c>
      <c r="D86" t="inlineStr">
        <is>
          <t>rent</t>
        </is>
      </c>
      <c r="E86" t="inlineStr">
        <is>
          <t>rent for flat 9 boden</t>
        </is>
      </c>
      <c r="F86" t="inlineStr">
        <is>
          <t>MANUAL</t>
        </is>
      </c>
      <c r="G86" s="3" t="n">
        <v>595.0</v>
      </c>
      <c r="H86" t="inlineStr">
        <is>
          <t>HIST-2025-05-1564</t>
        </is>
      </c>
      <c r="I86" s="2" t="n">
        <v>45804.0</v>
      </c>
      <c r="J86" t="inlineStr">
        <is>
          <t>PAID</t>
        </is>
      </c>
    </row>
    <row r="87">
      <c r="A87" t="n">
        <v>86.0</v>
      </c>
      <c r="B87" s="2" t="n">
        <v>46002.94971064815</v>
      </c>
      <c r="C87" t="inlineStr">
        <is>
          <t>Flat 15 - 3 West Gate</t>
        </is>
      </c>
      <c r="D87" t="inlineStr">
        <is>
          <t>rent</t>
        </is>
      </c>
      <c r="E87" t="inlineStr">
        <is>
          <t>rent for flat 15 boden</t>
        </is>
      </c>
      <c r="F87" t="inlineStr">
        <is>
          <t>MANUAL</t>
        </is>
      </c>
      <c r="G87" s="3" t="n">
        <v>1258.0</v>
      </c>
      <c r="H87" t="inlineStr">
        <is>
          <t>HIST-2025-05-1564</t>
        </is>
      </c>
      <c r="I87" s="2" t="n">
        <v>45804.0</v>
      </c>
      <c r="J87" t="inlineStr">
        <is>
          <t>PAID</t>
        </is>
      </c>
    </row>
    <row r="88">
      <c r="A88" t="n">
        <v>89.0</v>
      </c>
      <c r="B88" s="2" t="n">
        <v>46002.94971064815</v>
      </c>
      <c r="C88" t="inlineStr">
        <is>
          <t>Flat 18 - 3 West Gate</t>
        </is>
      </c>
      <c r="D88" t="inlineStr">
        <is>
          <t>rent</t>
        </is>
      </c>
      <c r="E88" t="inlineStr">
        <is>
          <t xml:space="preserve">rent for flat 18 boden </t>
        </is>
      </c>
      <c r="F88" t="inlineStr">
        <is>
          <t>MANUAL</t>
        </is>
      </c>
      <c r="G88" s="3" t="n">
        <v>157.25</v>
      </c>
      <c r="H88" t="inlineStr">
        <is>
          <t>HIST-2025-05-1564</t>
        </is>
      </c>
      <c r="I88" s="2" t="n">
        <v>45804.0</v>
      </c>
      <c r="J88" t="inlineStr">
        <is>
          <t>PAID</t>
        </is>
      </c>
    </row>
    <row r="89">
      <c r="A89" t="n">
        <v>92.0</v>
      </c>
      <c r="B89" s="2" t="n">
        <v>46002.94971064815</v>
      </c>
      <c r="C89" t="inlineStr">
        <is>
          <t>Flat 21 - 3 West Gate</t>
        </is>
      </c>
      <c r="D89" t="inlineStr">
        <is>
          <t>rent</t>
        </is>
      </c>
      <c r="E89" t="inlineStr">
        <is>
          <t>rent for flat 21 boden</t>
        </is>
      </c>
      <c r="F89" t="inlineStr">
        <is>
          <t>MANUAL</t>
        </is>
      </c>
      <c r="G89" s="3" t="n">
        <v>675.75</v>
      </c>
      <c r="H89" t="inlineStr">
        <is>
          <t>HIST-2025-05-1564</t>
        </is>
      </c>
      <c r="I89" s="2" t="n">
        <v>45804.0</v>
      </c>
      <c r="J89" t="inlineStr">
        <is>
          <t>PAID</t>
        </is>
      </c>
    </row>
    <row r="90">
      <c r="A90" t="n">
        <v>94.0</v>
      </c>
      <c r="B90" s="2" t="n">
        <v>46002.94971064815</v>
      </c>
      <c r="C90" t="inlineStr">
        <is>
          <t>Flat 24 - 3 West Gate</t>
        </is>
      </c>
      <c r="D90" t="inlineStr">
        <is>
          <t>rent</t>
        </is>
      </c>
      <c r="E90" t="inlineStr">
        <is>
          <t>rent for flat 24 boden</t>
        </is>
      </c>
      <c r="F90" t="inlineStr">
        <is>
          <t>MANUAL</t>
        </is>
      </c>
      <c r="G90" s="3" t="n">
        <v>688.5</v>
      </c>
      <c r="H90" t="inlineStr">
        <is>
          <t>HIST-2025-05-1564</t>
        </is>
      </c>
      <c r="I90" s="2" t="n">
        <v>45804.0</v>
      </c>
      <c r="J90" t="inlineStr">
        <is>
          <t>PAID</t>
        </is>
      </c>
    </row>
    <row r="91">
      <c r="A91" t="n">
        <v>74.0</v>
      </c>
      <c r="B91" s="2" t="n">
        <v>46002.94971064815</v>
      </c>
      <c r="C91" t="inlineStr">
        <is>
          <t>Flat 3 - 3 West Gate</t>
        </is>
      </c>
      <c r="D91" t="inlineStr">
        <is>
          <t>rent</t>
        </is>
      </c>
      <c r="E91" t="inlineStr">
        <is>
          <t>rent for flat 3 boden</t>
        </is>
      </c>
      <c r="F91" t="inlineStr">
        <is>
          <t>MANUAL</t>
        </is>
      </c>
      <c r="G91" s="3" t="n">
        <v>629.0</v>
      </c>
      <c r="H91" t="inlineStr">
        <is>
          <t>HIST-2025-05-1564</t>
        </is>
      </c>
      <c r="I91" s="2" t="n">
        <v>45804.0</v>
      </c>
      <c r="J91" t="inlineStr">
        <is>
          <t>PAID</t>
        </is>
      </c>
    </row>
    <row r="92">
      <c r="A92" t="n">
        <v>99.0</v>
      </c>
      <c r="B92" s="2" t="n">
        <v>46002.94971064815</v>
      </c>
      <c r="C92" t="inlineStr">
        <is>
          <t>Flat 30 - 3 West Gate</t>
        </is>
      </c>
      <c r="D92" t="inlineStr">
        <is>
          <t>rent</t>
        </is>
      </c>
      <c r="E92" t="inlineStr">
        <is>
          <t>rent for flat 30 boden</t>
        </is>
      </c>
      <c r="F92" t="inlineStr">
        <is>
          <t>MANUAL</t>
        </is>
      </c>
      <c r="G92" s="3" t="n">
        <v>629.0</v>
      </c>
      <c r="H92" t="inlineStr">
        <is>
          <t>HIST-2025-05-1564</t>
        </is>
      </c>
      <c r="I92" s="2" t="n">
        <v>45804.0</v>
      </c>
      <c r="J92" t="inlineStr">
        <is>
          <t>PAID</t>
        </is>
      </c>
    </row>
    <row r="93">
      <c r="A93" t="n">
        <v>76.0</v>
      </c>
      <c r="B93" s="2" t="n">
        <v>46002.94971064815</v>
      </c>
      <c r="C93" t="inlineStr">
        <is>
          <t>Flat 5 - 3 West Gate</t>
        </is>
      </c>
      <c r="D93" t="inlineStr">
        <is>
          <t>rent</t>
        </is>
      </c>
      <c r="E93" t="inlineStr">
        <is>
          <t>rent for flat 5 boden</t>
        </is>
      </c>
      <c r="F93" t="inlineStr">
        <is>
          <t>MANUAL</t>
        </is>
      </c>
      <c r="G93" s="3" t="n">
        <v>629.0</v>
      </c>
      <c r="H93" t="inlineStr">
        <is>
          <t>HIST-2025-05-1564</t>
        </is>
      </c>
      <c r="I93" s="2" t="n">
        <v>45804.0</v>
      </c>
      <c r="J93" t="inlineStr">
        <is>
          <t>PAID</t>
        </is>
      </c>
    </row>
    <row r="94">
      <c r="A94" t="n">
        <v>78.0</v>
      </c>
      <c r="B94" s="2" t="n">
        <v>46002.94971064815</v>
      </c>
      <c r="C94" t="inlineStr">
        <is>
          <t>Flat 7 - 3 West Gate</t>
        </is>
      </c>
      <c r="D94" t="inlineStr">
        <is>
          <t>rent</t>
        </is>
      </c>
      <c r="E94" t="inlineStr">
        <is>
          <t>rent for flat 7 boden</t>
        </is>
      </c>
      <c r="F94" t="inlineStr">
        <is>
          <t>MANUAL</t>
        </is>
      </c>
      <c r="G94" s="3" t="n">
        <v>1190.0</v>
      </c>
      <c r="H94" t="inlineStr">
        <is>
          <t>HIST-2025-05-1564</t>
        </is>
      </c>
      <c r="I94" s="2" t="n">
        <v>45804.0</v>
      </c>
      <c r="J94" t="inlineStr">
        <is>
          <t>PAID</t>
        </is>
      </c>
    </row>
    <row r="95">
      <c r="A95" t="n">
        <v>114.0</v>
      </c>
      <c r="B95" s="2" t="n">
        <v>46002.967361111114</v>
      </c>
      <c r="C95" t="inlineStr">
        <is>
          <t>Flat 14 - 3 West Gate</t>
        </is>
      </c>
      <c r="D95" t="inlineStr">
        <is>
          <t>rent</t>
        </is>
      </c>
      <c r="E95" t="inlineStr">
        <is>
          <t>rent for flat 14 boden</t>
        </is>
      </c>
      <c r="F95" t="inlineStr">
        <is>
          <t>MANUAL</t>
        </is>
      </c>
      <c r="G95" s="3" t="n">
        <v>675.75</v>
      </c>
      <c r="H95" t="inlineStr">
        <is>
          <t>HIST-2025-05-1564</t>
        </is>
      </c>
      <c r="I95" s="2" t="n">
        <v>45804.0</v>
      </c>
      <c r="J95" t="inlineStr">
        <is>
          <t>PAID</t>
        </is>
      </c>
    </row>
    <row r="96">
      <c r="A96" t="n">
        <v>88.0</v>
      </c>
      <c r="B96" s="2" t="n">
        <v>46002.967361111114</v>
      </c>
      <c r="C96" t="inlineStr">
        <is>
          <t>Flat 17 - 3 West Gate</t>
        </is>
      </c>
      <c r="D96" t="inlineStr">
        <is>
          <t>rent</t>
        </is>
      </c>
      <c r="E96" t="inlineStr">
        <is>
          <t>rent for flat 17 boden</t>
        </is>
      </c>
      <c r="F96" t="inlineStr">
        <is>
          <t>MANUAL</t>
        </is>
      </c>
      <c r="G96" s="3" t="n">
        <v>595.0</v>
      </c>
      <c r="H96" t="inlineStr">
        <is>
          <t>HIST-2025-05-1564</t>
        </is>
      </c>
      <c r="I96" s="2" t="n">
        <v>45804.0</v>
      </c>
      <c r="J96" t="inlineStr">
        <is>
          <t>PAID</t>
        </is>
      </c>
    </row>
    <row r="97">
      <c r="A97" t="n">
        <v>120.0</v>
      </c>
      <c r="B97" s="2" t="n">
        <v>46002.9678587963</v>
      </c>
      <c r="C97" t="inlineStr">
        <is>
          <t>Flat 22 - 3 West Gate</t>
        </is>
      </c>
      <c r="D97" t="inlineStr">
        <is>
          <t>rent</t>
        </is>
      </c>
      <c r="E97" t="inlineStr">
        <is>
          <t>rent for flat 22 boden</t>
        </is>
      </c>
      <c r="F97" t="inlineStr">
        <is>
          <t>MANUAL</t>
        </is>
      </c>
      <c r="G97" s="3" t="n">
        <v>537.91</v>
      </c>
      <c r="H97" t="inlineStr">
        <is>
          <t>HIST-2025-05-1564</t>
        </is>
      </c>
      <c r="I97" s="2" t="n">
        <v>45804.0</v>
      </c>
      <c r="J97" t="inlineStr">
        <is>
          <t>PAID</t>
        </is>
      </c>
    </row>
    <row r="98">
      <c r="A98" t="n">
        <v>120.0</v>
      </c>
      <c r="B98" s="2" t="n">
        <v>46002.9681712963</v>
      </c>
      <c r="C98" t="inlineStr">
        <is>
          <t>Flat 22 - 3 West Gate</t>
        </is>
      </c>
      <c r="D98" t="inlineStr">
        <is>
          <t>rent</t>
        </is>
      </c>
      <c r="E98" t="inlineStr">
        <is>
          <t>rent for flat 22 boden</t>
        </is>
      </c>
      <c r="F98" t="inlineStr">
        <is>
          <t>MANUAL</t>
        </is>
      </c>
      <c r="G98" s="3" t="n">
        <v>91.09</v>
      </c>
      <c r="H98" t="inlineStr">
        <is>
          <t>HIST-2025-05-1565</t>
        </is>
      </c>
      <c r="I98" s="2" t="n">
        <v>45805.0</v>
      </c>
      <c r="J98" t="inlineStr">
        <is>
          <t>PAID</t>
        </is>
      </c>
    </row>
    <row r="99">
      <c r="A99" t="n">
        <v>108.0</v>
      </c>
      <c r="B99" s="2" t="n">
        <v>46002.96849537037</v>
      </c>
      <c r="C99" t="inlineStr">
        <is>
          <t>Flat 6 - 3 West Gate</t>
        </is>
      </c>
      <c r="D99" t="inlineStr">
        <is>
          <t>rent</t>
        </is>
      </c>
      <c r="E99" t="inlineStr">
        <is>
          <t>rent for flat 6 boden</t>
        </is>
      </c>
      <c r="F99" t="inlineStr">
        <is>
          <t>MANUAL</t>
        </is>
      </c>
      <c r="G99" s="3" t="n">
        <v>629.0</v>
      </c>
      <c r="H99" t="inlineStr">
        <is>
          <t>HIST-2025-05-1565</t>
        </is>
      </c>
      <c r="I99" s="2" t="n">
        <v>45805.0</v>
      </c>
      <c r="J99" t="inlineStr">
        <is>
          <t>PAID</t>
        </is>
      </c>
    </row>
    <row r="100">
      <c r="A100" t="n">
        <v>121.0</v>
      </c>
      <c r="B100" s="2" t="n">
        <v>46002.968981481485</v>
      </c>
      <c r="C100" t="inlineStr">
        <is>
          <t>Flat 26 - 3 West Gate</t>
        </is>
      </c>
      <c r="D100" t="inlineStr">
        <is>
          <t>rent</t>
        </is>
      </c>
      <c r="E100" t="inlineStr">
        <is>
          <t>rent for flat 26 boden</t>
        </is>
      </c>
      <c r="F100" t="inlineStr">
        <is>
          <t>MANUAL</t>
        </is>
      </c>
      <c r="G100" s="3" t="n">
        <v>203.12</v>
      </c>
      <c r="H100" t="inlineStr">
        <is>
          <t>HIST-2025-05-1565</t>
        </is>
      </c>
      <c r="I100" s="2" t="n">
        <v>45805.0</v>
      </c>
      <c r="J100" t="inlineStr">
        <is>
          <t>PAID</t>
        </is>
      </c>
    </row>
    <row r="101">
      <c r="A101" t="n">
        <v>121.0</v>
      </c>
      <c r="B101" s="2" t="n">
        <v>46002.96949074074</v>
      </c>
      <c r="C101" t="inlineStr">
        <is>
          <t>Flat 26 - 3 West Gate</t>
        </is>
      </c>
      <c r="D101" t="inlineStr">
        <is>
          <t>rent</t>
        </is>
      </c>
      <c r="E101" t="inlineStr">
        <is>
          <t>rent for flat 26 boden</t>
        </is>
      </c>
      <c r="F101" t="inlineStr">
        <is>
          <t>MANUAL</t>
        </is>
      </c>
      <c r="G101" s="3" t="n">
        <v>370.63</v>
      </c>
      <c r="H101" t="inlineStr">
        <is>
          <t>HIST-2025-07-1603</t>
        </is>
      </c>
      <c r="I101" s="2" t="n">
        <v>45846.0</v>
      </c>
      <c r="J101" t="inlineStr">
        <is>
          <t>PAID</t>
        </is>
      </c>
    </row>
    <row r="102">
      <c r="A102" t="n">
        <v>112.0</v>
      </c>
      <c r="B102" s="2" t="n">
        <v>46002.97002314815</v>
      </c>
      <c r="C102" t="inlineStr">
        <is>
          <t>Flat 11 - 3 West Gate</t>
        </is>
      </c>
      <c r="D102" t="inlineStr">
        <is>
          <t>rent</t>
        </is>
      </c>
      <c r="E102" t="inlineStr">
        <is>
          <t>rent for flat 11 boden</t>
        </is>
      </c>
      <c r="F102" t="inlineStr">
        <is>
          <t>MANUAL</t>
        </is>
      </c>
      <c r="G102" s="3" t="n">
        <v>675.75</v>
      </c>
      <c r="H102" t="inlineStr">
        <is>
          <t>HIST-2025-07-1603</t>
        </is>
      </c>
      <c r="I102" s="2" t="n">
        <v>45846.0</v>
      </c>
      <c r="J102" t="inlineStr">
        <is>
          <t>PAID</t>
        </is>
      </c>
    </row>
    <row r="103">
      <c r="A103" t="n">
        <v>105.0</v>
      </c>
      <c r="B103" s="2" t="n">
        <v>46002.97002314815</v>
      </c>
      <c r="C103" t="inlineStr">
        <is>
          <t>Flat 2 - 3 West Gate</t>
        </is>
      </c>
      <c r="D103" t="inlineStr">
        <is>
          <t>rent</t>
        </is>
      </c>
      <c r="E103" t="inlineStr">
        <is>
          <t>rent for flat 2 boden</t>
        </is>
      </c>
      <c r="F103" t="inlineStr">
        <is>
          <t>MANUAL</t>
        </is>
      </c>
      <c r="G103" s="3" t="n">
        <v>629.0</v>
      </c>
      <c r="H103" t="inlineStr">
        <is>
          <t>HIST-2025-07-1603</t>
        </is>
      </c>
      <c r="I103" s="2" t="n">
        <v>45846.0</v>
      </c>
      <c r="J103" t="inlineStr">
        <is>
          <t>PAID</t>
        </is>
      </c>
    </row>
    <row r="104">
      <c r="A104" t="n">
        <v>123.0</v>
      </c>
      <c r="B104" s="2" t="n">
        <v>46002.97002314815</v>
      </c>
      <c r="C104" t="inlineStr">
        <is>
          <t>Flat 28 - 3 West Gate</t>
        </is>
      </c>
      <c r="D104" t="inlineStr">
        <is>
          <t>rent</t>
        </is>
      </c>
      <c r="E104" t="inlineStr">
        <is>
          <t>rent for flat 28 boden</t>
        </is>
      </c>
      <c r="F104" t="inlineStr">
        <is>
          <t>MANUAL</t>
        </is>
      </c>
      <c r="G104" s="3" t="n">
        <v>629.0</v>
      </c>
      <c r="H104" t="inlineStr">
        <is>
          <t>HIST-2025-07-1603</t>
        </is>
      </c>
      <c r="I104" s="2" t="n">
        <v>45846.0</v>
      </c>
      <c r="J104" t="inlineStr">
        <is>
          <t>PAID</t>
        </is>
      </c>
    </row>
    <row r="105">
      <c r="A105" t="n">
        <v>110.0</v>
      </c>
      <c r="B105" s="2" t="n">
        <v>46002.97002314815</v>
      </c>
      <c r="C105" t="inlineStr">
        <is>
          <t>Flat 9 - 3 West Gate</t>
        </is>
      </c>
      <c r="D105" t="inlineStr">
        <is>
          <t>rent</t>
        </is>
      </c>
      <c r="E105" t="inlineStr">
        <is>
          <t>rent for flat 9 boden</t>
        </is>
      </c>
      <c r="F105" t="inlineStr">
        <is>
          <t>MANUAL</t>
        </is>
      </c>
      <c r="G105" s="3" t="n">
        <v>595.0</v>
      </c>
      <c r="H105" t="inlineStr">
        <is>
          <t>HIST-2025-07-1603</t>
        </is>
      </c>
      <c r="I105" s="2" t="n">
        <v>45846.0</v>
      </c>
      <c r="J105" t="inlineStr">
        <is>
          <t>PAID</t>
        </is>
      </c>
    </row>
    <row r="106">
      <c r="A106" t="n">
        <v>118.0</v>
      </c>
      <c r="B106" s="2" t="n">
        <v>46002.970034722224</v>
      </c>
      <c r="C106" t="inlineStr">
        <is>
          <t>Flat 20 - 3 West Gate</t>
        </is>
      </c>
      <c r="D106" t="inlineStr">
        <is>
          <t>rent</t>
        </is>
      </c>
      <c r="E106" t="inlineStr">
        <is>
          <t>rent for flat 20 boden</t>
        </is>
      </c>
      <c r="F106" t="inlineStr">
        <is>
          <t>MANUAL</t>
        </is>
      </c>
      <c r="G106" s="3" t="n">
        <v>595.0</v>
      </c>
      <c r="H106" t="inlineStr">
        <is>
          <t>HIST-2025-07-1603</t>
        </is>
      </c>
      <c r="I106" s="2" t="n">
        <v>45846.0</v>
      </c>
      <c r="J106" t="inlineStr">
        <is>
          <t>PAID</t>
        </is>
      </c>
    </row>
    <row r="107">
      <c r="A107" t="n">
        <v>117.0</v>
      </c>
      <c r="B107" s="2" t="n">
        <v>46003.008680555555</v>
      </c>
      <c r="C107" t="inlineStr">
        <is>
          <t>Flat 19 - 3 West Gate</t>
        </is>
      </c>
      <c r="D107" t="inlineStr">
        <is>
          <t>rent</t>
        </is>
      </c>
      <c r="E107" t="inlineStr">
        <is>
          <t>rent for flat 19 boden</t>
        </is>
      </c>
      <c r="F107" t="inlineStr">
        <is>
          <t>MANUAL</t>
        </is>
      </c>
      <c r="G107" s="3" t="n">
        <v>629.0</v>
      </c>
      <c r="H107" t="inlineStr">
        <is>
          <t>HIST-2025-07-1603</t>
        </is>
      </c>
      <c r="I107" s="2" t="n">
        <v>45846.0</v>
      </c>
      <c r="J107" t="inlineStr">
        <is>
          <t>PAID</t>
        </is>
      </c>
    </row>
    <row r="108">
      <c r="A108" t="n">
        <v>122.0</v>
      </c>
      <c r="B108" s="2" t="n">
        <v>46003.008680555555</v>
      </c>
      <c r="C108" t="inlineStr">
        <is>
          <t>Flat 27 - 3 West Gate</t>
        </is>
      </c>
      <c r="D108" t="inlineStr">
        <is>
          <t>rent</t>
        </is>
      </c>
      <c r="E108" t="inlineStr">
        <is>
          <t>rent for flat 27 boden</t>
        </is>
      </c>
      <c r="F108" t="inlineStr">
        <is>
          <t>MANUAL</t>
        </is>
      </c>
      <c r="G108" s="3" t="n">
        <v>595.0</v>
      </c>
      <c r="H108" t="inlineStr">
        <is>
          <t>HIST-2025-07-1603</t>
        </is>
      </c>
      <c r="I108" s="2" t="n">
        <v>45846.0</v>
      </c>
      <c r="J108" t="inlineStr">
        <is>
          <t>PAID</t>
        </is>
      </c>
    </row>
    <row r="109">
      <c r="A109" t="n">
        <v>124.0</v>
      </c>
      <c r="B109" s="2" t="n">
        <v>46003.008680555555</v>
      </c>
      <c r="C109" t="inlineStr">
        <is>
          <t>Flat 29 - 3 West Gate</t>
        </is>
      </c>
      <c r="D109" t="inlineStr">
        <is>
          <t>rent</t>
        </is>
      </c>
      <c r="E109" t="inlineStr">
        <is>
          <t>rent for flat 29 boden</t>
        </is>
      </c>
      <c r="F109" t="inlineStr">
        <is>
          <t>MANUAL</t>
        </is>
      </c>
      <c r="G109" s="3" t="n">
        <v>629.0</v>
      </c>
      <c r="H109" t="inlineStr">
        <is>
          <t>HIST-2025-07-1603</t>
        </is>
      </c>
      <c r="I109" s="2" t="n">
        <v>45846.0</v>
      </c>
      <c r="J109" t="inlineStr">
        <is>
          <t>PAID</t>
        </is>
      </c>
    </row>
    <row r="110">
      <c r="A110" t="n">
        <v>107.0</v>
      </c>
      <c r="B110" s="2" t="n">
        <v>46003.008680555555</v>
      </c>
      <c r="C110" t="inlineStr">
        <is>
          <t>Flat 4 - 3 West Gate</t>
        </is>
      </c>
      <c r="D110" t="inlineStr">
        <is>
          <t>rent</t>
        </is>
      </c>
      <c r="E110" t="inlineStr">
        <is>
          <t>Rent for flat 4 boden</t>
        </is>
      </c>
      <c r="F110" t="inlineStr">
        <is>
          <t>MANUAL</t>
        </is>
      </c>
      <c r="G110" s="3" t="n">
        <v>726.75</v>
      </c>
      <c r="H110" t="inlineStr">
        <is>
          <t>HIST-2025-07-1603</t>
        </is>
      </c>
      <c r="I110" s="2" t="n">
        <v>45846.0</v>
      </c>
      <c r="J110" t="inlineStr">
        <is>
          <t>PAID</t>
        </is>
      </c>
    </row>
    <row r="111">
      <c r="A111" t="n">
        <v>104.0</v>
      </c>
      <c r="B111" s="2" t="n">
        <v>46003.00931712963</v>
      </c>
      <c r="C111" t="inlineStr">
        <is>
          <t>Flat 1 - 3 West Gate</t>
        </is>
      </c>
      <c r="D111" t="inlineStr">
        <is>
          <t>rent</t>
        </is>
      </c>
      <c r="E111" t="inlineStr">
        <is>
          <t>Rent for flat 1 boden</t>
        </is>
      </c>
      <c r="F111" t="inlineStr">
        <is>
          <t>MANUAL</t>
        </is>
      </c>
      <c r="G111" s="3" t="n">
        <v>159.1</v>
      </c>
      <c r="H111" t="inlineStr">
        <is>
          <t>HIST-2025-07-1603</t>
        </is>
      </c>
      <c r="I111" s="2" t="n">
        <v>45846.0</v>
      </c>
      <c r="J111" t="inlineStr">
        <is>
          <t>PAID</t>
        </is>
      </c>
    </row>
    <row r="112">
      <c r="A112" t="n">
        <v>104.0</v>
      </c>
      <c r="B112" s="2" t="n">
        <v>46003.0096412037</v>
      </c>
      <c r="C112" t="inlineStr">
        <is>
          <t>Flat 1 - 3 West Gate</t>
        </is>
      </c>
      <c r="D112" t="inlineStr">
        <is>
          <t>rent</t>
        </is>
      </c>
      <c r="E112" t="inlineStr">
        <is>
          <t>Rent for flat 1 boden</t>
        </is>
      </c>
      <c r="F112" t="inlineStr">
        <is>
          <t>MANUAL</t>
        </is>
      </c>
      <c r="G112" s="3" t="n">
        <v>516.65</v>
      </c>
      <c r="H112" t="inlineStr">
        <is>
          <t>HIST-2025-07-1591</t>
        </is>
      </c>
      <c r="I112" s="2" t="n">
        <v>45846.0</v>
      </c>
      <c r="J112" t="inlineStr">
        <is>
          <t>PAID</t>
        </is>
      </c>
    </row>
    <row r="113">
      <c r="A113" t="n">
        <v>111.0</v>
      </c>
      <c r="B113" s="2" t="n">
        <v>46003.01047453703</v>
      </c>
      <c r="C113" t="inlineStr">
        <is>
          <t>Flat 10 - 3 West Gate</t>
        </is>
      </c>
      <c r="D113" t="inlineStr">
        <is>
          <t>rent</t>
        </is>
      </c>
      <c r="E113" t="inlineStr">
        <is>
          <t>rent for flat 10 boden</t>
        </is>
      </c>
      <c r="F113" t="inlineStr">
        <is>
          <t>MANUAL</t>
        </is>
      </c>
      <c r="G113" s="3" t="n">
        <v>624.75</v>
      </c>
      <c r="H113" t="inlineStr">
        <is>
          <t>HIST-2025-07-1591</t>
        </is>
      </c>
      <c r="I113" s="2" t="n">
        <v>45846.0</v>
      </c>
      <c r="J113" t="inlineStr">
        <is>
          <t>PAID</t>
        </is>
      </c>
    </row>
    <row r="114">
      <c r="A114" t="n">
        <v>113.0</v>
      </c>
      <c r="B114" s="2" t="n">
        <v>46003.01047453703</v>
      </c>
      <c r="C114" t="inlineStr">
        <is>
          <t>Flat 13 - 3 West Gate</t>
        </is>
      </c>
      <c r="D114" t="inlineStr">
        <is>
          <t>rent</t>
        </is>
      </c>
      <c r="E114" t="inlineStr">
        <is>
          <t>rent for flat 13 boden</t>
        </is>
      </c>
      <c r="F114" t="inlineStr">
        <is>
          <t>MANUAL</t>
        </is>
      </c>
      <c r="G114" s="3" t="n">
        <v>680.0</v>
      </c>
      <c r="H114" t="inlineStr">
        <is>
          <t>HIST-2025-07-1591</t>
        </is>
      </c>
      <c r="I114" s="2" t="n">
        <v>45846.0</v>
      </c>
      <c r="J114" t="inlineStr">
        <is>
          <t>PAID</t>
        </is>
      </c>
    </row>
    <row r="115">
      <c r="A115" t="n">
        <v>133.0</v>
      </c>
      <c r="B115" s="2" t="n">
        <v>46003.01047453703</v>
      </c>
      <c r="C115" t="inlineStr">
        <is>
          <t>Flat 14 - 3 West Gate</t>
        </is>
      </c>
      <c r="D115" t="inlineStr">
        <is>
          <t>rent</t>
        </is>
      </c>
      <c r="E115" t="inlineStr">
        <is>
          <t>Rent for flat 14 boden</t>
        </is>
      </c>
      <c r="F115" t="inlineStr">
        <is>
          <t>MANUAL</t>
        </is>
      </c>
      <c r="G115" s="3" t="n">
        <v>675.75</v>
      </c>
      <c r="H115" t="inlineStr">
        <is>
          <t>HIST-2025-07-1591</t>
        </is>
      </c>
      <c r="I115" s="2" t="n">
        <v>45846.0</v>
      </c>
      <c r="J115" t="inlineStr">
        <is>
          <t>PAID</t>
        </is>
      </c>
    </row>
    <row r="116">
      <c r="A116" t="n">
        <v>115.0</v>
      </c>
      <c r="B116" s="2" t="n">
        <v>46003.01047453703</v>
      </c>
      <c r="C116" t="inlineStr">
        <is>
          <t>Flat 16 - 3 West Gate</t>
        </is>
      </c>
      <c r="D116" t="inlineStr">
        <is>
          <t>rent</t>
        </is>
      </c>
      <c r="E116" t="inlineStr">
        <is>
          <t>rent for flat 16 boden</t>
        </is>
      </c>
      <c r="F116" t="inlineStr">
        <is>
          <t>MANUAL</t>
        </is>
      </c>
      <c r="G116" s="3" t="n">
        <v>629.0</v>
      </c>
      <c r="H116" t="inlineStr">
        <is>
          <t>HIST-2025-07-1591</t>
        </is>
      </c>
      <c r="I116" s="2" t="n">
        <v>45846.0</v>
      </c>
      <c r="J116" t="inlineStr">
        <is>
          <t>PAID</t>
        </is>
      </c>
    </row>
    <row r="117">
      <c r="A117" t="n">
        <v>116.0</v>
      </c>
      <c r="B117" s="2" t="n">
        <v>46003.01047453703</v>
      </c>
      <c r="C117" t="inlineStr">
        <is>
          <t>Flat 18 - 3 West Gate</t>
        </is>
      </c>
      <c r="D117" t="inlineStr">
        <is>
          <t>rent</t>
        </is>
      </c>
      <c r="E117" t="inlineStr">
        <is>
          <t>rent for flat 18 boden</t>
        </is>
      </c>
      <c r="F117" t="inlineStr">
        <is>
          <t>MANUAL</t>
        </is>
      </c>
      <c r="G117" s="3" t="n">
        <v>675.75</v>
      </c>
      <c r="H117" t="inlineStr">
        <is>
          <t>HIST-2025-07-1591</t>
        </is>
      </c>
      <c r="I117" s="2" t="n">
        <v>45846.0</v>
      </c>
      <c r="J117" t="inlineStr">
        <is>
          <t>PAID</t>
        </is>
      </c>
    </row>
    <row r="118">
      <c r="A118" t="n">
        <v>134.0</v>
      </c>
      <c r="B118" s="2" t="n">
        <v>46003.01047453703</v>
      </c>
      <c r="C118" t="inlineStr">
        <is>
          <t>Flat 20 - 3 West Gate</t>
        </is>
      </c>
      <c r="D118" t="inlineStr">
        <is>
          <t>rent</t>
        </is>
      </c>
      <c r="E118" t="inlineStr">
        <is>
          <t>Rent for flat 20 boden</t>
        </is>
      </c>
      <c r="F118" t="inlineStr">
        <is>
          <t>MANUAL</t>
        </is>
      </c>
      <c r="G118" s="3" t="n">
        <v>595.0</v>
      </c>
      <c r="H118" t="inlineStr">
        <is>
          <t>HIST-2025-07-1591</t>
        </is>
      </c>
      <c r="I118" s="2" t="n">
        <v>45846.0</v>
      </c>
      <c r="J118" t="inlineStr">
        <is>
          <t>PAID</t>
        </is>
      </c>
    </row>
    <row r="119">
      <c r="A119" t="n">
        <v>119.0</v>
      </c>
      <c r="B119" s="2" t="n">
        <v>46003.01047453703</v>
      </c>
      <c r="C119" t="inlineStr">
        <is>
          <t>Flat 21 - 3 West Gate</t>
        </is>
      </c>
      <c r="D119" t="inlineStr">
        <is>
          <t>rent</t>
        </is>
      </c>
      <c r="E119" t="inlineStr">
        <is>
          <t>rent for flat 21 boden</t>
        </is>
      </c>
      <c r="F119" t="inlineStr">
        <is>
          <t>MANUAL</t>
        </is>
      </c>
      <c r="G119" s="3" t="n">
        <v>675.75</v>
      </c>
      <c r="H119" t="inlineStr">
        <is>
          <t>HIST-2025-07-1591</t>
        </is>
      </c>
      <c r="I119" s="2" t="n">
        <v>45846.0</v>
      </c>
      <c r="J119" t="inlineStr">
        <is>
          <t>PAID</t>
        </is>
      </c>
    </row>
    <row r="120">
      <c r="A120" t="n">
        <v>135.0</v>
      </c>
      <c r="B120" s="2" t="n">
        <v>46003.01047453703</v>
      </c>
      <c r="C120" t="inlineStr">
        <is>
          <t>Flat 23 - 3 West Gate</t>
        </is>
      </c>
      <c r="D120" t="inlineStr">
        <is>
          <t>rent</t>
        </is>
      </c>
      <c r="E120" t="inlineStr">
        <is>
          <t>Rent for flat 23 boden</t>
        </is>
      </c>
      <c r="F120" t="inlineStr">
        <is>
          <t>MANUAL</t>
        </is>
      </c>
      <c r="G120" s="3" t="n">
        <v>675.75</v>
      </c>
      <c r="H120" t="inlineStr">
        <is>
          <t>HIST-2025-07-1591</t>
        </is>
      </c>
      <c r="I120" s="2" t="n">
        <v>45846.0</v>
      </c>
      <c r="J120" t="inlineStr">
        <is>
          <t>PAID</t>
        </is>
      </c>
    </row>
    <row r="121">
      <c r="A121" t="n">
        <v>136.0</v>
      </c>
      <c r="B121" s="2" t="n">
        <v>46003.01047453703</v>
      </c>
      <c r="C121" t="inlineStr">
        <is>
          <t>Flat 26 - 3 West Gate</t>
        </is>
      </c>
      <c r="D121" t="inlineStr">
        <is>
          <t>rent</t>
        </is>
      </c>
      <c r="E121" t="inlineStr">
        <is>
          <t>Rent for flat 26 boden</t>
        </is>
      </c>
      <c r="F121" t="inlineStr">
        <is>
          <t>MANUAL</t>
        </is>
      </c>
      <c r="G121" s="3" t="n">
        <v>573.75</v>
      </c>
      <c r="H121" t="inlineStr">
        <is>
          <t>HIST-2025-07-1591</t>
        </is>
      </c>
      <c r="I121" s="2" t="n">
        <v>45846.0</v>
      </c>
      <c r="J121" t="inlineStr">
        <is>
          <t>PAID</t>
        </is>
      </c>
    </row>
    <row r="122">
      <c r="A122" t="n">
        <v>106.0</v>
      </c>
      <c r="B122" s="2" t="n">
        <v>46003.01047453703</v>
      </c>
      <c r="C122" t="inlineStr">
        <is>
          <t>Flat 3 - 3 West Gate</t>
        </is>
      </c>
      <c r="D122" t="inlineStr">
        <is>
          <t>rent</t>
        </is>
      </c>
      <c r="E122" t="inlineStr">
        <is>
          <t>Rent for flat 3 boden</t>
        </is>
      </c>
      <c r="F122" t="inlineStr">
        <is>
          <t>MANUAL</t>
        </is>
      </c>
      <c r="G122" s="3" t="n">
        <v>629.0</v>
      </c>
      <c r="H122" t="inlineStr">
        <is>
          <t>HIST-2025-07-1591</t>
        </is>
      </c>
      <c r="I122" s="2" t="n">
        <v>45846.0</v>
      </c>
      <c r="J122" t="inlineStr">
        <is>
          <t>PAID</t>
        </is>
      </c>
    </row>
    <row r="123">
      <c r="A123" t="n">
        <v>125.0</v>
      </c>
      <c r="B123" s="2" t="n">
        <v>46003.01047453703</v>
      </c>
      <c r="C123" t="inlineStr">
        <is>
          <t>Flat 30 - 3 West Gate</t>
        </is>
      </c>
      <c r="D123" t="inlineStr">
        <is>
          <t>rent</t>
        </is>
      </c>
      <c r="E123" t="inlineStr">
        <is>
          <t>rent for flat 30 boden</t>
        </is>
      </c>
      <c r="F123" t="inlineStr">
        <is>
          <t>MANUAL</t>
        </is>
      </c>
      <c r="G123" s="3" t="n">
        <v>629.0</v>
      </c>
      <c r="H123" t="inlineStr">
        <is>
          <t>HIST-2025-07-1591</t>
        </is>
      </c>
      <c r="I123" s="2" t="n">
        <v>45846.0</v>
      </c>
      <c r="J123" t="inlineStr">
        <is>
          <t>PAID</t>
        </is>
      </c>
    </row>
    <row r="124">
      <c r="A124" t="n">
        <v>109.0</v>
      </c>
      <c r="B124" s="2" t="n">
        <v>46003.01047453703</v>
      </c>
      <c r="C124" t="inlineStr">
        <is>
          <t>Flat 8 - 3 West Gate</t>
        </is>
      </c>
      <c r="D124" t="inlineStr">
        <is>
          <t>rent</t>
        </is>
      </c>
      <c r="E124" t="inlineStr">
        <is>
          <t>rent for flat 8 boden</t>
        </is>
      </c>
      <c r="F124" t="inlineStr">
        <is>
          <t>MANUAL</t>
        </is>
      </c>
      <c r="G124" s="3" t="n">
        <v>573.75</v>
      </c>
      <c r="H124" t="inlineStr">
        <is>
          <t>HIST-2025-07-1591</t>
        </is>
      </c>
      <c r="I124" s="2" t="n">
        <v>45846.0</v>
      </c>
      <c r="J124" t="inlineStr">
        <is>
          <t>PAID</t>
        </is>
      </c>
    </row>
    <row r="125">
      <c r="A125" t="n">
        <v>130.0</v>
      </c>
      <c r="B125" s="2" t="n">
        <v>46003.01170138889</v>
      </c>
      <c r="C125" t="inlineStr">
        <is>
          <t>Flat 1 - 3 West Gate</t>
        </is>
      </c>
      <c r="D125" t="inlineStr">
        <is>
          <t>rent</t>
        </is>
      </c>
      <c r="E125" t="inlineStr">
        <is>
          <t>Rent for flat 1 boden</t>
        </is>
      </c>
      <c r="F125" t="inlineStr">
        <is>
          <t>MANUAL</t>
        </is>
      </c>
      <c r="G125" s="3" t="n">
        <v>675.75</v>
      </c>
      <c r="H125" t="inlineStr">
        <is>
          <t>HIST-2025-07-1591</t>
        </is>
      </c>
      <c r="I125" s="2" t="n">
        <v>45846.0</v>
      </c>
      <c r="J125" t="inlineStr">
        <is>
          <t>PAID</t>
        </is>
      </c>
    </row>
    <row r="126">
      <c r="A126" t="n">
        <v>131.0</v>
      </c>
      <c r="B126" s="2" t="n">
        <v>46003.01170138889</v>
      </c>
      <c r="C126" t="inlineStr">
        <is>
          <t>Flat 2 - 3 West Gate</t>
        </is>
      </c>
      <c r="D126" t="inlineStr">
        <is>
          <t>rent</t>
        </is>
      </c>
      <c r="E126" t="inlineStr">
        <is>
          <t>Rent for flat 2 boden</t>
        </is>
      </c>
      <c r="F126" t="inlineStr">
        <is>
          <t>MANUAL</t>
        </is>
      </c>
      <c r="G126" s="3" t="n">
        <v>629.0</v>
      </c>
      <c r="H126" t="inlineStr">
        <is>
          <t>HIST-2025-07-1591</t>
        </is>
      </c>
      <c r="I126" s="2" t="n">
        <v>45846.0</v>
      </c>
      <c r="J126" t="inlineStr">
        <is>
          <t>PAID</t>
        </is>
      </c>
    </row>
    <row r="127">
      <c r="A127" t="n">
        <v>137.0</v>
      </c>
      <c r="B127" s="2" t="n">
        <v>46003.01170138889</v>
      </c>
      <c r="C127" t="inlineStr">
        <is>
          <t>Flat 28 - 3 West Gate</t>
        </is>
      </c>
      <c r="D127" t="inlineStr">
        <is>
          <t>rent</t>
        </is>
      </c>
      <c r="E127" t="inlineStr">
        <is>
          <t>Rent for flat 28 boden</t>
        </is>
      </c>
      <c r="F127" t="inlineStr">
        <is>
          <t>MANUAL</t>
        </is>
      </c>
      <c r="G127" s="3" t="n">
        <v>629.0</v>
      </c>
      <c r="H127" t="inlineStr">
        <is>
          <t>HIST-2025-07-1591</t>
        </is>
      </c>
      <c r="I127" s="2" t="n">
        <v>45846.0</v>
      </c>
      <c r="J127" t="inlineStr">
        <is>
          <t>PAID</t>
        </is>
      </c>
    </row>
    <row r="128">
      <c r="A128" t="n">
        <v>138.0</v>
      </c>
      <c r="B128" s="2" t="n">
        <v>46003.01170138889</v>
      </c>
      <c r="C128" t="inlineStr">
        <is>
          <t>Flat 29 - 3 West Gate</t>
        </is>
      </c>
      <c r="D128" t="inlineStr">
        <is>
          <t>rent</t>
        </is>
      </c>
      <c r="E128" t="inlineStr">
        <is>
          <t>rent for flat 29 boden</t>
        </is>
      </c>
      <c r="F128" t="inlineStr">
        <is>
          <t>MANUAL</t>
        </is>
      </c>
      <c r="G128" s="3" t="n">
        <v>629.0</v>
      </c>
      <c r="H128" t="inlineStr">
        <is>
          <t>HIST-2025-07-1591</t>
        </is>
      </c>
      <c r="I128" s="2" t="n">
        <v>45846.0</v>
      </c>
      <c r="J128" t="inlineStr">
        <is>
          <t>PAID</t>
        </is>
      </c>
    </row>
    <row r="129">
      <c r="A129" t="n">
        <v>132.0</v>
      </c>
      <c r="B129" s="2" t="n">
        <v>46003.01170138889</v>
      </c>
      <c r="C129" t="inlineStr">
        <is>
          <t>Flat 3 - 3 West Gate</t>
        </is>
      </c>
      <c r="D129" t="inlineStr">
        <is>
          <t>rent</t>
        </is>
      </c>
      <c r="E129" t="inlineStr">
        <is>
          <t>Rent for flat 3 boden</t>
        </is>
      </c>
      <c r="F129" t="inlineStr">
        <is>
          <t>MANUAL</t>
        </is>
      </c>
      <c r="G129" s="3" t="n">
        <v>629.0</v>
      </c>
      <c r="H129" t="inlineStr">
        <is>
          <t>HIST-2025-07-1591</t>
        </is>
      </c>
      <c r="I129" s="2" t="n">
        <v>45846.0</v>
      </c>
      <c r="J129" t="inlineStr">
        <is>
          <t>PAID</t>
        </is>
      </c>
    </row>
    <row r="130">
      <c r="A130" t="n">
        <v>139.0</v>
      </c>
      <c r="B130" s="2" t="n">
        <v>46003.01170138889</v>
      </c>
      <c r="C130" t="inlineStr">
        <is>
          <t>Flat 30 - 3 West Gate</t>
        </is>
      </c>
      <c r="D130" t="inlineStr">
        <is>
          <t>rent</t>
        </is>
      </c>
      <c r="E130" t="inlineStr">
        <is>
          <t>rent for 30 boden house</t>
        </is>
      </c>
      <c r="F130" t="inlineStr">
        <is>
          <t>MANUAL</t>
        </is>
      </c>
      <c r="G130" s="3" t="n">
        <v>629.0</v>
      </c>
      <c r="H130" t="inlineStr">
        <is>
          <t>HIST-2025-07-1591</t>
        </is>
      </c>
      <c r="I130" s="2" t="n">
        <v>45846.0</v>
      </c>
      <c r="J130" t="inlineStr">
        <is>
          <t>PAID</t>
        </is>
      </c>
    </row>
    <row r="131">
      <c r="A131" t="n">
        <v>146.0</v>
      </c>
      <c r="B131" s="2" t="n">
        <v>46003.01247685185</v>
      </c>
      <c r="C131" t="inlineStr">
        <is>
          <t>Flat 14 - 3 West Gate</t>
        </is>
      </c>
      <c r="D131" t="inlineStr">
        <is>
          <t>rent</t>
        </is>
      </c>
      <c r="E131" t="inlineStr">
        <is>
          <t>Rent for flat 14 boden</t>
        </is>
      </c>
      <c r="F131" t="inlineStr">
        <is>
          <t>MANUAL</t>
        </is>
      </c>
      <c r="G131" s="3" t="n">
        <v>675.75</v>
      </c>
      <c r="H131" t="inlineStr">
        <is>
          <t>HIST-2025-07-1591</t>
        </is>
      </c>
      <c r="I131" s="2" t="n">
        <v>45846.0</v>
      </c>
      <c r="J131" t="inlineStr">
        <is>
          <t>PAID</t>
        </is>
      </c>
    </row>
    <row r="132">
      <c r="A132" t="n">
        <v>147.0</v>
      </c>
      <c r="B132" s="2" t="n">
        <v>46003.01247685185</v>
      </c>
      <c r="C132" t="inlineStr">
        <is>
          <t>Flat 19 - 3 West Gate</t>
        </is>
      </c>
      <c r="D132" t="inlineStr">
        <is>
          <t>rent</t>
        </is>
      </c>
      <c r="E132" t="inlineStr">
        <is>
          <t>Rent for flat 19 boden</t>
        </is>
      </c>
      <c r="F132" t="inlineStr">
        <is>
          <t>MANUAL</t>
        </is>
      </c>
      <c r="G132" s="3" t="n">
        <v>372.3</v>
      </c>
      <c r="H132" t="inlineStr">
        <is>
          <t>HIST-2025-07-1591</t>
        </is>
      </c>
      <c r="I132" s="2" t="n">
        <v>45846.0</v>
      </c>
      <c r="J132" t="inlineStr">
        <is>
          <t>PAID</t>
        </is>
      </c>
    </row>
    <row r="133">
      <c r="A133" t="n">
        <v>148.0</v>
      </c>
      <c r="B133" s="2" t="n">
        <v>46003.01247685185</v>
      </c>
      <c r="C133" t="inlineStr">
        <is>
          <t>Flat 23 - 3 West Gate</t>
        </is>
      </c>
      <c r="D133" t="inlineStr">
        <is>
          <t>rent</t>
        </is>
      </c>
      <c r="E133" t="inlineStr">
        <is>
          <t>Rent for flat 23 boden</t>
        </is>
      </c>
      <c r="F133" t="inlineStr">
        <is>
          <t>MANUAL</t>
        </is>
      </c>
      <c r="G133" s="3" t="n">
        <v>675.75</v>
      </c>
      <c r="H133" t="inlineStr">
        <is>
          <t>HIST-2025-07-1591</t>
        </is>
      </c>
      <c r="I133" s="2" t="n">
        <v>45846.0</v>
      </c>
      <c r="J133" t="inlineStr">
        <is>
          <t>PAID</t>
        </is>
      </c>
    </row>
    <row r="134">
      <c r="A134" t="n">
        <v>149.0</v>
      </c>
      <c r="B134" s="2" t="n">
        <v>46003.01248842593</v>
      </c>
      <c r="C134" t="inlineStr">
        <is>
          <t>Flat 26 - 3 West Gate</t>
        </is>
      </c>
      <c r="D134" t="inlineStr">
        <is>
          <t>rent</t>
        </is>
      </c>
      <c r="E134" t="inlineStr">
        <is>
          <t>Rent for flat 26 boden</t>
        </is>
      </c>
      <c r="F134" t="inlineStr">
        <is>
          <t>MANUAL</t>
        </is>
      </c>
      <c r="G134" s="3" t="n">
        <v>573.75</v>
      </c>
      <c r="H134" t="inlineStr">
        <is>
          <t>HIST-2025-07-1591</t>
        </is>
      </c>
      <c r="I134" s="2" t="n">
        <v>45846.0</v>
      </c>
      <c r="J134" t="inlineStr">
        <is>
          <t>PAID</t>
        </is>
      </c>
    </row>
    <row r="135">
      <c r="A135" t="n">
        <v>150.0</v>
      </c>
      <c r="B135" s="2" t="n">
        <v>46003.01390046296</v>
      </c>
      <c r="C135" t="inlineStr">
        <is>
          <t>Flat 28 - 3 West Gate</t>
        </is>
      </c>
      <c r="D135" t="inlineStr">
        <is>
          <t>rent</t>
        </is>
      </c>
      <c r="E135" t="inlineStr">
        <is>
          <t>Rent for flat 28 boden</t>
        </is>
      </c>
      <c r="F135" t="inlineStr">
        <is>
          <t>MANUAL</t>
        </is>
      </c>
      <c r="G135" s="3" t="n">
        <v>472.11</v>
      </c>
      <c r="H135" t="inlineStr">
        <is>
          <t>HIST-2025-07-1591</t>
        </is>
      </c>
      <c r="I135" s="2" t="n">
        <v>45846.0</v>
      </c>
      <c r="J135" t="inlineStr">
        <is>
          <t>PAID</t>
        </is>
      </c>
    </row>
    <row r="136">
      <c r="A136" t="n">
        <v>100.0</v>
      </c>
      <c r="B136" s="2" t="n">
        <v>46003.01415509259</v>
      </c>
      <c r="C136" t="inlineStr">
        <is>
          <t>Apartment F - Knighton Hayes Manor</t>
        </is>
      </c>
      <c r="D136" t="inlineStr">
        <is>
          <t>rent</t>
        </is>
      </c>
      <c r="E136" t="inlineStr">
        <is>
          <t>rent for apartment f kh</t>
        </is>
      </c>
      <c r="F136" t="inlineStr">
        <is>
          <t>MANUAL</t>
        </is>
      </c>
      <c r="G136" s="3" t="n">
        <v>1012.5</v>
      </c>
      <c r="H136" t="inlineStr">
        <is>
          <t>HIST-2025-07-1604</t>
        </is>
      </c>
      <c r="I136" s="2" t="n">
        <v>45861.0</v>
      </c>
      <c r="J136" t="inlineStr">
        <is>
          <t>PAID</t>
        </is>
      </c>
    </row>
    <row r="137">
      <c r="A137" t="n">
        <v>143.0</v>
      </c>
      <c r="B137" s="2" t="n">
        <v>46003.02767361111</v>
      </c>
      <c r="C137" t="inlineStr">
        <is>
          <t>Flat 1 - 3 West Gate</t>
        </is>
      </c>
      <c r="D137" t="inlineStr">
        <is>
          <t>rent</t>
        </is>
      </c>
      <c r="E137" t="inlineStr">
        <is>
          <t>Rent for flat 1 boden</t>
        </is>
      </c>
      <c r="F137" t="inlineStr">
        <is>
          <t>MANUAL</t>
        </is>
      </c>
      <c r="G137" s="3" t="n">
        <v>675.75</v>
      </c>
      <c r="H137" t="inlineStr">
        <is>
          <t>HIST-2025-10-1650</t>
        </is>
      </c>
      <c r="I137" s="2" t="n">
        <v>45951.0</v>
      </c>
      <c r="J137" t="inlineStr">
        <is>
          <t>PAID</t>
        </is>
      </c>
    </row>
    <row r="138">
      <c r="A138" t="n">
        <v>144.0</v>
      </c>
      <c r="B138" s="2" t="n">
        <v>46003.02767361111</v>
      </c>
      <c r="C138" t="inlineStr">
        <is>
          <t>Flat 2 - 3 West Gate</t>
        </is>
      </c>
      <c r="D138" t="inlineStr">
        <is>
          <t>rent</t>
        </is>
      </c>
      <c r="E138" t="inlineStr">
        <is>
          <t>Rent for flat 2 boden</t>
        </is>
      </c>
      <c r="F138" t="inlineStr">
        <is>
          <t>MANUAL</t>
        </is>
      </c>
      <c r="G138" s="3" t="n">
        <v>629.0</v>
      </c>
      <c r="H138" t="inlineStr">
        <is>
          <t>HIST-2025-10-1650</t>
        </is>
      </c>
      <c r="I138" s="2" t="n">
        <v>45951.0</v>
      </c>
      <c r="J138" t="inlineStr">
        <is>
          <t>PAID</t>
        </is>
      </c>
    </row>
    <row r="139">
      <c r="A139" t="n">
        <v>168.0</v>
      </c>
      <c r="B139" s="2" t="n">
        <v>46003.02768518519</v>
      </c>
      <c r="C139" t="inlineStr">
        <is>
          <t>Flat 14 - 3 West Gate</t>
        </is>
      </c>
      <c r="D139" t="inlineStr">
        <is>
          <t>rent</t>
        </is>
      </c>
      <c r="E139" t="inlineStr">
        <is>
          <t>Rent for flat 14 boden</t>
        </is>
      </c>
      <c r="F139" t="inlineStr">
        <is>
          <t>MANUAL</t>
        </is>
      </c>
      <c r="G139" s="3" t="n">
        <v>675.75</v>
      </c>
      <c r="H139" t="inlineStr">
        <is>
          <t>HIST-2025-10-1650</t>
        </is>
      </c>
      <c r="I139" s="2" t="n">
        <v>45951.0</v>
      </c>
      <c r="J139" t="inlineStr">
        <is>
          <t>PAID</t>
        </is>
      </c>
    </row>
    <row r="140">
      <c r="A140" t="n">
        <v>166.0</v>
      </c>
      <c r="B140" s="2" t="n">
        <v>46003.02768518519</v>
      </c>
      <c r="C140" t="inlineStr">
        <is>
          <t>Flat 2 - 3 West Gate</t>
        </is>
      </c>
      <c r="D140" t="inlineStr">
        <is>
          <t>rent</t>
        </is>
      </c>
      <c r="E140" t="inlineStr">
        <is>
          <t>Rent for flat 2 boden</t>
        </is>
      </c>
      <c r="F140" t="inlineStr">
        <is>
          <t>MANUAL</t>
        </is>
      </c>
      <c r="G140" s="3" t="n">
        <v>629.0</v>
      </c>
      <c r="H140" t="inlineStr">
        <is>
          <t>HIST-2025-10-1650</t>
        </is>
      </c>
      <c r="I140" s="2" t="n">
        <v>45951.0</v>
      </c>
      <c r="J140" t="inlineStr">
        <is>
          <t>PAID</t>
        </is>
      </c>
    </row>
    <row r="141">
      <c r="A141" t="n">
        <v>169.0</v>
      </c>
      <c r="B141" s="2" t="n">
        <v>46003.02768518519</v>
      </c>
      <c r="C141" t="inlineStr">
        <is>
          <t>Flat 26 - 3 West Gate</t>
        </is>
      </c>
      <c r="D141" t="inlineStr">
        <is>
          <t>rent</t>
        </is>
      </c>
      <c r="E141" t="inlineStr">
        <is>
          <t>Rent for flat 26 boden</t>
        </is>
      </c>
      <c r="F141" t="inlineStr">
        <is>
          <t>MANUAL</t>
        </is>
      </c>
      <c r="G141" s="3" t="n">
        <v>573.75</v>
      </c>
      <c r="H141" t="inlineStr">
        <is>
          <t>HIST-2025-10-1650</t>
        </is>
      </c>
      <c r="I141" s="2" t="n">
        <v>45951.0</v>
      </c>
      <c r="J141" t="inlineStr">
        <is>
          <t>PAID</t>
        </is>
      </c>
    </row>
    <row r="142">
      <c r="A142" t="n">
        <v>170.0</v>
      </c>
      <c r="B142" s="2" t="n">
        <v>46003.02768518519</v>
      </c>
      <c r="C142" t="inlineStr">
        <is>
          <t>Flat 28 - 3 West Gate</t>
        </is>
      </c>
      <c r="D142" t="inlineStr">
        <is>
          <t>rent</t>
        </is>
      </c>
      <c r="E142" t="inlineStr">
        <is>
          <t>Rent for flat 28 boden</t>
        </is>
      </c>
      <c r="F142" t="inlineStr">
        <is>
          <t>MANUAL</t>
        </is>
      </c>
      <c r="G142" s="3" t="n">
        <v>629.0</v>
      </c>
      <c r="H142" t="inlineStr">
        <is>
          <t>HIST-2025-10-1650</t>
        </is>
      </c>
      <c r="I142" s="2" t="n">
        <v>45951.0</v>
      </c>
      <c r="J142" t="inlineStr">
        <is>
          <t>PAID</t>
        </is>
      </c>
    </row>
    <row r="143">
      <c r="A143" t="n">
        <v>145.0</v>
      </c>
      <c r="B143" s="2" t="n">
        <v>46003.02768518519</v>
      </c>
      <c r="C143" t="inlineStr">
        <is>
          <t>Flat 3 - 3 West Gate</t>
        </is>
      </c>
      <c r="D143" t="inlineStr">
        <is>
          <t>rent</t>
        </is>
      </c>
      <c r="E143" t="inlineStr">
        <is>
          <t>Rent for flat 3 boden</t>
        </is>
      </c>
      <c r="F143" t="inlineStr">
        <is>
          <t>MANUAL</t>
        </is>
      </c>
      <c r="G143" s="3" t="n">
        <v>629.0</v>
      </c>
      <c r="H143" t="inlineStr">
        <is>
          <t>HIST-2025-10-1650</t>
        </is>
      </c>
      <c r="I143" s="2" t="n">
        <v>45951.0</v>
      </c>
      <c r="J143" t="inlineStr">
        <is>
          <t>PAID</t>
        </is>
      </c>
    </row>
    <row r="144">
      <c r="A144" t="n">
        <v>151.0</v>
      </c>
      <c r="B144" s="2" t="n">
        <v>46003.02768518519</v>
      </c>
      <c r="C144" t="inlineStr">
        <is>
          <t>Flat 30 - 3 West Gate</t>
        </is>
      </c>
      <c r="D144" t="inlineStr">
        <is>
          <t>rent</t>
        </is>
      </c>
      <c r="E144" t="inlineStr">
        <is>
          <t>rent for flat 30 boden</t>
        </is>
      </c>
      <c r="F144" t="inlineStr">
        <is>
          <t>MANUAL</t>
        </is>
      </c>
      <c r="G144" s="3" t="n">
        <v>629.0</v>
      </c>
      <c r="H144" t="inlineStr">
        <is>
          <t>HIST-2025-10-1650</t>
        </is>
      </c>
      <c r="I144" s="2" t="n">
        <v>45951.0</v>
      </c>
      <c r="J144" t="inlineStr">
        <is>
          <t>PAID</t>
        </is>
      </c>
    </row>
    <row r="145">
      <c r="A145" t="n">
        <v>150.0</v>
      </c>
      <c r="B145" s="2" t="n">
        <v>46003.02925925926</v>
      </c>
      <c r="C145" t="inlineStr">
        <is>
          <t>Flat 28 - 3 West Gate</t>
        </is>
      </c>
      <c r="D145" t="inlineStr">
        <is>
          <t>rent</t>
        </is>
      </c>
      <c r="E145" t="inlineStr">
        <is>
          <t>Rent for flat 28 boden</t>
        </is>
      </c>
      <c r="F145" t="inlineStr">
        <is>
          <t>MANUAL</t>
        </is>
      </c>
      <c r="G145" s="3" t="n">
        <v>156.89</v>
      </c>
      <c r="H145" t="inlineStr">
        <is>
          <t>HIST-2025-10-1650</t>
        </is>
      </c>
      <c r="I145" s="2" t="n">
        <v>45951.0</v>
      </c>
      <c r="J145" t="inlineStr">
        <is>
          <t>PAID</t>
        </is>
      </c>
    </row>
    <row r="146">
      <c r="A146" t="n">
        <v>165.0</v>
      </c>
      <c r="B146" s="2" t="n">
        <v>46003.03013888889</v>
      </c>
      <c r="C146" t="inlineStr">
        <is>
          <t>Flat 1 - 3 West Gate</t>
        </is>
      </c>
      <c r="D146" t="inlineStr">
        <is>
          <t>rent</t>
        </is>
      </c>
      <c r="E146" t="inlineStr">
        <is>
          <t>Rent for flat 1 boden</t>
        </is>
      </c>
      <c r="F146" t="inlineStr">
        <is>
          <t>MANUAL</t>
        </is>
      </c>
      <c r="G146" s="3" t="n">
        <v>82.27</v>
      </c>
      <c r="H146" t="inlineStr">
        <is>
          <t>HIST-2025-10-1650</t>
        </is>
      </c>
      <c r="I146" s="2" t="n">
        <v>45951.0</v>
      </c>
      <c r="J146" t="inlineStr">
        <is>
          <t>PAID</t>
        </is>
      </c>
    </row>
    <row r="147">
      <c r="A147" t="n">
        <v>165.0</v>
      </c>
      <c r="B147" s="2" t="n">
        <v>46003.030636574076</v>
      </c>
      <c r="C147" t="inlineStr">
        <is>
          <t>Flat 1 - 3 West Gate</t>
        </is>
      </c>
      <c r="D147" t="inlineStr">
        <is>
          <t>rent</t>
        </is>
      </c>
      <c r="E147" t="inlineStr">
        <is>
          <t>Rent for flat 1 boden</t>
        </is>
      </c>
      <c r="F147" t="inlineStr">
        <is>
          <t>MANUAL</t>
        </is>
      </c>
      <c r="G147" s="3" t="n">
        <v>593.48</v>
      </c>
      <c r="H147" t="inlineStr">
        <is>
          <t>HIST-2025-12-1654</t>
        </is>
      </c>
      <c r="I147" s="2" t="n">
        <v>45992.0</v>
      </c>
      <c r="J147" t="inlineStr">
        <is>
          <t>PAID</t>
        </is>
      </c>
    </row>
    <row r="148">
      <c r="A148" t="n">
        <v>167.0</v>
      </c>
      <c r="B148" s="2" t="n">
        <v>46003.03109953704</v>
      </c>
      <c r="C148" t="inlineStr">
        <is>
          <t>Flat 3 - 3 West Gate</t>
        </is>
      </c>
      <c r="D148" t="inlineStr">
        <is>
          <t>rent</t>
        </is>
      </c>
      <c r="E148" t="inlineStr">
        <is>
          <t>Rent for flat 3 boden</t>
        </is>
      </c>
      <c r="F148" t="inlineStr">
        <is>
          <t>MANUAL</t>
        </is>
      </c>
      <c r="G148" s="3" t="n">
        <v>629.0</v>
      </c>
      <c r="H148" t="inlineStr">
        <is>
          <t>HIST-2025-12-1654</t>
        </is>
      </c>
      <c r="I148" s="2" t="n">
        <v>45992.0</v>
      </c>
      <c r="J148" t="inlineStr">
        <is>
          <t>PAID</t>
        </is>
      </c>
    </row>
    <row r="149">
      <c r="A149" t="n">
        <v>171.0</v>
      </c>
      <c r="B149" s="2" t="n">
        <v>46003.03109953704</v>
      </c>
      <c r="C149" t="inlineStr">
        <is>
          <t>Flat 30 - 3 West Gate</t>
        </is>
      </c>
      <c r="D149" t="inlineStr">
        <is>
          <t>rent</t>
        </is>
      </c>
      <c r="E149" t="inlineStr">
        <is>
          <t>Rent for flat 30 boden</t>
        </is>
      </c>
      <c r="F149" t="inlineStr">
        <is>
          <t>MANUAL</t>
        </is>
      </c>
      <c r="G149" s="3" t="n">
        <v>629.0</v>
      </c>
      <c r="H149" t="inlineStr">
        <is>
          <t>HIST-2025-12-1654</t>
        </is>
      </c>
      <c r="I149" s="2" t="n">
        <v>45992.0</v>
      </c>
      <c r="J149" t="inlineStr">
        <is>
          <t>PAID</t>
        </is>
      </c>
    </row>
    <row r="150">
      <c r="A150" t="n">
        <v>179.0</v>
      </c>
      <c r="B150" s="2" t="n">
        <v>46003.0318287037</v>
      </c>
      <c r="C150" t="inlineStr">
        <is>
          <t>Flat 1 - 3 West Gate</t>
        </is>
      </c>
      <c r="D150" t="inlineStr">
        <is>
          <t>rent</t>
        </is>
      </c>
      <c r="E150" t="inlineStr">
        <is>
          <t>Rent for flat 1 boden</t>
        </is>
      </c>
      <c r="F150" t="inlineStr">
        <is>
          <t>MANUAL</t>
        </is>
      </c>
      <c r="G150" s="3" t="n">
        <v>675.75</v>
      </c>
      <c r="H150" t="inlineStr">
        <is>
          <t>HIST-2025-12-1654</t>
        </is>
      </c>
      <c r="I150" s="2" t="n">
        <v>45992.0</v>
      </c>
      <c r="J150" t="inlineStr">
        <is>
          <t>PAID</t>
        </is>
      </c>
    </row>
    <row r="151">
      <c r="A151" t="n">
        <v>183.0</v>
      </c>
      <c r="B151" s="2" t="n">
        <v>46003.0318287037</v>
      </c>
      <c r="C151" t="inlineStr">
        <is>
          <t>Flat 14 - 3 West Gate</t>
        </is>
      </c>
      <c r="D151" t="inlineStr">
        <is>
          <t>rent</t>
        </is>
      </c>
      <c r="E151" t="inlineStr">
        <is>
          <t>Rent for flat 14 boden</t>
        </is>
      </c>
      <c r="F151" t="inlineStr">
        <is>
          <t>MANUAL</t>
        </is>
      </c>
      <c r="G151" s="3" t="n">
        <v>675.75</v>
      </c>
      <c r="H151" t="inlineStr">
        <is>
          <t>HIST-2025-12-1654</t>
        </is>
      </c>
      <c r="I151" s="2" t="n">
        <v>45992.0</v>
      </c>
      <c r="J151" t="inlineStr">
        <is>
          <t>PAID</t>
        </is>
      </c>
    </row>
    <row r="152">
      <c r="A152" t="n">
        <v>177.0</v>
      </c>
      <c r="B152" s="2" t="n">
        <v>46003.0318287037</v>
      </c>
      <c r="C152" t="inlineStr">
        <is>
          <t>Flat 2 - 3 West Gate</t>
        </is>
      </c>
      <c r="D152" t="inlineStr">
        <is>
          <t>rent</t>
        </is>
      </c>
      <c r="E152" t="inlineStr">
        <is>
          <t>Rent for flat 2 boden</t>
        </is>
      </c>
      <c r="F152" t="inlineStr">
        <is>
          <t>MANUAL</t>
        </is>
      </c>
      <c r="G152" s="3" t="n">
        <v>629.0</v>
      </c>
      <c r="H152" t="inlineStr">
        <is>
          <t>HIST-2025-12-1654</t>
        </is>
      </c>
      <c r="I152" s="2" t="n">
        <v>45992.0</v>
      </c>
      <c r="J152" t="inlineStr">
        <is>
          <t>PAID</t>
        </is>
      </c>
    </row>
    <row r="153">
      <c r="A153" t="n">
        <v>186.0</v>
      </c>
      <c r="B153" s="2" t="n">
        <v>46003.0318287037</v>
      </c>
      <c r="C153" t="inlineStr">
        <is>
          <t>Flat 26 - 3 West Gate</t>
        </is>
      </c>
      <c r="D153" t="inlineStr">
        <is>
          <t>rent</t>
        </is>
      </c>
      <c r="E153" t="inlineStr">
        <is>
          <t>Rent for flat 26 boden</t>
        </is>
      </c>
      <c r="F153" t="inlineStr">
        <is>
          <t>MANUAL</t>
        </is>
      </c>
      <c r="G153" s="3" t="n">
        <v>573.75</v>
      </c>
      <c r="H153" t="inlineStr">
        <is>
          <t>HIST-2025-12-1654</t>
        </is>
      </c>
      <c r="I153" s="2" t="n">
        <v>45992.0</v>
      </c>
      <c r="J153" t="inlineStr">
        <is>
          <t>PAID</t>
        </is>
      </c>
    </row>
    <row r="154">
      <c r="A154" t="n">
        <v>181.0</v>
      </c>
      <c r="B154" s="2" t="n">
        <v>46003.0318287037</v>
      </c>
      <c r="C154" t="inlineStr">
        <is>
          <t>Flat 30 - 3 West Gate</t>
        </is>
      </c>
      <c r="D154" t="inlineStr">
        <is>
          <t>rent</t>
        </is>
      </c>
      <c r="E154" t="inlineStr">
        <is>
          <t>Rent for flat 30 boden</t>
        </is>
      </c>
      <c r="F154" t="inlineStr">
        <is>
          <t>MANUAL</t>
        </is>
      </c>
      <c r="G154" s="3" t="n">
        <v>629.0</v>
      </c>
      <c r="H154" t="inlineStr">
        <is>
          <t>HIST-2025-12-1654</t>
        </is>
      </c>
      <c r="I154" s="2" t="n">
        <v>45992.0</v>
      </c>
      <c r="J154" t="inlineStr">
        <is>
          <t>PAID</t>
        </is>
      </c>
    </row>
    <row r="155">
      <c r="A155" t="n">
        <v>184.0</v>
      </c>
      <c r="B155" s="2" t="n">
        <v>46003.03184027778</v>
      </c>
      <c r="C155" t="inlineStr">
        <is>
          <t>Flat 14 - 3 West Gate</t>
        </is>
      </c>
      <c r="D155" t="inlineStr">
        <is>
          <t>rent</t>
        </is>
      </c>
      <c r="E155" t="inlineStr">
        <is>
          <t>Rent for flat 14 boden</t>
        </is>
      </c>
      <c r="F155" t="inlineStr">
        <is>
          <t>MANUAL</t>
        </is>
      </c>
      <c r="G155" s="3" t="n">
        <v>675.75</v>
      </c>
      <c r="H155" t="inlineStr">
        <is>
          <t>HIST-2025-12-1654</t>
        </is>
      </c>
      <c r="I155" s="2" t="n">
        <v>45992.0</v>
      </c>
      <c r="J155" t="inlineStr">
        <is>
          <t>PAID</t>
        </is>
      </c>
    </row>
    <row r="156">
      <c r="A156" t="n">
        <v>187.0</v>
      </c>
      <c r="B156" s="2" t="n">
        <v>46003.03184027778</v>
      </c>
      <c r="C156" t="inlineStr">
        <is>
          <t>Flat 26 - 3 West Gate</t>
        </is>
      </c>
      <c r="D156" t="inlineStr">
        <is>
          <t>rent</t>
        </is>
      </c>
      <c r="E156" t="inlineStr">
        <is>
          <t>Rent for flat 26 boden</t>
        </is>
      </c>
      <c r="F156" t="inlineStr">
        <is>
          <t>MANUAL</t>
        </is>
      </c>
      <c r="G156" s="3" t="n">
        <v>573.75</v>
      </c>
      <c r="H156" t="inlineStr">
        <is>
          <t>HIST-2025-12-1654</t>
        </is>
      </c>
      <c r="I156" s="2" t="n">
        <v>45992.0</v>
      </c>
      <c r="J156" t="inlineStr">
        <is>
          <t>PAID</t>
        </is>
      </c>
    </row>
    <row r="157">
      <c r="A157" t="n">
        <v>182.0</v>
      </c>
      <c r="B157" s="2" t="n">
        <v>46003.03184027778</v>
      </c>
      <c r="C157" t="inlineStr">
        <is>
          <t>Flat 3 - 3 West Gate</t>
        </is>
      </c>
      <c r="D157" t="inlineStr">
        <is>
          <t>rent</t>
        </is>
      </c>
      <c r="E157" t="inlineStr">
        <is>
          <t>Rent for flat 3 boden</t>
        </is>
      </c>
      <c r="F157" t="inlineStr">
        <is>
          <t>MANUAL</t>
        </is>
      </c>
      <c r="G157" s="3" t="n">
        <v>629.0</v>
      </c>
      <c r="H157" t="inlineStr">
        <is>
          <t>HIST-2025-12-1654</t>
        </is>
      </c>
      <c r="I157" s="2" t="n">
        <v>45992.0</v>
      </c>
      <c r="J157" t="inlineStr">
        <is>
          <t>PAID</t>
        </is>
      </c>
    </row>
    <row r="158">
      <c r="A158" t="n">
        <v>178.0</v>
      </c>
      <c r="B158" s="2" t="n">
        <v>46003.03502314815</v>
      </c>
      <c r="C158" t="inlineStr">
        <is>
          <t>Flat 2 - 3 West Gate</t>
        </is>
      </c>
      <c r="D158" t="inlineStr">
        <is>
          <t>rent</t>
        </is>
      </c>
      <c r="E158" t="inlineStr">
        <is>
          <t>Rent for flat 2 boden</t>
        </is>
      </c>
      <c r="F158" t="inlineStr">
        <is>
          <t>MANUAL</t>
        </is>
      </c>
      <c r="G158" s="3" t="n">
        <v>629.0</v>
      </c>
      <c r="H158" t="inlineStr">
        <is>
          <t>HIST-2025-12-1654</t>
        </is>
      </c>
      <c r="I158" s="2" t="n">
        <v>45992.0</v>
      </c>
      <c r="J158" t="inlineStr">
        <is>
          <t>PAID</t>
        </is>
      </c>
    </row>
    <row r="159">
      <c r="A159" t="n">
        <v>180.0</v>
      </c>
      <c r="B159" s="2" t="n">
        <v>46003.03603009259</v>
      </c>
      <c r="C159" t="inlineStr">
        <is>
          <t>Flat 1 - 3 West Gate</t>
        </is>
      </c>
      <c r="D159" t="inlineStr">
        <is>
          <t>rent</t>
        </is>
      </c>
      <c r="E159" t="inlineStr">
        <is>
          <t>Rent for flat 1 boden</t>
        </is>
      </c>
      <c r="F159" t="inlineStr">
        <is>
          <t>MANUAL</t>
        </is>
      </c>
      <c r="G159" s="3" t="n">
        <v>579.52</v>
      </c>
      <c r="H159" t="inlineStr">
        <is>
          <t>HIST-2025-12-1654</t>
        </is>
      </c>
      <c r="I159" s="2" t="n">
        <v>45992.0</v>
      </c>
      <c r="J159" t="inlineStr">
        <is>
          <t>PAID</t>
        </is>
      </c>
    </row>
    <row r="160">
      <c r="A160" t="n">
        <v>781.0</v>
      </c>
      <c r="B160" s="2" t="n">
        <v>46007.04623842592</v>
      </c>
      <c r="C160" t="inlineStr">
        <is>
          <t>Flat 19 - 3 West Gate</t>
        </is>
      </c>
      <c r="D160" t="inlineStr">
        <is>
          <t>Owner</t>
        </is>
      </c>
      <c r="E160" t="inlineStr">
        <is>
          <t>Landlord Rental Payment</t>
        </is>
      </c>
      <c r="F160" t="inlineStr">
        <is>
          <t>PAYPROP</t>
        </is>
      </c>
      <c r="G160" s="3" t="n">
        <v>522.36</v>
      </c>
      <c r="H160" t="inlineStr">
        <is>
          <t>YZ2WWPAKJQ</t>
        </is>
      </c>
      <c r="I160" s="2" t="n">
        <v>45982.0</v>
      </c>
      <c r="J160" t="inlineStr">
        <is>
          <t>PAID</t>
        </is>
      </c>
    </row>
    <row r="161">
      <c r="A161" t="n">
        <v>784.0</v>
      </c>
      <c r="B161" s="2" t="n">
        <v>46007.04623842592</v>
      </c>
      <c r="C161" t="inlineStr">
        <is>
          <t>Flat 21 - 3 West Gate</t>
        </is>
      </c>
      <c r="D161" t="inlineStr">
        <is>
          <t>Owner</t>
        </is>
      </c>
      <c r="E161" t="inlineStr">
        <is>
          <t>Landlord Rental Payment</t>
        </is>
      </c>
      <c r="F161" t="inlineStr">
        <is>
          <t>PAYPROP</t>
        </is>
      </c>
      <c r="G161" s="3" t="n">
        <v>555.75</v>
      </c>
      <c r="H161" t="inlineStr">
        <is>
          <t>YZ2WWPAKJQ</t>
        </is>
      </c>
      <c r="I161" s="2" t="n">
        <v>45982.0</v>
      </c>
      <c r="J161" t="inlineStr">
        <is>
          <t>PAID</t>
        </is>
      </c>
    </row>
    <row r="162">
      <c r="A162" t="n">
        <v>789.0</v>
      </c>
      <c r="B162" s="2" t="n">
        <v>46007.04625</v>
      </c>
      <c r="C162" t="inlineStr">
        <is>
          <t>Apartment F - Knighton Hayes Manor</t>
        </is>
      </c>
      <c r="D162" t="inlineStr">
        <is>
          <t>Owner</t>
        </is>
      </c>
      <c r="E162" t="inlineStr">
        <is>
          <t>Landlord Rental Payment</t>
        </is>
      </c>
      <c r="F162" t="inlineStr">
        <is>
          <t>PAYPROP</t>
        </is>
      </c>
      <c r="G162" s="3" t="n">
        <v>1012.5</v>
      </c>
      <c r="H162" t="inlineStr">
        <is>
          <t>YZ2WWPAKJQ</t>
        </is>
      </c>
      <c r="I162" s="2" t="n">
        <v>45982.0</v>
      </c>
      <c r="J162" t="inlineStr">
        <is>
          <t>PAID</t>
        </is>
      </c>
    </row>
    <row r="163">
      <c r="A163" t="n">
        <v>777.0</v>
      </c>
      <c r="B163" s="2" t="n">
        <v>46007.04625</v>
      </c>
      <c r="C163" t="inlineStr">
        <is>
          <t>Flat 10 - 3 West Gate</t>
        </is>
      </c>
      <c r="D163" t="inlineStr">
        <is>
          <t>Owner</t>
        </is>
      </c>
      <c r="E163" t="inlineStr">
        <is>
          <t>Landlord Rental Payment</t>
        </is>
      </c>
      <c r="F163" t="inlineStr">
        <is>
          <t>PAYPROP</t>
        </is>
      </c>
      <c r="G163" s="3" t="n">
        <v>546.83</v>
      </c>
      <c r="H163" t="inlineStr">
        <is>
          <t>YZ2WWPAKJQ</t>
        </is>
      </c>
      <c r="I163" s="2" t="n">
        <v>45982.0</v>
      </c>
      <c r="J163" t="inlineStr">
        <is>
          <t>PAID</t>
        </is>
      </c>
    </row>
    <row r="164">
      <c r="A164" t="n">
        <v>778.0</v>
      </c>
      <c r="B164" s="2" t="n">
        <v>46007.04625</v>
      </c>
      <c r="C164" t="inlineStr">
        <is>
          <t>Flat 15 - 3 West Gate</t>
        </is>
      </c>
      <c r="D164" t="inlineStr">
        <is>
          <t>Owner</t>
        </is>
      </c>
      <c r="E164" t="inlineStr">
        <is>
          <t>Landlord Rental Payment</t>
        </is>
      </c>
      <c r="F164" t="inlineStr">
        <is>
          <t>PAYPROP</t>
        </is>
      </c>
      <c r="G164" s="3" t="n">
        <v>509.0</v>
      </c>
      <c r="H164" t="inlineStr">
        <is>
          <t>YZ2WWPAKJQ</t>
        </is>
      </c>
      <c r="I164" s="2" t="n">
        <v>45982.0</v>
      </c>
      <c r="J164" t="inlineStr">
        <is>
          <t>PAID</t>
        </is>
      </c>
    </row>
    <row r="165">
      <c r="A165" t="n">
        <v>787.0</v>
      </c>
      <c r="B165" s="2" t="n">
        <v>46007.04625</v>
      </c>
      <c r="C165" t="inlineStr">
        <is>
          <t>Flat 17 - 3 West Gate</t>
        </is>
      </c>
      <c r="D165" t="inlineStr">
        <is>
          <t>Owner</t>
        </is>
      </c>
      <c r="E165" t="inlineStr">
        <is>
          <t>Landlord Rental Payment</t>
        </is>
      </c>
      <c r="F165" t="inlineStr">
        <is>
          <t>PAYPROP</t>
        </is>
      </c>
      <c r="G165" s="3" t="n">
        <v>445.0</v>
      </c>
      <c r="H165" t="inlineStr">
        <is>
          <t>YZ2WWPAKJQ</t>
        </is>
      </c>
      <c r="I165" s="2" t="n">
        <v>45982.0</v>
      </c>
      <c r="J165" t="inlineStr">
        <is>
          <t>PAID</t>
        </is>
      </c>
    </row>
    <row r="166">
      <c r="A166" t="n">
        <v>793.0</v>
      </c>
      <c r="B166" s="2" t="n">
        <v>46007.04625</v>
      </c>
      <c r="C166" t="inlineStr">
        <is>
          <t>Flat 18 - 3 West Gate</t>
        </is>
      </c>
      <c r="D166" t="inlineStr">
        <is>
          <t>Owner</t>
        </is>
      </c>
      <c r="E166" t="inlineStr">
        <is>
          <t>Landlord Rental Payment</t>
        </is>
      </c>
      <c r="F166" t="inlineStr">
        <is>
          <t>PAYPROP</t>
        </is>
      </c>
      <c r="G166" s="3" t="n">
        <v>375.86</v>
      </c>
      <c r="H166" t="inlineStr">
        <is>
          <t>YZ2WWPAKJQ</t>
        </is>
      </c>
      <c r="I166" s="2" t="n">
        <v>45982.0</v>
      </c>
      <c r="J166" t="inlineStr">
        <is>
          <t>PAID</t>
        </is>
      </c>
    </row>
    <row r="167">
      <c r="A167" t="n">
        <v>786.0</v>
      </c>
      <c r="B167" s="2" t="n">
        <v>46007.04625</v>
      </c>
      <c r="C167" t="inlineStr">
        <is>
          <t>Flat 20 - 3 West Gate</t>
        </is>
      </c>
      <c r="D167" t="inlineStr">
        <is>
          <t>Owner</t>
        </is>
      </c>
      <c r="E167" t="inlineStr">
        <is>
          <t>Landlord Rental Payment</t>
        </is>
      </c>
      <c r="F167" t="inlineStr">
        <is>
          <t>PAYPROP</t>
        </is>
      </c>
      <c r="G167" s="3" t="n">
        <v>495.0</v>
      </c>
      <c r="H167" t="inlineStr">
        <is>
          <t>YZ2WWPAKJQ</t>
        </is>
      </c>
      <c r="I167" s="2" t="n">
        <v>45982.0</v>
      </c>
      <c r="J167" t="inlineStr">
        <is>
          <t>PAID</t>
        </is>
      </c>
    </row>
    <row r="168">
      <c r="A168" t="n">
        <v>788.0</v>
      </c>
      <c r="B168" s="2" t="n">
        <v>46007.04625</v>
      </c>
      <c r="C168" t="inlineStr">
        <is>
          <t>Flat 23 - 3 West Gate</t>
        </is>
      </c>
      <c r="D168" t="inlineStr">
        <is>
          <t>Owner</t>
        </is>
      </c>
      <c r="E168" t="inlineStr">
        <is>
          <t>Landlord Rental Payment</t>
        </is>
      </c>
      <c r="F168" t="inlineStr">
        <is>
          <t>PAYPROP</t>
        </is>
      </c>
      <c r="G168" s="3" t="n">
        <v>419.55</v>
      </c>
      <c r="H168" t="inlineStr">
        <is>
          <t>YZ2WWPAKJQ</t>
        </is>
      </c>
      <c r="I168" s="2" t="n">
        <v>45982.0</v>
      </c>
      <c r="J168" t="inlineStr">
        <is>
          <t>PAID</t>
        </is>
      </c>
    </row>
    <row r="169">
      <c r="A169" t="n">
        <v>783.0</v>
      </c>
      <c r="B169" s="2" t="n">
        <v>46007.04625</v>
      </c>
      <c r="C169" t="inlineStr">
        <is>
          <t>Flat 24 - 3 West Gate</t>
        </is>
      </c>
      <c r="D169" t="inlineStr">
        <is>
          <t>Owner</t>
        </is>
      </c>
      <c r="E169" t="inlineStr">
        <is>
          <t>Landlord Rental Payment</t>
        </is>
      </c>
      <c r="F169" t="inlineStr">
        <is>
          <t>PAYPROP</t>
        </is>
      </c>
      <c r="G169" s="3" t="n">
        <v>568.5</v>
      </c>
      <c r="H169" t="inlineStr">
        <is>
          <t>YZ2WWPAKJQ</t>
        </is>
      </c>
      <c r="I169" s="2" t="n">
        <v>45982.0</v>
      </c>
      <c r="J169" t="inlineStr">
        <is>
          <t>PAID</t>
        </is>
      </c>
    </row>
    <row r="170">
      <c r="A170" t="n">
        <v>780.0</v>
      </c>
      <c r="B170" s="2" t="n">
        <v>46007.04625</v>
      </c>
      <c r="C170" t="inlineStr">
        <is>
          <t>Flat 25 - 3 West Gate</t>
        </is>
      </c>
      <c r="D170" t="inlineStr">
        <is>
          <t>Owner</t>
        </is>
      </c>
      <c r="E170" t="inlineStr">
        <is>
          <t>Landlord Rental Payment</t>
        </is>
      </c>
      <c r="F170" t="inlineStr">
        <is>
          <t>PAYPROP</t>
        </is>
      </c>
      <c r="G170" s="3" t="n">
        <v>321.5</v>
      </c>
      <c r="H170" t="inlineStr">
        <is>
          <t>YZ2WWPAKJQ</t>
        </is>
      </c>
      <c r="I170" s="2" t="n">
        <v>45982.0</v>
      </c>
      <c r="J170" t="inlineStr">
        <is>
          <t>PAID</t>
        </is>
      </c>
    </row>
    <row r="171">
      <c r="A171" t="n">
        <v>791.0</v>
      </c>
      <c r="B171" s="2" t="n">
        <v>46007.04625</v>
      </c>
      <c r="C171" t="inlineStr">
        <is>
          <t>Flat 27 - 3 West Gate</t>
        </is>
      </c>
      <c r="D171" t="inlineStr">
        <is>
          <t>Owner</t>
        </is>
      </c>
      <c r="E171" t="inlineStr">
        <is>
          <t>Landlord Rental Payment</t>
        </is>
      </c>
      <c r="F171" t="inlineStr">
        <is>
          <t>PAYPROP</t>
        </is>
      </c>
      <c r="G171" s="3" t="n">
        <v>595.0</v>
      </c>
      <c r="H171" t="inlineStr">
        <is>
          <t>YZ2WWPAKJQ</t>
        </is>
      </c>
      <c r="I171" s="2" t="n">
        <v>45982.0</v>
      </c>
      <c r="J171" t="inlineStr">
        <is>
          <t>PAID</t>
        </is>
      </c>
    </row>
    <row r="172">
      <c r="A172" t="n">
        <v>776.0</v>
      </c>
      <c r="B172" s="2" t="n">
        <v>46007.04625</v>
      </c>
      <c r="C172" t="inlineStr">
        <is>
          <t>Flat 3 - 3 West Gate</t>
        </is>
      </c>
      <c r="D172" t="inlineStr">
        <is>
          <t>Owner</t>
        </is>
      </c>
      <c r="E172" t="inlineStr">
        <is>
          <t>Landlord Rental Payment</t>
        </is>
      </c>
      <c r="F172" t="inlineStr">
        <is>
          <t>PAYPROP</t>
        </is>
      </c>
      <c r="G172" s="3" t="n">
        <v>629.0</v>
      </c>
      <c r="H172" t="inlineStr">
        <is>
          <t>YZ2WWPAKJQ</t>
        </is>
      </c>
      <c r="I172" s="2" t="n">
        <v>45982.0</v>
      </c>
      <c r="J172" t="inlineStr">
        <is>
          <t>PAID</t>
        </is>
      </c>
    </row>
    <row r="173">
      <c r="A173" t="n">
        <v>790.0</v>
      </c>
      <c r="B173" s="2" t="n">
        <v>46007.04625</v>
      </c>
      <c r="C173" t="inlineStr">
        <is>
          <t>Flat 8 - 3 West Gate</t>
        </is>
      </c>
      <c r="D173" t="inlineStr">
        <is>
          <t>Owner</t>
        </is>
      </c>
      <c r="E173" t="inlineStr">
        <is>
          <t>Landlord Rental Payment</t>
        </is>
      </c>
      <c r="F173" t="inlineStr">
        <is>
          <t>PAYPROP</t>
        </is>
      </c>
      <c r="G173" s="3" t="n">
        <v>524.75</v>
      </c>
      <c r="H173" t="inlineStr">
        <is>
          <t>YZ2WWPAKJQ</t>
        </is>
      </c>
      <c r="I173" s="2" t="n">
        <v>45982.0</v>
      </c>
      <c r="J173" t="inlineStr">
        <is>
          <t>PAID</t>
        </is>
      </c>
    </row>
    <row r="174">
      <c r="A174" t="n">
        <v>794.0</v>
      </c>
      <c r="B174" s="2" t="n">
        <v>46007.04625</v>
      </c>
      <c r="C174" t="inlineStr">
        <is>
          <t>Flat 9 - 3 West Gate</t>
        </is>
      </c>
      <c r="D174" t="inlineStr">
        <is>
          <t>Owner</t>
        </is>
      </c>
      <c r="E174" t="inlineStr">
        <is>
          <t>Landlord Rental Payment</t>
        </is>
      </c>
      <c r="F174" t="inlineStr">
        <is>
          <t>PAYPROP</t>
        </is>
      </c>
      <c r="G174" s="3" t="n">
        <v>495.0</v>
      </c>
      <c r="H174" t="inlineStr">
        <is>
          <t>YZ2WWPAKJQ</t>
        </is>
      </c>
      <c r="I174" s="2" t="n">
        <v>45982.0</v>
      </c>
      <c r="J174" t="inlineStr">
        <is>
          <t>PAID</t>
        </is>
      </c>
    </row>
    <row r="175">
      <c r="A175" t="n">
        <v>679.0</v>
      </c>
      <c r="B175" s="2" t="n">
        <v>46007.046261574076</v>
      </c>
      <c r="C175" t="inlineStr">
        <is>
          <t>Apartment F - Knighton Hayes Manor</t>
        </is>
      </c>
      <c r="D175" t="inlineStr">
        <is>
          <t>Owner</t>
        </is>
      </c>
      <c r="E175" t="inlineStr">
        <is>
          <t>Landlord Rental Payment</t>
        </is>
      </c>
      <c r="F175" t="inlineStr">
        <is>
          <t>PAYPROP</t>
        </is>
      </c>
      <c r="G175" s="3" t="n">
        <v>1012.5</v>
      </c>
      <c r="H175" t="inlineStr">
        <is>
          <t>G1O4GnbjZM</t>
        </is>
      </c>
      <c r="I175" s="2" t="n">
        <v>45953.0</v>
      </c>
      <c r="J175" t="inlineStr">
        <is>
          <t>PAID</t>
        </is>
      </c>
    </row>
    <row r="176">
      <c r="A176" t="n">
        <v>775.0</v>
      </c>
      <c r="B176" s="2" t="n">
        <v>46007.046261574076</v>
      </c>
      <c r="C176" t="inlineStr">
        <is>
          <t>Flat 11 - 3 West Gate</t>
        </is>
      </c>
      <c r="D176" t="inlineStr">
        <is>
          <t>Owner</t>
        </is>
      </c>
      <c r="E176" t="inlineStr">
        <is>
          <t>Landlord Rental Payment</t>
        </is>
      </c>
      <c r="F176" t="inlineStr">
        <is>
          <t>PAYPROP</t>
        </is>
      </c>
      <c r="G176" s="3" t="n">
        <v>573.75</v>
      </c>
      <c r="H176" t="inlineStr">
        <is>
          <t>zZyxxDQ01d</t>
        </is>
      </c>
      <c r="I176" s="2" t="n">
        <v>45981.0</v>
      </c>
      <c r="J176" t="inlineStr">
        <is>
          <t>PAID</t>
        </is>
      </c>
    </row>
    <row r="177">
      <c r="A177" t="n">
        <v>666.0</v>
      </c>
      <c r="B177" s="2" t="n">
        <v>46007.046261574076</v>
      </c>
      <c r="C177" t="inlineStr">
        <is>
          <t>Flat 15 - 3 West Gate</t>
        </is>
      </c>
      <c r="D177" t="inlineStr">
        <is>
          <t>Owner</t>
        </is>
      </c>
      <c r="E177" t="inlineStr">
        <is>
          <t>Landlord Rental Payment</t>
        </is>
      </c>
      <c r="F177" t="inlineStr">
        <is>
          <t>PAYPROP</t>
        </is>
      </c>
      <c r="G177" s="3" t="n">
        <v>629.0</v>
      </c>
      <c r="H177" t="inlineStr">
        <is>
          <t>G1O4GnbjZM</t>
        </is>
      </c>
      <c r="I177" s="2" t="n">
        <v>45953.0</v>
      </c>
      <c r="J177" t="inlineStr">
        <is>
          <t>PAID</t>
        </is>
      </c>
    </row>
    <row r="178">
      <c r="A178" t="n">
        <v>676.0</v>
      </c>
      <c r="B178" s="2" t="n">
        <v>46007.046261574076</v>
      </c>
      <c r="C178" t="inlineStr">
        <is>
          <t>Flat 17 - 3 West Gate</t>
        </is>
      </c>
      <c r="D178" t="inlineStr">
        <is>
          <t>Owner</t>
        </is>
      </c>
      <c r="E178" t="inlineStr">
        <is>
          <t>Landlord Rental Payment</t>
        </is>
      </c>
      <c r="F178" t="inlineStr">
        <is>
          <t>PAYPROP</t>
        </is>
      </c>
      <c r="G178" s="3" t="n">
        <v>595.0</v>
      </c>
      <c r="H178" t="inlineStr">
        <is>
          <t>G1O4GnbjZM</t>
        </is>
      </c>
      <c r="I178" s="2" t="n">
        <v>45953.0</v>
      </c>
      <c r="J178" t="inlineStr">
        <is>
          <t>PAID</t>
        </is>
      </c>
    </row>
    <row r="179">
      <c r="A179" t="n">
        <v>677.0</v>
      </c>
      <c r="B179" s="2" t="n">
        <v>46007.046261574076</v>
      </c>
      <c r="C179" t="inlineStr">
        <is>
          <t>Flat 21 - 3 West Gate</t>
        </is>
      </c>
      <c r="D179" t="inlineStr">
        <is>
          <t>Owner</t>
        </is>
      </c>
      <c r="E179" t="inlineStr">
        <is>
          <t>Landlord Rental Payment</t>
        </is>
      </c>
      <c r="F179" t="inlineStr">
        <is>
          <t>PAYPROP</t>
        </is>
      </c>
      <c r="G179" s="3" t="n">
        <v>675.75</v>
      </c>
      <c r="H179" t="inlineStr">
        <is>
          <t>G1O4GnbjZM</t>
        </is>
      </c>
      <c r="I179" s="2" t="n">
        <v>45953.0</v>
      </c>
      <c r="J179" t="inlineStr">
        <is>
          <t>PAID</t>
        </is>
      </c>
    </row>
    <row r="180">
      <c r="A180" t="n">
        <v>779.0</v>
      </c>
      <c r="B180" s="2" t="n">
        <v>46007.046261574076</v>
      </c>
      <c r="C180" t="inlineStr">
        <is>
          <t>Flat 22 - 3 West Gate</t>
        </is>
      </c>
      <c r="D180" t="inlineStr">
        <is>
          <t>Owner</t>
        </is>
      </c>
      <c r="E180" t="inlineStr">
        <is>
          <t>Landlord Rental Payment</t>
        </is>
      </c>
      <c r="F180" t="inlineStr">
        <is>
          <t>PAYPROP</t>
        </is>
      </c>
      <c r="G180" s="3" t="n">
        <v>629.0</v>
      </c>
      <c r="H180" t="inlineStr">
        <is>
          <t>YZ2WWPAKJQ</t>
        </is>
      </c>
      <c r="I180" s="2" t="n">
        <v>45982.0</v>
      </c>
      <c r="J180" t="inlineStr">
        <is>
          <t>PAID</t>
        </is>
      </c>
    </row>
    <row r="181">
      <c r="A181" t="n">
        <v>665.0</v>
      </c>
      <c r="B181" s="2" t="n">
        <v>46007.046261574076</v>
      </c>
      <c r="C181" t="inlineStr">
        <is>
          <t>Flat 23 - 3 West Gate</t>
        </is>
      </c>
      <c r="D181" t="inlineStr">
        <is>
          <t>Owner</t>
        </is>
      </c>
      <c r="E181" t="inlineStr">
        <is>
          <t>Landlord Rental Payment</t>
        </is>
      </c>
      <c r="F181" t="inlineStr">
        <is>
          <t>PAYPROP</t>
        </is>
      </c>
      <c r="G181" s="3" t="n">
        <v>675.75</v>
      </c>
      <c r="H181" t="inlineStr">
        <is>
          <t>G1O4GnbjZM</t>
        </is>
      </c>
      <c r="I181" s="2" t="n">
        <v>45953.0</v>
      </c>
      <c r="J181" t="inlineStr">
        <is>
          <t>PAID</t>
        </is>
      </c>
    </row>
    <row r="182">
      <c r="A182" t="n">
        <v>795.0</v>
      </c>
      <c r="B182" s="2" t="n">
        <v>46007.046261574076</v>
      </c>
      <c r="C182" t="inlineStr">
        <is>
          <t>Flat 28 - 3 West Gate</t>
        </is>
      </c>
      <c r="D182" t="inlineStr">
        <is>
          <t>Owner</t>
        </is>
      </c>
      <c r="E182" t="inlineStr">
        <is>
          <t>Landlord Rental Payment</t>
        </is>
      </c>
      <c r="F182" t="inlineStr">
        <is>
          <t>PAYPROP</t>
        </is>
      </c>
      <c r="G182" s="3" t="n">
        <v>403.13</v>
      </c>
      <c r="H182" t="inlineStr">
        <is>
          <t>YZ2WWPAKJQ</t>
        </is>
      </c>
      <c r="I182" s="2" t="n">
        <v>45982.0</v>
      </c>
      <c r="J182" t="inlineStr">
        <is>
          <t>PAID</t>
        </is>
      </c>
    </row>
    <row r="183">
      <c r="A183" t="n">
        <v>796.0</v>
      </c>
      <c r="B183" s="2" t="n">
        <v>46007.046261574076</v>
      </c>
      <c r="C183" t="inlineStr">
        <is>
          <t>Flat 29 - 3 West Gate</t>
        </is>
      </c>
      <c r="D183" t="inlineStr">
        <is>
          <t>Owner</t>
        </is>
      </c>
      <c r="E183" t="inlineStr">
        <is>
          <t>Landlord Rental Payment</t>
        </is>
      </c>
      <c r="F183" t="inlineStr">
        <is>
          <t>PAYPROP</t>
        </is>
      </c>
      <c r="G183" s="3" t="n">
        <v>509.0</v>
      </c>
      <c r="H183" t="inlineStr">
        <is>
          <t>YZ2WWPAKJQ</t>
        </is>
      </c>
      <c r="I183" s="2" t="n">
        <v>45982.0</v>
      </c>
      <c r="J183" t="inlineStr">
        <is>
          <t>PAID</t>
        </is>
      </c>
    </row>
    <row r="184">
      <c r="A184" t="n">
        <v>785.0</v>
      </c>
      <c r="B184" s="2" t="n">
        <v>46007.046261574076</v>
      </c>
      <c r="C184" t="inlineStr">
        <is>
          <t>Flat 4 - 3 West Gate</t>
        </is>
      </c>
      <c r="D184" t="inlineStr">
        <is>
          <t>Owner</t>
        </is>
      </c>
      <c r="E184" t="inlineStr">
        <is>
          <t>Landlord Rental Payment</t>
        </is>
      </c>
      <c r="F184" t="inlineStr">
        <is>
          <t>PAYPROP</t>
        </is>
      </c>
      <c r="G184" s="3" t="n">
        <v>576.75</v>
      </c>
      <c r="H184" t="inlineStr">
        <is>
          <t>YZ2WWPAKJQ</t>
        </is>
      </c>
      <c r="I184" s="2" t="n">
        <v>45982.0</v>
      </c>
      <c r="J184" t="inlineStr">
        <is>
          <t>PAID</t>
        </is>
      </c>
    </row>
    <row r="185">
      <c r="A185" t="n">
        <v>774.0</v>
      </c>
      <c r="B185" s="2" t="n">
        <v>46007.046261574076</v>
      </c>
      <c r="C185" t="inlineStr">
        <is>
          <t>Flat 5 - 3 West Gate</t>
        </is>
      </c>
      <c r="D185" t="inlineStr">
        <is>
          <t>Owner</t>
        </is>
      </c>
      <c r="E185" t="inlineStr">
        <is>
          <t>Landlord Rental Payment</t>
        </is>
      </c>
      <c r="F185" t="inlineStr">
        <is>
          <t>PAYPROP</t>
        </is>
      </c>
      <c r="G185" s="3" t="n">
        <v>479.0</v>
      </c>
      <c r="H185" t="inlineStr">
        <is>
          <t>yJ6jj5o7Jj</t>
        </is>
      </c>
      <c r="I185" s="2" t="n">
        <v>45981.0</v>
      </c>
      <c r="J185" t="inlineStr">
        <is>
          <t>PAID</t>
        </is>
      </c>
    </row>
    <row r="186">
      <c r="A186" t="n">
        <v>669.0</v>
      </c>
      <c r="B186" s="2" t="n">
        <v>46007.046261574076</v>
      </c>
      <c r="C186" t="inlineStr">
        <is>
          <t>Flat 5 - 3 West Gate</t>
        </is>
      </c>
      <c r="D186" t="inlineStr">
        <is>
          <t>Owner</t>
        </is>
      </c>
      <c r="E186" t="inlineStr">
        <is>
          <t>Landlord Rental Payment</t>
        </is>
      </c>
      <c r="F186" t="inlineStr">
        <is>
          <t>PAYPROP</t>
        </is>
      </c>
      <c r="G186" s="3" t="n">
        <v>629.0</v>
      </c>
      <c r="H186" t="inlineStr">
        <is>
          <t>G1O4GnbjZM</t>
        </is>
      </c>
      <c r="I186" s="2" t="n">
        <v>45953.0</v>
      </c>
      <c r="J186" t="inlineStr">
        <is>
          <t>PAID</t>
        </is>
      </c>
    </row>
    <row r="187">
      <c r="A187" t="n">
        <v>792.0</v>
      </c>
      <c r="B187" s="2" t="n">
        <v>46007.046261574076</v>
      </c>
      <c r="C187" t="inlineStr">
        <is>
          <t>Flat 6 - 3 West Gate</t>
        </is>
      </c>
      <c r="D187" t="inlineStr">
        <is>
          <t>Owner</t>
        </is>
      </c>
      <c r="E187" t="inlineStr">
        <is>
          <t>Landlord Rental Payment</t>
        </is>
      </c>
      <c r="F187" t="inlineStr">
        <is>
          <t>PAYPROP</t>
        </is>
      </c>
      <c r="G187" s="3" t="n">
        <v>479.0</v>
      </c>
      <c r="H187" t="inlineStr">
        <is>
          <t>YZ2WWPAKJQ</t>
        </is>
      </c>
      <c r="I187" s="2" t="n">
        <v>45982.0</v>
      </c>
      <c r="J187" t="inlineStr">
        <is>
          <t>PAID</t>
        </is>
      </c>
    </row>
    <row r="188">
      <c r="A188" t="n">
        <v>671.0</v>
      </c>
      <c r="B188" s="2" t="n">
        <v>46007.046273148146</v>
      </c>
      <c r="C188" t="inlineStr">
        <is>
          <t>Flat 10 - 3 West Gate</t>
        </is>
      </c>
      <c r="D188" t="inlineStr">
        <is>
          <t>Owner</t>
        </is>
      </c>
      <c r="E188" t="inlineStr">
        <is>
          <t>Landlord Rental Payment</t>
        </is>
      </c>
      <c r="F188" t="inlineStr">
        <is>
          <t>PAYPROP</t>
        </is>
      </c>
      <c r="G188" s="3" t="n">
        <v>667.25</v>
      </c>
      <c r="H188" t="inlineStr">
        <is>
          <t>G1O4GnbjZM</t>
        </is>
      </c>
      <c r="I188" s="2" t="n">
        <v>45953.0</v>
      </c>
      <c r="J188" t="inlineStr">
        <is>
          <t>PAID</t>
        </is>
      </c>
    </row>
    <row r="189">
      <c r="A189" t="n">
        <v>627.0</v>
      </c>
      <c r="B189" s="2" t="n">
        <v>46007.046273148146</v>
      </c>
      <c r="C189" t="inlineStr">
        <is>
          <t>Flat 11 - 3 West Gate</t>
        </is>
      </c>
      <c r="D189" t="inlineStr">
        <is>
          <t>Owner</t>
        </is>
      </c>
      <c r="E189" t="inlineStr">
        <is>
          <t>Landlord Rental Payment</t>
        </is>
      </c>
      <c r="F189" t="inlineStr">
        <is>
          <t>PAYPROP</t>
        </is>
      </c>
      <c r="G189" s="3" t="n">
        <v>675.75</v>
      </c>
      <c r="H189" t="inlineStr">
        <is>
          <t>QZGNwwqb19</t>
        </is>
      </c>
      <c r="I189" s="2" t="n">
        <v>45936.0</v>
      </c>
      <c r="J189" t="inlineStr">
        <is>
          <t>PAID</t>
        </is>
      </c>
    </row>
    <row r="190">
      <c r="A190" t="n">
        <v>670.0</v>
      </c>
      <c r="B190" s="2" t="n">
        <v>46007.046273148146</v>
      </c>
      <c r="C190" t="inlineStr">
        <is>
          <t>Flat 12 - 3 West Gate</t>
        </is>
      </c>
      <c r="D190" t="inlineStr">
        <is>
          <t>Owner</t>
        </is>
      </c>
      <c r="E190" t="inlineStr">
        <is>
          <t>Landlord Rental Payment</t>
        </is>
      </c>
      <c r="F190" t="inlineStr">
        <is>
          <t>PAYPROP</t>
        </is>
      </c>
      <c r="G190" s="3" t="n">
        <v>675.75</v>
      </c>
      <c r="H190" t="inlineStr">
        <is>
          <t>G1O4GnbjZM</t>
        </is>
      </c>
      <c r="I190" s="2" t="n">
        <v>45953.0</v>
      </c>
      <c r="J190" t="inlineStr">
        <is>
          <t>PAID</t>
        </is>
      </c>
    </row>
    <row r="191">
      <c r="A191" t="n">
        <v>667.0</v>
      </c>
      <c r="B191" s="2" t="n">
        <v>46007.046273148146</v>
      </c>
      <c r="C191" t="inlineStr">
        <is>
          <t>Flat 12 - 3 West Gate</t>
        </is>
      </c>
      <c r="D191" t="inlineStr">
        <is>
          <t>Owner</t>
        </is>
      </c>
      <c r="E191" t="inlineStr">
        <is>
          <t>Landlord Rental Payment</t>
        </is>
      </c>
      <c r="F191" t="inlineStr">
        <is>
          <t>PAYPROP</t>
        </is>
      </c>
      <c r="G191" s="3" t="n">
        <v>675.75</v>
      </c>
      <c r="H191" t="inlineStr">
        <is>
          <t>G1O4GnbjZM</t>
        </is>
      </c>
      <c r="I191" s="2" t="n">
        <v>45953.0</v>
      </c>
      <c r="J191" t="inlineStr">
        <is>
          <t>PAID</t>
        </is>
      </c>
    </row>
    <row r="192">
      <c r="A192" t="n">
        <v>673.0</v>
      </c>
      <c r="B192" s="2" t="n">
        <v>46007.046273148146</v>
      </c>
      <c r="C192" t="inlineStr">
        <is>
          <t>Flat 12 - 3 West Gate</t>
        </is>
      </c>
      <c r="D192" t="inlineStr">
        <is>
          <t>Owner</t>
        </is>
      </c>
      <c r="E192" t="inlineStr">
        <is>
          <t>Landlord Rental Payment</t>
        </is>
      </c>
      <c r="F192" t="inlineStr">
        <is>
          <t>PAYPROP</t>
        </is>
      </c>
      <c r="G192" s="3" t="n">
        <v>675.75</v>
      </c>
      <c r="H192" t="inlineStr">
        <is>
          <t>G1O4GnbjZM</t>
        </is>
      </c>
      <c r="I192" s="2" t="n">
        <v>45953.0</v>
      </c>
      <c r="J192" t="inlineStr">
        <is>
          <t>PAID</t>
        </is>
      </c>
    </row>
    <row r="193">
      <c r="A193" t="n">
        <v>675.0</v>
      </c>
      <c r="B193" s="2" t="n">
        <v>46007.046273148146</v>
      </c>
      <c r="C193" t="inlineStr">
        <is>
          <t>Flat 12 - 3 West Gate</t>
        </is>
      </c>
      <c r="D193" t="inlineStr">
        <is>
          <t>Owner</t>
        </is>
      </c>
      <c r="E193" t="inlineStr">
        <is>
          <t>Landlord Rental Payment</t>
        </is>
      </c>
      <c r="F193" t="inlineStr">
        <is>
          <t>PAYPROP</t>
        </is>
      </c>
      <c r="G193" s="3" t="n">
        <v>675.75</v>
      </c>
      <c r="H193" t="inlineStr">
        <is>
          <t>G1O4GnbjZM</t>
        </is>
      </c>
      <c r="I193" s="2" t="n">
        <v>45953.0</v>
      </c>
      <c r="J193" t="inlineStr">
        <is>
          <t>PAID</t>
        </is>
      </c>
    </row>
    <row r="194">
      <c r="A194" t="n">
        <v>678.0</v>
      </c>
      <c r="B194" s="2" t="n">
        <v>46007.046273148146</v>
      </c>
      <c r="C194" t="inlineStr">
        <is>
          <t>Flat 12 - 3 West Gate</t>
        </is>
      </c>
      <c r="D194" t="inlineStr">
        <is>
          <t>Owner</t>
        </is>
      </c>
      <c r="E194" t="inlineStr">
        <is>
          <t>Landlord Rental Payment</t>
        </is>
      </c>
      <c r="F194" t="inlineStr">
        <is>
          <t>PAYPROP</t>
        </is>
      </c>
      <c r="G194" s="3" t="n">
        <v>675.75</v>
      </c>
      <c r="H194" t="inlineStr">
        <is>
          <t>G1O4GnbjZM</t>
        </is>
      </c>
      <c r="I194" s="2" t="n">
        <v>45953.0</v>
      </c>
      <c r="J194" t="inlineStr">
        <is>
          <t>PAID</t>
        </is>
      </c>
    </row>
    <row r="195">
      <c r="A195" t="n">
        <v>681.0</v>
      </c>
      <c r="B195" s="2" t="n">
        <v>46007.046273148146</v>
      </c>
      <c r="C195" t="inlineStr">
        <is>
          <t>Flat 12 - 3 West Gate</t>
        </is>
      </c>
      <c r="D195" t="inlineStr">
        <is>
          <t>Owner</t>
        </is>
      </c>
      <c r="E195" t="inlineStr">
        <is>
          <t>Landlord Rental Payment</t>
        </is>
      </c>
      <c r="F195" t="inlineStr">
        <is>
          <t>PAYPROP</t>
        </is>
      </c>
      <c r="G195" s="3" t="n">
        <v>675.75</v>
      </c>
      <c r="H195" t="inlineStr">
        <is>
          <t>G1O4GnbjZM</t>
        </is>
      </c>
      <c r="I195" s="2" t="n">
        <v>45953.0</v>
      </c>
      <c r="J195" t="inlineStr">
        <is>
          <t>PAID</t>
        </is>
      </c>
    </row>
    <row r="196">
      <c r="A196" t="n">
        <v>640.0</v>
      </c>
      <c r="B196" s="2" t="n">
        <v>46007.046273148146</v>
      </c>
      <c r="C196" t="inlineStr">
        <is>
          <t>Flat 13 - 3 West Gate</t>
        </is>
      </c>
      <c r="D196" t="inlineStr">
        <is>
          <t>Owner</t>
        </is>
      </c>
      <c r="E196" t="inlineStr">
        <is>
          <t>Landlord Rental Payment</t>
        </is>
      </c>
      <c r="F196" t="inlineStr">
        <is>
          <t>PAYPROP</t>
        </is>
      </c>
      <c r="G196" s="3" t="n">
        <v>680.0</v>
      </c>
      <c r="H196" t="inlineStr">
        <is>
          <t>QZGNwwqb19</t>
        </is>
      </c>
      <c r="I196" s="2" t="n">
        <v>45936.0</v>
      </c>
      <c r="J196" t="inlineStr">
        <is>
          <t>PAID</t>
        </is>
      </c>
    </row>
    <row r="197">
      <c r="A197" t="n">
        <v>668.0</v>
      </c>
      <c r="B197" s="2" t="n">
        <v>46007.046273148146</v>
      </c>
      <c r="C197" t="inlineStr">
        <is>
          <t>Flat 18 - 3 West Gate</t>
        </is>
      </c>
      <c r="D197" t="inlineStr">
        <is>
          <t>Owner</t>
        </is>
      </c>
      <c r="E197" t="inlineStr">
        <is>
          <t>Landlord Rental Payment</t>
        </is>
      </c>
      <c r="F197" t="inlineStr">
        <is>
          <t>PAYPROP</t>
        </is>
      </c>
      <c r="G197" s="3" t="n">
        <v>675.75</v>
      </c>
      <c r="H197" t="inlineStr">
        <is>
          <t>G1O4GnbjZM</t>
        </is>
      </c>
      <c r="I197" s="2" t="n">
        <v>45953.0</v>
      </c>
      <c r="J197" t="inlineStr">
        <is>
          <t>PAID</t>
        </is>
      </c>
    </row>
    <row r="198">
      <c r="A198" t="n">
        <v>674.0</v>
      </c>
      <c r="B198" s="2" t="n">
        <v>46007.046273148146</v>
      </c>
      <c r="C198" t="inlineStr">
        <is>
          <t>Flat 18 - 3 West Gate</t>
        </is>
      </c>
      <c r="D198" t="inlineStr">
        <is>
          <t>Owner</t>
        </is>
      </c>
      <c r="E198" t="inlineStr">
        <is>
          <t>Landlord Rental Payment</t>
        </is>
      </c>
      <c r="F198" t="inlineStr">
        <is>
          <t>PAYPROP</t>
        </is>
      </c>
      <c r="G198" s="3" t="n">
        <v>51.0</v>
      </c>
      <c r="H198" t="inlineStr">
        <is>
          <t>G1O4GnbjZM</t>
        </is>
      </c>
      <c r="I198" s="2" t="n">
        <v>45953.0</v>
      </c>
      <c r="J198" t="inlineStr">
        <is>
          <t>PAID</t>
        </is>
      </c>
    </row>
    <row r="199">
      <c r="A199" t="n">
        <v>626.0</v>
      </c>
      <c r="B199" s="2" t="n">
        <v>46007.046273148146</v>
      </c>
      <c r="C199" t="inlineStr">
        <is>
          <t>Flat 19 - 3 West Gate</t>
        </is>
      </c>
      <c r="D199" t="inlineStr">
        <is>
          <t>Owner</t>
        </is>
      </c>
      <c r="E199" t="inlineStr">
        <is>
          <t>Landlord Rental Payment</t>
        </is>
      </c>
      <c r="F199" t="inlineStr">
        <is>
          <t>PAYPROP</t>
        </is>
      </c>
      <c r="G199" s="3" t="n">
        <v>675.75</v>
      </c>
      <c r="H199" t="inlineStr">
        <is>
          <t>QZGNwwqb19</t>
        </is>
      </c>
      <c r="I199" s="2" t="n">
        <v>45936.0</v>
      </c>
      <c r="J199" t="inlineStr">
        <is>
          <t>PAID</t>
        </is>
      </c>
    </row>
    <row r="200">
      <c r="A200" t="n">
        <v>625.0</v>
      </c>
      <c r="B200" s="2" t="n">
        <v>46007.046273148146</v>
      </c>
      <c r="C200" t="inlineStr">
        <is>
          <t>Flat 19 - 3 West Gate</t>
        </is>
      </c>
      <c r="D200" t="inlineStr">
        <is>
          <t>Owner</t>
        </is>
      </c>
      <c r="E200" t="inlineStr">
        <is>
          <t>Landlord Rental Payment</t>
        </is>
      </c>
      <c r="F200" t="inlineStr">
        <is>
          <t>PAYPROP</t>
        </is>
      </c>
      <c r="G200" s="3" t="n">
        <v>675.75</v>
      </c>
      <c r="H200" t="inlineStr">
        <is>
          <t>G1O4GnbjZM</t>
        </is>
      </c>
      <c r="I200" s="2" t="n">
        <v>45953.0</v>
      </c>
      <c r="J200" t="inlineStr">
        <is>
          <t>PAID</t>
        </is>
      </c>
    </row>
    <row r="201">
      <c r="A201" t="n">
        <v>626.0</v>
      </c>
      <c r="B201" s="2" t="n">
        <v>46007.046273148146</v>
      </c>
      <c r="C201" t="inlineStr">
        <is>
          <t>Flat 19 - 3 West Gate</t>
        </is>
      </c>
      <c r="D201" t="inlineStr">
        <is>
          <t>Owner</t>
        </is>
      </c>
      <c r="E201" t="inlineStr">
        <is>
          <t>Landlord Rental Payment</t>
        </is>
      </c>
      <c r="F201" t="inlineStr">
        <is>
          <t>PAYPROP</t>
        </is>
      </c>
      <c r="G201" s="3" t="n">
        <v>675.75</v>
      </c>
      <c r="H201" t="inlineStr">
        <is>
          <t>G1O4GnbjZM</t>
        </is>
      </c>
      <c r="I201" s="2" t="n">
        <v>45953.0</v>
      </c>
      <c r="J201" t="inlineStr">
        <is>
          <t>PAID</t>
        </is>
      </c>
    </row>
    <row r="202">
      <c r="A202" t="n">
        <v>636.0</v>
      </c>
      <c r="B202" s="2" t="n">
        <v>46007.046273148146</v>
      </c>
      <c r="C202" t="inlineStr">
        <is>
          <t>Flat 19 - 3 West Gate</t>
        </is>
      </c>
      <c r="D202" t="inlineStr">
        <is>
          <t>Owner</t>
        </is>
      </c>
      <c r="E202" t="inlineStr">
        <is>
          <t>Landlord Rental Payment</t>
        </is>
      </c>
      <c r="F202" t="inlineStr">
        <is>
          <t>PAYPROP</t>
        </is>
      </c>
      <c r="G202" s="3" t="n">
        <v>675.75</v>
      </c>
      <c r="H202" t="inlineStr">
        <is>
          <t>G1O4GnbjZM</t>
        </is>
      </c>
      <c r="I202" s="2" t="n">
        <v>45953.0</v>
      </c>
      <c r="J202" t="inlineStr">
        <is>
          <t>PAID</t>
        </is>
      </c>
    </row>
    <row r="203">
      <c r="A203" t="n">
        <v>626.0</v>
      </c>
      <c r="B203" s="2" t="n">
        <v>46007.046273148146</v>
      </c>
      <c r="C203" t="inlineStr">
        <is>
          <t>Flat 19 - 3 West Gate</t>
        </is>
      </c>
      <c r="D203" t="inlineStr">
        <is>
          <t>Owner</t>
        </is>
      </c>
      <c r="E203" t="inlineStr">
        <is>
          <t>Landlord Rental Payment</t>
        </is>
      </c>
      <c r="F203" t="inlineStr">
        <is>
          <t>PAYPROP</t>
        </is>
      </c>
      <c r="G203" s="3" t="n">
        <v>675.75</v>
      </c>
      <c r="H203" t="inlineStr">
        <is>
          <t>QZGNwwqb19</t>
        </is>
      </c>
      <c r="I203" s="2" t="n">
        <v>45936.0</v>
      </c>
      <c r="J203" t="inlineStr">
        <is>
          <t>PAID</t>
        </is>
      </c>
    </row>
    <row r="204">
      <c r="A204" t="n">
        <v>625.0</v>
      </c>
      <c r="B204" s="2" t="n">
        <v>46007.046273148146</v>
      </c>
      <c r="C204" t="inlineStr">
        <is>
          <t>Flat 19 - 3 West Gate</t>
        </is>
      </c>
      <c r="D204" t="inlineStr">
        <is>
          <t>Owner</t>
        </is>
      </c>
      <c r="E204" t="inlineStr">
        <is>
          <t>Landlord Rental Payment</t>
        </is>
      </c>
      <c r="F204" t="inlineStr">
        <is>
          <t>PAYPROP</t>
        </is>
      </c>
      <c r="G204" s="3" t="n">
        <v>675.75</v>
      </c>
      <c r="H204" t="inlineStr">
        <is>
          <t>QZGNwwqb19</t>
        </is>
      </c>
      <c r="I204" s="2" t="n">
        <v>45936.0</v>
      </c>
      <c r="J204" t="inlineStr">
        <is>
          <t>PAID</t>
        </is>
      </c>
    </row>
    <row r="205">
      <c r="A205" t="n">
        <v>636.0</v>
      </c>
      <c r="B205" s="2" t="n">
        <v>46007.046273148146</v>
      </c>
      <c r="C205" t="inlineStr">
        <is>
          <t>Flat 19 - 3 West Gate</t>
        </is>
      </c>
      <c r="D205" t="inlineStr">
        <is>
          <t>Owner</t>
        </is>
      </c>
      <c r="E205" t="inlineStr">
        <is>
          <t>Landlord Rental Payment</t>
        </is>
      </c>
      <c r="F205" t="inlineStr">
        <is>
          <t>PAYPROP</t>
        </is>
      </c>
      <c r="G205" s="3" t="n">
        <v>675.75</v>
      </c>
      <c r="H205" t="inlineStr">
        <is>
          <t>G1O4GnbjZM</t>
        </is>
      </c>
      <c r="I205" s="2" t="n">
        <v>45953.0</v>
      </c>
      <c r="J205" t="inlineStr">
        <is>
          <t>PAID</t>
        </is>
      </c>
    </row>
    <row r="206">
      <c r="A206" t="n">
        <v>626.0</v>
      </c>
      <c r="B206" s="2" t="n">
        <v>46007.046273148146</v>
      </c>
      <c r="C206" t="inlineStr">
        <is>
          <t>Flat 19 - 3 West Gate</t>
        </is>
      </c>
      <c r="D206" t="inlineStr">
        <is>
          <t>Owner</t>
        </is>
      </c>
      <c r="E206" t="inlineStr">
        <is>
          <t>Landlord Rental Payment</t>
        </is>
      </c>
      <c r="F206" t="inlineStr">
        <is>
          <t>PAYPROP</t>
        </is>
      </c>
      <c r="G206" s="3" t="n">
        <v>675.75</v>
      </c>
      <c r="H206" t="inlineStr">
        <is>
          <t>G1O4GnbjZM</t>
        </is>
      </c>
      <c r="I206" s="2" t="n">
        <v>45953.0</v>
      </c>
      <c r="J206" t="inlineStr">
        <is>
          <t>PAID</t>
        </is>
      </c>
    </row>
    <row r="207">
      <c r="A207" t="n">
        <v>625.0</v>
      </c>
      <c r="B207" s="2" t="n">
        <v>46007.046273148146</v>
      </c>
      <c r="C207" t="inlineStr">
        <is>
          <t>Flat 19 - 3 West Gate</t>
        </is>
      </c>
      <c r="D207" t="inlineStr">
        <is>
          <t>Owner</t>
        </is>
      </c>
      <c r="E207" t="inlineStr">
        <is>
          <t>Landlord Rental Payment</t>
        </is>
      </c>
      <c r="F207" t="inlineStr">
        <is>
          <t>PAYPROP</t>
        </is>
      </c>
      <c r="G207" s="3" t="n">
        <v>675.75</v>
      </c>
      <c r="H207" t="inlineStr">
        <is>
          <t>QZGNwwqb19</t>
        </is>
      </c>
      <c r="I207" s="2" t="n">
        <v>45936.0</v>
      </c>
      <c r="J207" t="inlineStr">
        <is>
          <t>PAID</t>
        </is>
      </c>
    </row>
    <row r="208">
      <c r="A208" t="n">
        <v>636.0</v>
      </c>
      <c r="B208" s="2" t="n">
        <v>46007.046273148146</v>
      </c>
      <c r="C208" t="inlineStr">
        <is>
          <t>Flat 19 - 3 West Gate</t>
        </is>
      </c>
      <c r="D208" t="inlineStr">
        <is>
          <t>Owner</t>
        </is>
      </c>
      <c r="E208" t="inlineStr">
        <is>
          <t>Landlord Rental Payment</t>
        </is>
      </c>
      <c r="F208" t="inlineStr">
        <is>
          <t>PAYPROP</t>
        </is>
      </c>
      <c r="G208" s="3" t="n">
        <v>675.75</v>
      </c>
      <c r="H208" t="inlineStr">
        <is>
          <t>QZGNwwqb19</t>
        </is>
      </c>
      <c r="I208" s="2" t="n">
        <v>45936.0</v>
      </c>
      <c r="J208" t="inlineStr">
        <is>
          <t>PAID</t>
        </is>
      </c>
    </row>
    <row r="209">
      <c r="A209" t="n">
        <v>625.0</v>
      </c>
      <c r="B209" s="2" t="n">
        <v>46007.046273148146</v>
      </c>
      <c r="C209" t="inlineStr">
        <is>
          <t>Flat 19 - 3 West Gate</t>
        </is>
      </c>
      <c r="D209" t="inlineStr">
        <is>
          <t>Owner</t>
        </is>
      </c>
      <c r="E209" t="inlineStr">
        <is>
          <t>Landlord Rental Payment</t>
        </is>
      </c>
      <c r="F209" t="inlineStr">
        <is>
          <t>PAYPROP</t>
        </is>
      </c>
      <c r="G209" s="3" t="n">
        <v>675.75</v>
      </c>
      <c r="H209" t="inlineStr">
        <is>
          <t>QZGNwwqb19</t>
        </is>
      </c>
      <c r="I209" s="2" t="n">
        <v>45936.0</v>
      </c>
      <c r="J209" t="inlineStr">
        <is>
          <t>PAID</t>
        </is>
      </c>
    </row>
    <row r="210">
      <c r="A210" t="n">
        <v>636.0</v>
      </c>
      <c r="B210" s="2" t="n">
        <v>46007.046273148146</v>
      </c>
      <c r="C210" t="inlineStr">
        <is>
          <t>Flat 19 - 3 West Gate</t>
        </is>
      </c>
      <c r="D210" t="inlineStr">
        <is>
          <t>Owner</t>
        </is>
      </c>
      <c r="E210" t="inlineStr">
        <is>
          <t>Landlord Rental Payment</t>
        </is>
      </c>
      <c r="F210" t="inlineStr">
        <is>
          <t>PAYPROP</t>
        </is>
      </c>
      <c r="G210" s="3" t="n">
        <v>675.75</v>
      </c>
      <c r="H210" t="inlineStr">
        <is>
          <t>QZGNwwqb19</t>
        </is>
      </c>
      <c r="I210" s="2" t="n">
        <v>45936.0</v>
      </c>
      <c r="J210" t="inlineStr">
        <is>
          <t>PAID</t>
        </is>
      </c>
    </row>
    <row r="211">
      <c r="A211" t="n">
        <v>626.0</v>
      </c>
      <c r="B211" s="2" t="n">
        <v>46007.046273148146</v>
      </c>
      <c r="C211" t="inlineStr">
        <is>
          <t>Flat 19 - 3 West Gate</t>
        </is>
      </c>
      <c r="D211" t="inlineStr">
        <is>
          <t>Owner</t>
        </is>
      </c>
      <c r="E211" t="inlineStr">
        <is>
          <t>Landlord Rental Payment</t>
        </is>
      </c>
      <c r="F211" t="inlineStr">
        <is>
          <t>PAYPROP</t>
        </is>
      </c>
      <c r="G211" s="3" t="n">
        <v>675.75</v>
      </c>
      <c r="H211" t="inlineStr">
        <is>
          <t>QZGNwwqb19</t>
        </is>
      </c>
      <c r="I211" s="2" t="n">
        <v>45936.0</v>
      </c>
      <c r="J211" t="inlineStr">
        <is>
          <t>PAID</t>
        </is>
      </c>
    </row>
    <row r="212">
      <c r="A212" t="n">
        <v>625.0</v>
      </c>
      <c r="B212" s="2" t="n">
        <v>46007.046273148146</v>
      </c>
      <c r="C212" t="inlineStr">
        <is>
          <t>Flat 19 - 3 West Gate</t>
        </is>
      </c>
      <c r="D212" t="inlineStr">
        <is>
          <t>Owner</t>
        </is>
      </c>
      <c r="E212" t="inlineStr">
        <is>
          <t>Landlord Rental Payment</t>
        </is>
      </c>
      <c r="F212" t="inlineStr">
        <is>
          <t>PAYPROP</t>
        </is>
      </c>
      <c r="G212" s="3" t="n">
        <v>675.75</v>
      </c>
      <c r="H212" t="inlineStr">
        <is>
          <t>QZGNwwqb19</t>
        </is>
      </c>
      <c r="I212" s="2" t="n">
        <v>45936.0</v>
      </c>
      <c r="J212" t="inlineStr">
        <is>
          <t>PAID</t>
        </is>
      </c>
    </row>
    <row r="213">
      <c r="A213" t="n">
        <v>636.0</v>
      </c>
      <c r="B213" s="2" t="n">
        <v>46007.046273148146</v>
      </c>
      <c r="C213" t="inlineStr">
        <is>
          <t>Flat 19 - 3 West Gate</t>
        </is>
      </c>
      <c r="D213" t="inlineStr">
        <is>
          <t>Owner</t>
        </is>
      </c>
      <c r="E213" t="inlineStr">
        <is>
          <t>Landlord Rental Payment</t>
        </is>
      </c>
      <c r="F213" t="inlineStr">
        <is>
          <t>PAYPROP</t>
        </is>
      </c>
      <c r="G213" s="3" t="n">
        <v>675.75</v>
      </c>
      <c r="H213" t="inlineStr">
        <is>
          <t>QZGNwwqb19</t>
        </is>
      </c>
      <c r="I213" s="2" t="n">
        <v>45936.0</v>
      </c>
      <c r="J213" t="inlineStr">
        <is>
          <t>PAID</t>
        </is>
      </c>
    </row>
    <row r="214">
      <c r="A214" t="n">
        <v>625.0</v>
      </c>
      <c r="B214" s="2" t="n">
        <v>46007.046273148146</v>
      </c>
      <c r="C214" t="inlineStr">
        <is>
          <t>Flat 19 - 3 West Gate</t>
        </is>
      </c>
      <c r="D214" t="inlineStr">
        <is>
          <t>Owner</t>
        </is>
      </c>
      <c r="E214" t="inlineStr">
        <is>
          <t>Landlord Rental Payment</t>
        </is>
      </c>
      <c r="F214" t="inlineStr">
        <is>
          <t>PAYPROP</t>
        </is>
      </c>
      <c r="G214" s="3" t="n">
        <v>675.75</v>
      </c>
      <c r="H214" t="inlineStr">
        <is>
          <t>G1O4GnbjZM</t>
        </is>
      </c>
      <c r="I214" s="2" t="n">
        <v>45953.0</v>
      </c>
      <c r="J214" t="inlineStr">
        <is>
          <t>PAID</t>
        </is>
      </c>
    </row>
    <row r="215">
      <c r="A215" t="n">
        <v>626.0</v>
      </c>
      <c r="B215" s="2" t="n">
        <v>46007.046273148146</v>
      </c>
      <c r="C215" t="inlineStr">
        <is>
          <t>Flat 19 - 3 West Gate</t>
        </is>
      </c>
      <c r="D215" t="inlineStr">
        <is>
          <t>Owner</t>
        </is>
      </c>
      <c r="E215" t="inlineStr">
        <is>
          <t>Landlord Rental Payment</t>
        </is>
      </c>
      <c r="F215" t="inlineStr">
        <is>
          <t>PAYPROP</t>
        </is>
      </c>
      <c r="G215" s="3" t="n">
        <v>675.75</v>
      </c>
      <c r="H215" t="inlineStr">
        <is>
          <t>QZGNwwqb19</t>
        </is>
      </c>
      <c r="I215" s="2" t="n">
        <v>45936.0</v>
      </c>
      <c r="J215" t="inlineStr">
        <is>
          <t>PAID</t>
        </is>
      </c>
    </row>
    <row r="216">
      <c r="A216" t="n">
        <v>636.0</v>
      </c>
      <c r="B216" s="2" t="n">
        <v>46007.046273148146</v>
      </c>
      <c r="C216" t="inlineStr">
        <is>
          <t>Flat 19 - 3 West Gate</t>
        </is>
      </c>
      <c r="D216" t="inlineStr">
        <is>
          <t>Owner</t>
        </is>
      </c>
      <c r="E216" t="inlineStr">
        <is>
          <t>Landlord Rental Payment</t>
        </is>
      </c>
      <c r="F216" t="inlineStr">
        <is>
          <t>PAYPROP</t>
        </is>
      </c>
      <c r="G216" s="3" t="n">
        <v>675.75</v>
      </c>
      <c r="H216" t="inlineStr">
        <is>
          <t>QZGNwwqb19</t>
        </is>
      </c>
      <c r="I216" s="2" t="n">
        <v>45936.0</v>
      </c>
      <c r="J216" t="inlineStr">
        <is>
          <t>PAID</t>
        </is>
      </c>
    </row>
    <row r="217">
      <c r="A217" t="n">
        <v>628.0</v>
      </c>
      <c r="B217" s="2" t="n">
        <v>46007.046273148146</v>
      </c>
      <c r="C217" t="inlineStr">
        <is>
          <t>Flat 20 - 3 West Gate</t>
        </is>
      </c>
      <c r="D217" t="inlineStr">
        <is>
          <t>Owner</t>
        </is>
      </c>
      <c r="E217" t="inlineStr">
        <is>
          <t>Landlord Rental Payment</t>
        </is>
      </c>
      <c r="F217" t="inlineStr">
        <is>
          <t>PAYPROP</t>
        </is>
      </c>
      <c r="G217" s="3" t="n">
        <v>595.0</v>
      </c>
      <c r="H217" t="inlineStr">
        <is>
          <t>QZGNwwqb19</t>
        </is>
      </c>
      <c r="I217" s="2" t="n">
        <v>45936.0</v>
      </c>
      <c r="J217" t="inlineStr">
        <is>
          <t>PAID</t>
        </is>
      </c>
    </row>
    <row r="218">
      <c r="A218" t="n">
        <v>624.0</v>
      </c>
      <c r="B218" s="2" t="n">
        <v>46007.046273148146</v>
      </c>
      <c r="C218" t="inlineStr">
        <is>
          <t>Flat 22 - 3 West Gate</t>
        </is>
      </c>
      <c r="D218" t="inlineStr">
        <is>
          <t>Owner</t>
        </is>
      </c>
      <c r="E218" t="inlineStr">
        <is>
          <t>Landlord Rental Payment</t>
        </is>
      </c>
      <c r="F218" t="inlineStr">
        <is>
          <t>PAYPROP</t>
        </is>
      </c>
      <c r="G218" s="3" t="n">
        <v>629.0</v>
      </c>
      <c r="H218" t="inlineStr">
        <is>
          <t>QZGNwwqb19</t>
        </is>
      </c>
      <c r="I218" s="2" t="n">
        <v>45936.0</v>
      </c>
      <c r="J218" t="inlineStr">
        <is>
          <t>PAID</t>
        </is>
      </c>
    </row>
    <row r="219">
      <c r="A219" t="n">
        <v>672.0</v>
      </c>
      <c r="B219" s="2" t="n">
        <v>46007.046273148146</v>
      </c>
      <c r="C219" t="inlineStr">
        <is>
          <t>Flat 24 - 3 West Gate</t>
        </is>
      </c>
      <c r="D219" t="inlineStr">
        <is>
          <t>Owner</t>
        </is>
      </c>
      <c r="E219" t="inlineStr">
        <is>
          <t>Landlord Rental Payment</t>
        </is>
      </c>
      <c r="F219" t="inlineStr">
        <is>
          <t>PAYPROP</t>
        </is>
      </c>
      <c r="G219" s="3" t="n">
        <v>688.5</v>
      </c>
      <c r="H219" t="inlineStr">
        <is>
          <t>G1O4GnbjZM</t>
        </is>
      </c>
      <c r="I219" s="2" t="n">
        <v>45953.0</v>
      </c>
      <c r="J219" t="inlineStr">
        <is>
          <t>PAID</t>
        </is>
      </c>
    </row>
    <row r="220">
      <c r="A220" t="n">
        <v>680.0</v>
      </c>
      <c r="B220" s="2" t="n">
        <v>46007.046273148146</v>
      </c>
      <c r="C220" t="inlineStr">
        <is>
          <t>Flat 25 - 3 West Gate</t>
        </is>
      </c>
      <c r="D220" t="inlineStr">
        <is>
          <t>Owner</t>
        </is>
      </c>
      <c r="E220" t="inlineStr">
        <is>
          <t>Landlord Rental Payment</t>
        </is>
      </c>
      <c r="F220" t="inlineStr">
        <is>
          <t>PAYPROP</t>
        </is>
      </c>
      <c r="G220" s="3" t="n">
        <v>650.25</v>
      </c>
      <c r="H220" t="inlineStr">
        <is>
          <t>G1O4GnbjZM</t>
        </is>
      </c>
      <c r="I220" s="2" t="n">
        <v>45953.0</v>
      </c>
      <c r="J220" t="inlineStr">
        <is>
          <t>PAID</t>
        </is>
      </c>
    </row>
    <row r="221">
      <c r="A221" t="n">
        <v>631.0</v>
      </c>
      <c r="B221" s="2" t="n">
        <v>46007.046273148146</v>
      </c>
      <c r="C221" t="inlineStr">
        <is>
          <t>Flat 27 - 3 West Gate</t>
        </is>
      </c>
      <c r="D221" t="inlineStr">
        <is>
          <t>Owner</t>
        </is>
      </c>
      <c r="E221" t="inlineStr">
        <is>
          <t>Landlord Rental Payment</t>
        </is>
      </c>
      <c r="F221" t="inlineStr">
        <is>
          <t>PAYPROP</t>
        </is>
      </c>
      <c r="G221" s="3" t="n">
        <v>595.0</v>
      </c>
      <c r="H221" t="inlineStr">
        <is>
          <t>QZGNwwqb19</t>
        </is>
      </c>
      <c r="I221" s="2" t="n">
        <v>45936.0</v>
      </c>
      <c r="J221" t="inlineStr">
        <is>
          <t>PAID</t>
        </is>
      </c>
    </row>
    <row r="222">
      <c r="A222" t="n">
        <v>634.0</v>
      </c>
      <c r="B222" s="2" t="n">
        <v>46007.046273148146</v>
      </c>
      <c r="C222" t="inlineStr">
        <is>
          <t>Flat 29 - 3 West Gate</t>
        </is>
      </c>
      <c r="D222" t="inlineStr">
        <is>
          <t>Owner</t>
        </is>
      </c>
      <c r="E222" t="inlineStr">
        <is>
          <t>Landlord Rental Payment</t>
        </is>
      </c>
      <c r="F222" t="inlineStr">
        <is>
          <t>PAYPROP</t>
        </is>
      </c>
      <c r="G222" s="3" t="n">
        <v>629.0</v>
      </c>
      <c r="H222" t="inlineStr">
        <is>
          <t>QZGNwwqb19</t>
        </is>
      </c>
      <c r="I222" s="2" t="n">
        <v>45936.0</v>
      </c>
      <c r="J222" t="inlineStr">
        <is>
          <t>PAID</t>
        </is>
      </c>
    </row>
    <row r="223">
      <c r="A223" t="n">
        <v>639.0</v>
      </c>
      <c r="B223" s="2" t="n">
        <v>46007.046273148146</v>
      </c>
      <c r="C223" t="inlineStr">
        <is>
          <t>Flat 4 - 3 West Gate</t>
        </is>
      </c>
      <c r="D223" t="inlineStr">
        <is>
          <t>Owner</t>
        </is>
      </c>
      <c r="E223" t="inlineStr">
        <is>
          <t>Landlord Rental Payment</t>
        </is>
      </c>
      <c r="F223" t="inlineStr">
        <is>
          <t>PAYPROP</t>
        </is>
      </c>
      <c r="G223" s="3" t="n">
        <v>726.75</v>
      </c>
      <c r="H223" t="inlineStr">
        <is>
          <t>QZGNwwqb19</t>
        </is>
      </c>
      <c r="I223" s="2" t="n">
        <v>45936.0</v>
      </c>
      <c r="J223" t="inlineStr">
        <is>
          <t>PAID</t>
        </is>
      </c>
    </row>
    <row r="224">
      <c r="A224" t="n">
        <v>630.0</v>
      </c>
      <c r="B224" s="2" t="n">
        <v>46007.046273148146</v>
      </c>
      <c r="C224" t="inlineStr">
        <is>
          <t>Flat 8 - 3 West Gate</t>
        </is>
      </c>
      <c r="D224" t="inlineStr">
        <is>
          <t>Owner</t>
        </is>
      </c>
      <c r="E224" t="inlineStr">
        <is>
          <t>Landlord Rental Payment</t>
        </is>
      </c>
      <c r="F224" t="inlineStr">
        <is>
          <t>PAYPROP</t>
        </is>
      </c>
      <c r="G224" s="3" t="n">
        <v>624.75</v>
      </c>
      <c r="H224" t="inlineStr">
        <is>
          <t>QZGNwwqb19</t>
        </is>
      </c>
      <c r="I224" s="2" t="n">
        <v>45936.0</v>
      </c>
      <c r="J224" t="inlineStr">
        <is>
          <t>PAID</t>
        </is>
      </c>
    </row>
    <row r="225">
      <c r="A225" t="n">
        <v>629.0</v>
      </c>
      <c r="B225" s="2" t="n">
        <v>46007.046273148146</v>
      </c>
      <c r="C225" t="inlineStr">
        <is>
          <t>Flat 9 - 3 West Gate</t>
        </is>
      </c>
      <c r="D225" t="inlineStr">
        <is>
          <t>Owner</t>
        </is>
      </c>
      <c r="E225" t="inlineStr">
        <is>
          <t>Landlord Rental Payment</t>
        </is>
      </c>
      <c r="F225" t="inlineStr">
        <is>
          <t>PAYPROP</t>
        </is>
      </c>
      <c r="G225" s="3" t="n">
        <v>595.0</v>
      </c>
      <c r="H225" t="inlineStr">
        <is>
          <t>QZGNwwqb19</t>
        </is>
      </c>
      <c r="I225" s="2" t="n">
        <v>45936.0</v>
      </c>
      <c r="J225" t="inlineStr">
        <is>
          <t>PAID</t>
        </is>
      </c>
    </row>
    <row r="226">
      <c r="A226" t="n">
        <v>621.0</v>
      </c>
      <c r="B226" s="2" t="n">
        <v>46007.04628472222</v>
      </c>
      <c r="C226" t="inlineStr">
        <is>
          <t>Apartment F - Knighton Hayes Manor</t>
        </is>
      </c>
      <c r="D226" t="inlineStr">
        <is>
          <t>Owner</t>
        </is>
      </c>
      <c r="E226" t="inlineStr">
        <is>
          <t>Landlord Rental Payment</t>
        </is>
      </c>
      <c r="F226" t="inlineStr">
        <is>
          <t>PAYPROP</t>
        </is>
      </c>
      <c r="G226" s="3" t="n">
        <v>1012.5</v>
      </c>
      <c r="H226" t="inlineStr">
        <is>
          <t>QZGNwwqb19</t>
        </is>
      </c>
      <c r="I226" s="2" t="n">
        <v>45936.0</v>
      </c>
      <c r="J226" t="inlineStr">
        <is>
          <t>PAID</t>
        </is>
      </c>
    </row>
    <row r="227">
      <c r="A227" t="n">
        <v>614.0</v>
      </c>
      <c r="B227" s="2" t="n">
        <v>46007.04628472222</v>
      </c>
      <c r="C227" t="inlineStr">
        <is>
          <t>Flat 10 - 3 West Gate</t>
        </is>
      </c>
      <c r="D227" t="inlineStr">
        <is>
          <t>Owner</t>
        </is>
      </c>
      <c r="E227" t="inlineStr">
        <is>
          <t>Landlord Rental Payment</t>
        </is>
      </c>
      <c r="F227" t="inlineStr">
        <is>
          <t>PAYPROP</t>
        </is>
      </c>
      <c r="G227" s="3" t="n">
        <v>410.72</v>
      </c>
      <c r="H227" t="inlineStr">
        <is>
          <t>2Xlz4lYnZe</t>
        </is>
      </c>
      <c r="I227" s="2" t="n">
        <v>45919.0</v>
      </c>
      <c r="J227" t="inlineStr">
        <is>
          <t>PAID</t>
        </is>
      </c>
    </row>
    <row r="228">
      <c r="A228" t="n">
        <v>615.0</v>
      </c>
      <c r="B228" s="2" t="n">
        <v>46007.04628472222</v>
      </c>
      <c r="C228" t="inlineStr">
        <is>
          <t>Flat 10 - 3 West Gate</t>
        </is>
      </c>
      <c r="D228" t="inlineStr">
        <is>
          <t>Owner</t>
        </is>
      </c>
      <c r="E228" t="inlineStr">
        <is>
          <t>Landlord Rental Payment</t>
        </is>
      </c>
      <c r="F228" t="inlineStr">
        <is>
          <t>PAYPROP</t>
        </is>
      </c>
      <c r="G228" s="3" t="n">
        <v>675.75</v>
      </c>
      <c r="H228" t="inlineStr">
        <is>
          <t>2Xlz4lYnZe</t>
        </is>
      </c>
      <c r="I228" s="2" t="n">
        <v>45919.0</v>
      </c>
      <c r="J228" t="inlineStr">
        <is>
          <t>PAID</t>
        </is>
      </c>
    </row>
    <row r="229">
      <c r="A229" t="n">
        <v>610.0</v>
      </c>
      <c r="B229" s="2" t="n">
        <v>46007.04628472222</v>
      </c>
      <c r="C229" t="inlineStr">
        <is>
          <t>Flat 13 - 3 West Gate</t>
        </is>
      </c>
      <c r="D229" t="inlineStr">
        <is>
          <t>Owner</t>
        </is>
      </c>
      <c r="E229" t="inlineStr">
        <is>
          <t>Landlord Rental Payment</t>
        </is>
      </c>
      <c r="F229" t="inlineStr">
        <is>
          <t>PAYPROP</t>
        </is>
      </c>
      <c r="G229" s="3" t="n">
        <v>680.0</v>
      </c>
      <c r="H229" t="inlineStr">
        <is>
          <t>2Xlz4lYnZe</t>
        </is>
      </c>
      <c r="I229" s="2" t="n">
        <v>45919.0</v>
      </c>
      <c r="J229" t="inlineStr">
        <is>
          <t>PAID</t>
        </is>
      </c>
    </row>
    <row r="230">
      <c r="A230" t="n">
        <v>619.0</v>
      </c>
      <c r="B230" s="2" t="n">
        <v>46007.04628472222</v>
      </c>
      <c r="C230" t="inlineStr">
        <is>
          <t>Flat 15 - 3 West Gate</t>
        </is>
      </c>
      <c r="D230" t="inlineStr">
        <is>
          <t>Owner</t>
        </is>
      </c>
      <c r="E230" t="inlineStr">
        <is>
          <t>Landlord Rental Payment</t>
        </is>
      </c>
      <c r="F230" t="inlineStr">
        <is>
          <t>PAYPROP</t>
        </is>
      </c>
      <c r="G230" s="3" t="n">
        <v>629.0</v>
      </c>
      <c r="H230" t="inlineStr">
        <is>
          <t>2Xlz4lYnZe</t>
        </is>
      </c>
      <c r="I230" s="2" t="n">
        <v>45919.0</v>
      </c>
      <c r="J230" t="inlineStr">
        <is>
          <t>PAID</t>
        </is>
      </c>
    </row>
    <row r="231">
      <c r="A231" t="n">
        <v>622.0</v>
      </c>
      <c r="B231" s="2" t="n">
        <v>46007.04628472222</v>
      </c>
      <c r="C231" t="inlineStr">
        <is>
          <t>Flat 17 - 3 West Gate</t>
        </is>
      </c>
      <c r="D231" t="inlineStr">
        <is>
          <t>Owner</t>
        </is>
      </c>
      <c r="E231" t="inlineStr">
        <is>
          <t>Landlord Rental Payment</t>
        </is>
      </c>
      <c r="F231" t="inlineStr">
        <is>
          <t>PAYPROP</t>
        </is>
      </c>
      <c r="G231" s="3" t="n">
        <v>595.0</v>
      </c>
      <c r="H231" t="inlineStr">
        <is>
          <t>QZGNwwqb19</t>
        </is>
      </c>
      <c r="I231" s="2" t="n">
        <v>45936.0</v>
      </c>
      <c r="J231" t="inlineStr">
        <is>
          <t>PAID</t>
        </is>
      </c>
    </row>
    <row r="232">
      <c r="A232" t="n">
        <v>616.0</v>
      </c>
      <c r="B232" s="2" t="n">
        <v>46007.04628472222</v>
      </c>
      <c r="C232" t="inlineStr">
        <is>
          <t>Flat 18 - 3 West Gate</t>
        </is>
      </c>
      <c r="D232" t="inlineStr">
        <is>
          <t>Owner</t>
        </is>
      </c>
      <c r="E232" t="inlineStr">
        <is>
          <t>Landlord Rental Payment</t>
        </is>
      </c>
      <c r="F232" t="inlineStr">
        <is>
          <t>PAYPROP</t>
        </is>
      </c>
      <c r="G232" s="3" t="n">
        <v>726.75</v>
      </c>
      <c r="H232" t="inlineStr">
        <is>
          <t>2Xlz4lYnZe</t>
        </is>
      </c>
      <c r="I232" s="2" t="n">
        <v>45919.0</v>
      </c>
      <c r="J232" t="inlineStr">
        <is>
          <t>PAID</t>
        </is>
      </c>
    </row>
    <row r="233">
      <c r="A233" t="n">
        <v>617.0</v>
      </c>
      <c r="B233" s="2" t="n">
        <v>46007.04628472222</v>
      </c>
      <c r="C233" t="inlineStr">
        <is>
          <t>Flat 21 - 3 West Gate</t>
        </is>
      </c>
      <c r="D233" t="inlineStr">
        <is>
          <t>Owner</t>
        </is>
      </c>
      <c r="E233" t="inlineStr">
        <is>
          <t>Landlord Rental Payment</t>
        </is>
      </c>
      <c r="F233" t="inlineStr">
        <is>
          <t>PAYPROP</t>
        </is>
      </c>
      <c r="G233" s="3" t="n">
        <v>675.75</v>
      </c>
      <c r="H233" t="inlineStr">
        <is>
          <t>2Xlz4lYnZe</t>
        </is>
      </c>
      <c r="I233" s="2" t="n">
        <v>45919.0</v>
      </c>
      <c r="J233" t="inlineStr">
        <is>
          <t>PAID</t>
        </is>
      </c>
    </row>
    <row r="234">
      <c r="A234" t="n">
        <v>623.0</v>
      </c>
      <c r="B234" s="2" t="n">
        <v>46007.04628472222</v>
      </c>
      <c r="C234" t="inlineStr">
        <is>
          <t>Flat 23 - 3 West Gate</t>
        </is>
      </c>
      <c r="D234" t="inlineStr">
        <is>
          <t>Owner</t>
        </is>
      </c>
      <c r="E234" t="inlineStr">
        <is>
          <t>Landlord Rental Payment</t>
        </is>
      </c>
      <c r="F234" t="inlineStr">
        <is>
          <t>PAYPROP</t>
        </is>
      </c>
      <c r="G234" s="3" t="n">
        <v>675.75</v>
      </c>
      <c r="H234" t="inlineStr">
        <is>
          <t>QZGNwwqb19</t>
        </is>
      </c>
      <c r="I234" s="2" t="n">
        <v>45936.0</v>
      </c>
      <c r="J234" t="inlineStr">
        <is>
          <t>PAID</t>
        </is>
      </c>
    </row>
    <row r="235">
      <c r="A235" t="n">
        <v>613.0</v>
      </c>
      <c r="B235" s="2" t="n">
        <v>46007.04628472222</v>
      </c>
      <c r="C235" t="inlineStr">
        <is>
          <t>Flat 23 - 3 West Gate</t>
        </is>
      </c>
      <c r="D235" t="inlineStr">
        <is>
          <t>Owner</t>
        </is>
      </c>
      <c r="E235" t="inlineStr">
        <is>
          <t>Landlord Rental Payment</t>
        </is>
      </c>
      <c r="F235" t="inlineStr">
        <is>
          <t>PAYPROP</t>
        </is>
      </c>
      <c r="G235" s="3" t="n">
        <v>675.75</v>
      </c>
      <c r="H235" t="inlineStr">
        <is>
          <t>2Xlz4lYnZe</t>
        </is>
      </c>
      <c r="I235" s="2" t="n">
        <v>45919.0</v>
      </c>
      <c r="J235" t="inlineStr">
        <is>
          <t>PAID</t>
        </is>
      </c>
    </row>
    <row r="236">
      <c r="A236" t="n">
        <v>620.0</v>
      </c>
      <c r="B236" s="2" t="n">
        <v>46007.04628472222</v>
      </c>
      <c r="C236" t="inlineStr">
        <is>
          <t>Flat 24 - 3 West Gate</t>
        </is>
      </c>
      <c r="D236" t="inlineStr">
        <is>
          <t>Owner</t>
        </is>
      </c>
      <c r="E236" t="inlineStr">
        <is>
          <t>Landlord Rental Payment</t>
        </is>
      </c>
      <c r="F236" t="inlineStr">
        <is>
          <t>PAYPROP</t>
        </is>
      </c>
      <c r="G236" s="3" t="n">
        <v>688.5</v>
      </c>
      <c r="H236" t="inlineStr">
        <is>
          <t>2Xlz4lYnZe</t>
        </is>
      </c>
      <c r="I236" s="2" t="n">
        <v>45919.0</v>
      </c>
      <c r="J236" t="inlineStr">
        <is>
          <t>PAID</t>
        </is>
      </c>
    </row>
    <row r="237">
      <c r="A237" t="n">
        <v>632.0</v>
      </c>
      <c r="B237" s="2" t="n">
        <v>46007.04628472222</v>
      </c>
      <c r="C237" t="inlineStr">
        <is>
          <t>Flat 25 - 3 West Gate</t>
        </is>
      </c>
      <c r="D237" t="inlineStr">
        <is>
          <t>Owner</t>
        </is>
      </c>
      <c r="E237" t="inlineStr">
        <is>
          <t>Landlord Rental Payment</t>
        </is>
      </c>
      <c r="F237" t="inlineStr">
        <is>
          <t>PAYPROP</t>
        </is>
      </c>
      <c r="G237" s="3" t="n">
        <v>658.75</v>
      </c>
      <c r="H237" t="inlineStr">
        <is>
          <t>QZGNwwqb19</t>
        </is>
      </c>
      <c r="I237" s="2" t="n">
        <v>45936.0</v>
      </c>
      <c r="J237" t="inlineStr">
        <is>
          <t>PAID</t>
        </is>
      </c>
    </row>
    <row r="238">
      <c r="A238" t="n">
        <v>605.0</v>
      </c>
      <c r="B238" s="2" t="n">
        <v>46007.04628472222</v>
      </c>
      <c r="C238" t="inlineStr">
        <is>
          <t>Flat 27 - 3 West Gate</t>
        </is>
      </c>
      <c r="D238" t="inlineStr">
        <is>
          <t>Owner</t>
        </is>
      </c>
      <c r="E238" t="inlineStr">
        <is>
          <t>Landlord Rental Payment</t>
        </is>
      </c>
      <c r="F238" t="inlineStr">
        <is>
          <t>PAYPROP</t>
        </is>
      </c>
      <c r="G238" s="3" t="n">
        <v>595.0</v>
      </c>
      <c r="H238" t="inlineStr">
        <is>
          <t>2Xlz4lYnZe</t>
        </is>
      </c>
      <c r="I238" s="2" t="n">
        <v>45919.0</v>
      </c>
      <c r="J238" t="inlineStr">
        <is>
          <t>PAID</t>
        </is>
      </c>
    </row>
    <row r="239">
      <c r="A239" t="n">
        <v>601.0</v>
      </c>
      <c r="B239" s="2" t="n">
        <v>46007.04628472222</v>
      </c>
      <c r="C239" t="inlineStr">
        <is>
          <t>Flat 29 - 3 West Gate</t>
        </is>
      </c>
      <c r="D239" t="inlineStr">
        <is>
          <t>Owner</t>
        </is>
      </c>
      <c r="E239" t="inlineStr">
        <is>
          <t>Landlord Rental Payment</t>
        </is>
      </c>
      <c r="F239" t="inlineStr">
        <is>
          <t>PAYPROP</t>
        </is>
      </c>
      <c r="G239" s="3" t="n">
        <v>629.0</v>
      </c>
      <c r="H239" t="inlineStr">
        <is>
          <t>2Xlz4lYnZe</t>
        </is>
      </c>
      <c r="I239" s="2" t="n">
        <v>45919.0</v>
      </c>
      <c r="J239" t="inlineStr">
        <is>
          <t>PAID</t>
        </is>
      </c>
    </row>
    <row r="240">
      <c r="A240" t="n">
        <v>609.0</v>
      </c>
      <c r="B240" s="2" t="n">
        <v>46007.04628472222</v>
      </c>
      <c r="C240" t="inlineStr">
        <is>
          <t>Flat 4 - 3 West Gate</t>
        </is>
      </c>
      <c r="D240" t="inlineStr">
        <is>
          <t>Owner</t>
        </is>
      </c>
      <c r="E240" t="inlineStr">
        <is>
          <t>Landlord Rental Payment</t>
        </is>
      </c>
      <c r="F240" t="inlineStr">
        <is>
          <t>PAYPROP</t>
        </is>
      </c>
      <c r="G240" s="3" t="n">
        <v>726.75</v>
      </c>
      <c r="H240" t="inlineStr">
        <is>
          <t>2Xlz4lYnZe</t>
        </is>
      </c>
      <c r="I240" s="2" t="n">
        <v>45919.0</v>
      </c>
      <c r="J240" t="inlineStr">
        <is>
          <t>PAID</t>
        </is>
      </c>
    </row>
    <row r="241">
      <c r="A241" t="n">
        <v>618.0</v>
      </c>
      <c r="B241" s="2" t="n">
        <v>46007.04628472222</v>
      </c>
      <c r="C241" t="inlineStr">
        <is>
          <t>Flat 5 - 3 West Gate</t>
        </is>
      </c>
      <c r="D241" t="inlineStr">
        <is>
          <t>Owner</t>
        </is>
      </c>
      <c r="E241" t="inlineStr">
        <is>
          <t>Landlord Rental Payment</t>
        </is>
      </c>
      <c r="F241" t="inlineStr">
        <is>
          <t>PAYPROP</t>
        </is>
      </c>
      <c r="G241" s="3" t="n">
        <v>629.0</v>
      </c>
      <c r="H241" t="inlineStr">
        <is>
          <t>2Xlz4lYnZe</t>
        </is>
      </c>
      <c r="I241" s="2" t="n">
        <v>45919.0</v>
      </c>
      <c r="J241" t="inlineStr">
        <is>
          <t>PAID</t>
        </is>
      </c>
    </row>
    <row r="242">
      <c r="A242" t="n">
        <v>633.0</v>
      </c>
      <c r="B242" s="2" t="n">
        <v>46007.04628472222</v>
      </c>
      <c r="C242" t="inlineStr">
        <is>
          <t>Flat 6 - 3 West Gate</t>
        </is>
      </c>
      <c r="D242" t="inlineStr">
        <is>
          <t>Owner</t>
        </is>
      </c>
      <c r="E242" t="inlineStr">
        <is>
          <t>Landlord Rental Payment</t>
        </is>
      </c>
      <c r="F242" t="inlineStr">
        <is>
          <t>PAYPROP</t>
        </is>
      </c>
      <c r="G242" s="3" t="n">
        <v>629.0</v>
      </c>
      <c r="H242" t="inlineStr">
        <is>
          <t>QZGNwwqb19</t>
        </is>
      </c>
      <c r="I242" s="2" t="n">
        <v>45936.0</v>
      </c>
      <c r="J242" t="inlineStr">
        <is>
          <t>PAID</t>
        </is>
      </c>
    </row>
    <row r="243">
      <c r="A243" t="n">
        <v>611.0</v>
      </c>
      <c r="B243" s="2" t="n">
        <v>46007.04628472222</v>
      </c>
      <c r="C243" t="inlineStr">
        <is>
          <t>Flat 8 - 3 West Gate</t>
        </is>
      </c>
      <c r="D243" t="inlineStr">
        <is>
          <t>Owner</t>
        </is>
      </c>
      <c r="E243" t="inlineStr">
        <is>
          <t>Landlord Rental Payment</t>
        </is>
      </c>
      <c r="F243" t="inlineStr">
        <is>
          <t>PAYPROP</t>
        </is>
      </c>
      <c r="G243" s="3" t="n">
        <v>624.75</v>
      </c>
      <c r="H243" t="inlineStr">
        <is>
          <t>2Xlz4lYnZe</t>
        </is>
      </c>
      <c r="I243" s="2" t="n">
        <v>45919.0</v>
      </c>
      <c r="J243" t="inlineStr">
        <is>
          <t>PAID</t>
        </is>
      </c>
    </row>
    <row r="244">
      <c r="A244" t="n">
        <v>592.0</v>
      </c>
      <c r="B244" s="2" t="n">
        <v>46007.0462962963</v>
      </c>
      <c r="C244" t="inlineStr">
        <is>
          <t>Apartment F - Knighton Hayes Manor</t>
        </is>
      </c>
      <c r="D244" t="inlineStr">
        <is>
          <t>Owner</t>
        </is>
      </c>
      <c r="E244" t="inlineStr">
        <is>
          <t>Landlord Rental Payment</t>
        </is>
      </c>
      <c r="F244" t="inlineStr">
        <is>
          <t>PAYPROP</t>
        </is>
      </c>
      <c r="G244" s="3" t="n">
        <v>1012.5</v>
      </c>
      <c r="H244" t="inlineStr">
        <is>
          <t>LJMK7Oyo1q</t>
        </is>
      </c>
      <c r="I244" s="2" t="n">
        <v>45891.0</v>
      </c>
      <c r="J244" t="inlineStr">
        <is>
          <t>PAID</t>
        </is>
      </c>
    </row>
    <row r="245">
      <c r="A245" t="n">
        <v>600.0</v>
      </c>
      <c r="B245" s="2" t="n">
        <v>46007.0462962963</v>
      </c>
      <c r="C245" t="inlineStr">
        <is>
          <t>Flat 11 - 3 West Gate</t>
        </is>
      </c>
      <c r="D245" t="inlineStr">
        <is>
          <t>Owner</t>
        </is>
      </c>
      <c r="E245" t="inlineStr">
        <is>
          <t>Landlord Rental Payment</t>
        </is>
      </c>
      <c r="F245" t="inlineStr">
        <is>
          <t>PAYPROP</t>
        </is>
      </c>
      <c r="G245" s="3" t="n">
        <v>675.75</v>
      </c>
      <c r="H245" t="inlineStr">
        <is>
          <t>2Xlz4lYnZe</t>
        </is>
      </c>
      <c r="I245" s="2" t="n">
        <v>45919.0</v>
      </c>
      <c r="J245" t="inlineStr">
        <is>
          <t>PAID</t>
        </is>
      </c>
    </row>
    <row r="246">
      <c r="A246" t="n">
        <v>582.0</v>
      </c>
      <c r="B246" s="2" t="n">
        <v>46007.0462962963</v>
      </c>
      <c r="C246" t="inlineStr">
        <is>
          <t>Flat 12 - 3 West Gate</t>
        </is>
      </c>
      <c r="D246" t="inlineStr">
        <is>
          <t>Owner</t>
        </is>
      </c>
      <c r="E246" t="inlineStr">
        <is>
          <t>Landlord Rental Payment</t>
        </is>
      </c>
      <c r="F246" t="inlineStr">
        <is>
          <t>PAYPROP</t>
        </is>
      </c>
      <c r="G246" s="3" t="n">
        <v>4834.2</v>
      </c>
      <c r="H246" t="inlineStr">
        <is>
          <t>LJMK7Oyo1q</t>
        </is>
      </c>
      <c r="I246" s="2" t="n">
        <v>45891.0</v>
      </c>
      <c r="J246" t="inlineStr">
        <is>
          <t>PAID</t>
        </is>
      </c>
    </row>
    <row r="247">
      <c r="A247" t="n">
        <v>584.0</v>
      </c>
      <c r="B247" s="2" t="n">
        <v>46007.0462962963</v>
      </c>
      <c r="C247" t="inlineStr">
        <is>
          <t>Flat 13 - 3 West Gate</t>
        </is>
      </c>
      <c r="D247" t="inlineStr">
        <is>
          <t>Owner</t>
        </is>
      </c>
      <c r="E247" t="inlineStr">
        <is>
          <t>Landlord Rental Payment</t>
        </is>
      </c>
      <c r="F247" t="inlineStr">
        <is>
          <t>PAYPROP</t>
        </is>
      </c>
      <c r="G247" s="3" t="n">
        <v>680.0</v>
      </c>
      <c r="H247" t="inlineStr">
        <is>
          <t>LJMK7Oyo1q</t>
        </is>
      </c>
      <c r="I247" s="2" t="n">
        <v>45891.0</v>
      </c>
      <c r="J247" t="inlineStr">
        <is>
          <t>PAID</t>
        </is>
      </c>
    </row>
    <row r="248">
      <c r="A248" t="n">
        <v>596.0</v>
      </c>
      <c r="B248" s="2" t="n">
        <v>46007.0462962963</v>
      </c>
      <c r="C248" t="inlineStr">
        <is>
          <t>Flat 15 - 3 West Gate</t>
        </is>
      </c>
      <c r="D248" t="inlineStr">
        <is>
          <t>Owner</t>
        </is>
      </c>
      <c r="E248" t="inlineStr">
        <is>
          <t>Landlord Rental Payment</t>
        </is>
      </c>
      <c r="F248" t="inlineStr">
        <is>
          <t>PAYPROP</t>
        </is>
      </c>
      <c r="G248" s="3" t="n">
        <v>629.0</v>
      </c>
      <c r="H248" t="inlineStr">
        <is>
          <t>LJMK7Oyo1q</t>
        </is>
      </c>
      <c r="I248" s="2" t="n">
        <v>45891.0</v>
      </c>
      <c r="J248" t="inlineStr">
        <is>
          <t>PAID</t>
        </is>
      </c>
    </row>
    <row r="249">
      <c r="A249" t="n">
        <v>599.0</v>
      </c>
      <c r="B249" s="2" t="n">
        <v>46007.0462962963</v>
      </c>
      <c r="C249" t="inlineStr">
        <is>
          <t>Flat 16 - 3 West Gate</t>
        </is>
      </c>
      <c r="D249" t="inlineStr">
        <is>
          <t>Owner</t>
        </is>
      </c>
      <c r="E249" t="inlineStr">
        <is>
          <t>Landlord Rental Payment</t>
        </is>
      </c>
      <c r="F249" t="inlineStr">
        <is>
          <t>PAYPROP</t>
        </is>
      </c>
      <c r="G249" s="3" t="n">
        <v>496.31</v>
      </c>
      <c r="H249" t="inlineStr">
        <is>
          <t>LJMK7Oyo1q</t>
        </is>
      </c>
      <c r="I249" s="2" t="n">
        <v>45891.0</v>
      </c>
      <c r="J249" t="inlineStr">
        <is>
          <t>PAID</t>
        </is>
      </c>
    </row>
    <row r="250">
      <c r="A250" t="n">
        <v>594.0</v>
      </c>
      <c r="B250" s="2" t="n">
        <v>46007.0462962963</v>
      </c>
      <c r="C250" t="inlineStr">
        <is>
          <t>Flat 17 - 3 West Gate</t>
        </is>
      </c>
      <c r="D250" t="inlineStr">
        <is>
          <t>Owner</t>
        </is>
      </c>
      <c r="E250" t="inlineStr">
        <is>
          <t>Landlord Rental Payment</t>
        </is>
      </c>
      <c r="F250" t="inlineStr">
        <is>
          <t>PAYPROP</t>
        </is>
      </c>
      <c r="G250" s="3" t="n">
        <v>595.0</v>
      </c>
      <c r="H250" t="inlineStr">
        <is>
          <t>LJMK7Oyo1q</t>
        </is>
      </c>
      <c r="I250" s="2" t="n">
        <v>45891.0</v>
      </c>
      <c r="J250" t="inlineStr">
        <is>
          <t>PAID</t>
        </is>
      </c>
    </row>
    <row r="251">
      <c r="A251" t="n">
        <v>598.0</v>
      </c>
      <c r="B251" s="2" t="n">
        <v>46007.0462962963</v>
      </c>
      <c r="C251" t="inlineStr">
        <is>
          <t>Flat 18 - 3 West Gate</t>
        </is>
      </c>
      <c r="D251" t="inlineStr">
        <is>
          <t>Owner</t>
        </is>
      </c>
      <c r="E251" t="inlineStr">
        <is>
          <t>Landlord Rental Payment</t>
        </is>
      </c>
      <c r="F251" t="inlineStr">
        <is>
          <t>PAYPROP</t>
        </is>
      </c>
      <c r="G251" s="3" t="n">
        <v>726.75</v>
      </c>
      <c r="H251" t="inlineStr">
        <is>
          <t>LJMK7Oyo1q</t>
        </is>
      </c>
      <c r="I251" s="2" t="n">
        <v>45891.0</v>
      </c>
      <c r="J251" t="inlineStr">
        <is>
          <t>PAID</t>
        </is>
      </c>
    </row>
    <row r="252">
      <c r="A252" t="n">
        <v>608.0</v>
      </c>
      <c r="B252" s="2" t="n">
        <v>46007.0462962963</v>
      </c>
      <c r="C252" t="inlineStr">
        <is>
          <t>Flat 20 - 3 West Gate</t>
        </is>
      </c>
      <c r="D252" t="inlineStr">
        <is>
          <t>Owner</t>
        </is>
      </c>
      <c r="E252" t="inlineStr">
        <is>
          <t>Landlord Rental Payment</t>
        </is>
      </c>
      <c r="F252" t="inlineStr">
        <is>
          <t>PAYPROP</t>
        </is>
      </c>
      <c r="G252" s="3" t="n">
        <v>595.0</v>
      </c>
      <c r="H252" t="inlineStr">
        <is>
          <t>2Xlz4lYnZe</t>
        </is>
      </c>
      <c r="I252" s="2" t="n">
        <v>45919.0</v>
      </c>
      <c r="J252" t="inlineStr">
        <is>
          <t>PAID</t>
        </is>
      </c>
    </row>
    <row r="253">
      <c r="A253" t="n">
        <v>595.0</v>
      </c>
      <c r="B253" s="2" t="n">
        <v>46007.0462962963</v>
      </c>
      <c r="C253" t="inlineStr">
        <is>
          <t>Flat 21 - 3 West Gate</t>
        </is>
      </c>
      <c r="D253" t="inlineStr">
        <is>
          <t>Owner</t>
        </is>
      </c>
      <c r="E253" t="inlineStr">
        <is>
          <t>Landlord Rental Payment</t>
        </is>
      </c>
      <c r="F253" t="inlineStr">
        <is>
          <t>PAYPROP</t>
        </is>
      </c>
      <c r="G253" s="3" t="n">
        <v>675.75</v>
      </c>
      <c r="H253" t="inlineStr">
        <is>
          <t>LJMK7Oyo1q</t>
        </is>
      </c>
      <c r="I253" s="2" t="n">
        <v>45891.0</v>
      </c>
      <c r="J253" t="inlineStr">
        <is>
          <t>PAID</t>
        </is>
      </c>
    </row>
    <row r="254">
      <c r="A254" t="n">
        <v>603.0</v>
      </c>
      <c r="B254" s="2" t="n">
        <v>46007.0462962963</v>
      </c>
      <c r="C254" t="inlineStr">
        <is>
          <t>Flat 22 - 3 West Gate</t>
        </is>
      </c>
      <c r="D254" t="inlineStr">
        <is>
          <t>Owner</t>
        </is>
      </c>
      <c r="E254" t="inlineStr">
        <is>
          <t>Landlord Rental Payment</t>
        </is>
      </c>
      <c r="F254" t="inlineStr">
        <is>
          <t>PAYPROP</t>
        </is>
      </c>
      <c r="G254" s="3" t="n">
        <v>629.0</v>
      </c>
      <c r="H254" t="inlineStr">
        <is>
          <t>2Xlz4lYnZe</t>
        </is>
      </c>
      <c r="I254" s="2" t="n">
        <v>45919.0</v>
      </c>
      <c r="J254" t="inlineStr">
        <is>
          <t>PAID</t>
        </is>
      </c>
    </row>
    <row r="255">
      <c r="A255" t="n">
        <v>593.0</v>
      </c>
      <c r="B255" s="2" t="n">
        <v>46007.0462962963</v>
      </c>
      <c r="C255" t="inlineStr">
        <is>
          <t>Flat 24 - 3 West Gate</t>
        </is>
      </c>
      <c r="D255" t="inlineStr">
        <is>
          <t>Owner</t>
        </is>
      </c>
      <c r="E255" t="inlineStr">
        <is>
          <t>Landlord Rental Payment</t>
        </is>
      </c>
      <c r="F255" t="inlineStr">
        <is>
          <t>PAYPROP</t>
        </is>
      </c>
      <c r="G255" s="3" t="n">
        <v>688.5</v>
      </c>
      <c r="H255" t="inlineStr">
        <is>
          <t>LJMK7Oyo1q</t>
        </is>
      </c>
      <c r="I255" s="2" t="n">
        <v>45891.0</v>
      </c>
      <c r="J255" t="inlineStr">
        <is>
          <t>PAID</t>
        </is>
      </c>
    </row>
    <row r="256">
      <c r="A256" t="n">
        <v>597.0</v>
      </c>
      <c r="B256" s="2" t="n">
        <v>46007.0462962963</v>
      </c>
      <c r="C256" t="inlineStr">
        <is>
          <t>Flat 5 - 3 West Gate</t>
        </is>
      </c>
      <c r="D256" t="inlineStr">
        <is>
          <t>Owner</t>
        </is>
      </c>
      <c r="E256" t="inlineStr">
        <is>
          <t>Landlord Rental Payment</t>
        </is>
      </c>
      <c r="F256" t="inlineStr">
        <is>
          <t>PAYPROP</t>
        </is>
      </c>
      <c r="G256" s="3" t="n">
        <v>629.0</v>
      </c>
      <c r="H256" t="inlineStr">
        <is>
          <t>LJMK7Oyo1q</t>
        </is>
      </c>
      <c r="I256" s="2" t="n">
        <v>45891.0</v>
      </c>
      <c r="J256" t="inlineStr">
        <is>
          <t>PAID</t>
        </is>
      </c>
    </row>
    <row r="257">
      <c r="A257" t="n">
        <v>607.0</v>
      </c>
      <c r="B257" s="2" t="n">
        <v>46007.0462962963</v>
      </c>
      <c r="C257" t="inlineStr">
        <is>
          <t>Flat 6 - 3 West Gate</t>
        </is>
      </c>
      <c r="D257" t="inlineStr">
        <is>
          <t>Owner</t>
        </is>
      </c>
      <c r="E257" t="inlineStr">
        <is>
          <t>Landlord Rental Payment</t>
        </is>
      </c>
      <c r="F257" t="inlineStr">
        <is>
          <t>PAYPROP</t>
        </is>
      </c>
      <c r="G257" s="3" t="n">
        <v>629.0</v>
      </c>
      <c r="H257" t="inlineStr">
        <is>
          <t>2Xlz4lYnZe</t>
        </is>
      </c>
      <c r="I257" s="2" t="n">
        <v>45919.0</v>
      </c>
      <c r="J257" t="inlineStr">
        <is>
          <t>PAID</t>
        </is>
      </c>
    </row>
    <row r="258">
      <c r="A258" t="n">
        <v>606.0</v>
      </c>
      <c r="B258" s="2" t="n">
        <v>46007.0462962963</v>
      </c>
      <c r="C258" t="inlineStr">
        <is>
          <t>Flat 9 - 3 West Gate</t>
        </is>
      </c>
      <c r="D258" t="inlineStr">
        <is>
          <t>Owner</t>
        </is>
      </c>
      <c r="E258" t="inlineStr">
        <is>
          <t>Landlord Rental Payment</t>
        </is>
      </c>
      <c r="F258" t="inlineStr">
        <is>
          <t>PAYPROP</t>
        </is>
      </c>
      <c r="G258" s="3" t="n">
        <v>595.0</v>
      </c>
      <c r="H258" t="inlineStr">
        <is>
          <t>2Xlz4lYnZe</t>
        </is>
      </c>
      <c r="I258" s="2" t="n">
        <v>45919.0</v>
      </c>
      <c r="J258" t="inlineStr">
        <is>
          <t>PAID</t>
        </is>
      </c>
    </row>
    <row r="259">
      <c r="A259" t="n">
        <v>564.0</v>
      </c>
      <c r="B259" s="2" t="n">
        <v>46007.04630787037</v>
      </c>
      <c r="C259" t="inlineStr">
        <is>
          <t>Apartment F - Knighton Hayes Manor</t>
        </is>
      </c>
      <c r="D259" t="inlineStr">
        <is>
          <t>Owner</t>
        </is>
      </c>
      <c r="E259" t="inlineStr">
        <is>
          <t>Landlord Rental Payment</t>
        </is>
      </c>
      <c r="F259" t="inlineStr">
        <is>
          <t>PAYPROP</t>
        </is>
      </c>
      <c r="G259" s="3" t="n">
        <v>1012.5</v>
      </c>
      <c r="H259" t="inlineStr">
        <is>
          <t>e1a2e4QVZE</t>
        </is>
      </c>
      <c r="I259" s="2" t="n">
        <v>45861.0</v>
      </c>
      <c r="J259" t="inlineStr">
        <is>
          <t>PAID</t>
        </is>
      </c>
    </row>
    <row r="260">
      <c r="A260" t="n">
        <v>569.0</v>
      </c>
      <c r="B260" s="2" t="n">
        <v>46007.04630787037</v>
      </c>
      <c r="C260" t="inlineStr">
        <is>
          <t>Flat 10 - 3 West Gate</t>
        </is>
      </c>
      <c r="D260" t="inlineStr">
        <is>
          <t>Owner</t>
        </is>
      </c>
      <c r="E260" t="inlineStr">
        <is>
          <t>Landlord Rental Payment</t>
        </is>
      </c>
      <c r="F260" t="inlineStr">
        <is>
          <t>PAYPROP</t>
        </is>
      </c>
      <c r="G260" s="3" t="n">
        <v>624.75</v>
      </c>
      <c r="H260" t="inlineStr">
        <is>
          <t>e1a2e4QVZE</t>
        </is>
      </c>
      <c r="I260" s="2" t="n">
        <v>45861.0</v>
      </c>
      <c r="J260" t="inlineStr">
        <is>
          <t>PAID</t>
        </is>
      </c>
    </row>
    <row r="261">
      <c r="A261" t="n">
        <v>588.0</v>
      </c>
      <c r="B261" s="2" t="n">
        <v>46007.04630787037</v>
      </c>
      <c r="C261" t="inlineStr">
        <is>
          <t>Flat 11 - 3 West Gate</t>
        </is>
      </c>
      <c r="D261" t="inlineStr">
        <is>
          <t>Owner</t>
        </is>
      </c>
      <c r="E261" t="inlineStr">
        <is>
          <t>Landlord Rental Payment</t>
        </is>
      </c>
      <c r="F261" t="inlineStr">
        <is>
          <t>PAYPROP</t>
        </is>
      </c>
      <c r="G261" s="3" t="n">
        <v>675.75</v>
      </c>
      <c r="H261" t="inlineStr">
        <is>
          <t>LJMK7Oyo1q</t>
        </is>
      </c>
      <c r="I261" s="2" t="n">
        <v>45891.0</v>
      </c>
      <c r="J261" t="inlineStr">
        <is>
          <t>PAID</t>
        </is>
      </c>
    </row>
    <row r="262">
      <c r="A262" t="n">
        <v>574.0</v>
      </c>
      <c r="B262" s="2" t="n">
        <v>46007.04630787037</v>
      </c>
      <c r="C262" t="inlineStr">
        <is>
          <t>Flat 15 - 3 West Gate</t>
        </is>
      </c>
      <c r="D262" t="inlineStr">
        <is>
          <t>Owner</t>
        </is>
      </c>
      <c r="E262" t="inlineStr">
        <is>
          <t>Landlord Rental Payment</t>
        </is>
      </c>
      <c r="F262" t="inlineStr">
        <is>
          <t>PAYPROP</t>
        </is>
      </c>
      <c r="G262" s="3" t="n">
        <v>629.0</v>
      </c>
      <c r="H262" t="inlineStr">
        <is>
          <t>e1a2e4QVZE</t>
        </is>
      </c>
      <c r="I262" s="2" t="n">
        <v>45861.0</v>
      </c>
      <c r="J262" t="inlineStr">
        <is>
          <t>PAID</t>
        </is>
      </c>
    </row>
    <row r="263">
      <c r="A263" t="n">
        <v>566.0</v>
      </c>
      <c r="B263" s="2" t="n">
        <v>46007.04630787037</v>
      </c>
      <c r="C263" t="inlineStr">
        <is>
          <t>Flat 16 - 3 West Gate</t>
        </is>
      </c>
      <c r="D263" t="inlineStr">
        <is>
          <t>Owner</t>
        </is>
      </c>
      <c r="E263" t="inlineStr">
        <is>
          <t>Landlord Rental Payment</t>
        </is>
      </c>
      <c r="F263" t="inlineStr">
        <is>
          <t>PAYPROP</t>
        </is>
      </c>
      <c r="G263" s="3" t="n">
        <v>629.0</v>
      </c>
      <c r="H263" t="inlineStr">
        <is>
          <t>e1a2e4QVZE</t>
        </is>
      </c>
      <c r="I263" s="2" t="n">
        <v>45861.0</v>
      </c>
      <c r="J263" t="inlineStr">
        <is>
          <t>PAID</t>
        </is>
      </c>
    </row>
    <row r="264">
      <c r="A264" t="n">
        <v>577.0</v>
      </c>
      <c r="B264" s="2" t="n">
        <v>46007.04630787037</v>
      </c>
      <c r="C264" t="inlineStr">
        <is>
          <t>Flat 17 - 3 West Gate</t>
        </is>
      </c>
      <c r="D264" t="inlineStr">
        <is>
          <t>Owner</t>
        </is>
      </c>
      <c r="E264" t="inlineStr">
        <is>
          <t>Landlord Rental Payment</t>
        </is>
      </c>
      <c r="F264" t="inlineStr">
        <is>
          <t>PAYPROP</t>
        </is>
      </c>
      <c r="G264" s="3" t="n">
        <v>595.0</v>
      </c>
      <c r="H264" t="inlineStr">
        <is>
          <t>e1a2e4QVZE</t>
        </is>
      </c>
      <c r="I264" s="2" t="n">
        <v>45861.0</v>
      </c>
      <c r="J264" t="inlineStr">
        <is>
          <t>PAID</t>
        </is>
      </c>
    </row>
    <row r="265">
      <c r="A265" t="n">
        <v>560.0</v>
      </c>
      <c r="B265" s="2" t="n">
        <v>46007.04630787037</v>
      </c>
      <c r="C265" t="inlineStr">
        <is>
          <t>Flat 18 - 3 West Gate</t>
        </is>
      </c>
      <c r="D265" t="inlineStr">
        <is>
          <t>Owner</t>
        </is>
      </c>
      <c r="E265" t="inlineStr">
        <is>
          <t>Landlord Rental Payment</t>
        </is>
      </c>
      <c r="F265" t="inlineStr">
        <is>
          <t>PAYPROP</t>
        </is>
      </c>
      <c r="G265" s="3" t="n">
        <v>726.75</v>
      </c>
      <c r="H265" t="inlineStr">
        <is>
          <t>e1a2e4QVZE</t>
        </is>
      </c>
      <c r="I265" s="2" t="n">
        <v>45861.0</v>
      </c>
      <c r="J265" t="inlineStr">
        <is>
          <t>PAID</t>
        </is>
      </c>
    </row>
    <row r="266">
      <c r="A266" t="n">
        <v>580.0</v>
      </c>
      <c r="B266" s="2" t="n">
        <v>46007.04630787037</v>
      </c>
      <c r="C266" t="inlineStr">
        <is>
          <t>Flat 20 - 3 West Gate</t>
        </is>
      </c>
      <c r="D266" t="inlineStr">
        <is>
          <t>Owner</t>
        </is>
      </c>
      <c r="E266" t="inlineStr">
        <is>
          <t>Landlord Rental Payment</t>
        </is>
      </c>
      <c r="F266" t="inlineStr">
        <is>
          <t>PAYPROP</t>
        </is>
      </c>
      <c r="G266" s="3" t="n">
        <v>595.0</v>
      </c>
      <c r="H266" t="inlineStr">
        <is>
          <t>LJMK7Oyo1q</t>
        </is>
      </c>
      <c r="I266" s="2" t="n">
        <v>45891.0</v>
      </c>
      <c r="J266" t="inlineStr">
        <is>
          <t>PAID</t>
        </is>
      </c>
    </row>
    <row r="267">
      <c r="A267" t="n">
        <v>565.0</v>
      </c>
      <c r="B267" s="2" t="n">
        <v>46007.04630787037</v>
      </c>
      <c r="C267" t="inlineStr">
        <is>
          <t>Flat 21 - 3 West Gate</t>
        </is>
      </c>
      <c r="D267" t="inlineStr">
        <is>
          <t>Owner</t>
        </is>
      </c>
      <c r="E267" t="inlineStr">
        <is>
          <t>Landlord Rental Payment</t>
        </is>
      </c>
      <c r="F267" t="inlineStr">
        <is>
          <t>PAYPROP</t>
        </is>
      </c>
      <c r="G267" s="3" t="n">
        <v>675.75</v>
      </c>
      <c r="H267" t="inlineStr">
        <is>
          <t>e1a2e4QVZE</t>
        </is>
      </c>
      <c r="I267" s="2" t="n">
        <v>45861.0</v>
      </c>
      <c r="J267" t="inlineStr">
        <is>
          <t>PAID</t>
        </is>
      </c>
    </row>
    <row r="268">
      <c r="A268" t="n">
        <v>589.0</v>
      </c>
      <c r="B268" s="2" t="n">
        <v>46007.04630787037</v>
      </c>
      <c r="C268" t="inlineStr">
        <is>
          <t>Flat 22 - 3 West Gate</t>
        </is>
      </c>
      <c r="D268" t="inlineStr">
        <is>
          <t>Owner</t>
        </is>
      </c>
      <c r="E268" t="inlineStr">
        <is>
          <t>Landlord Rental Payment</t>
        </is>
      </c>
      <c r="F268" t="inlineStr">
        <is>
          <t>PAYPROP</t>
        </is>
      </c>
      <c r="G268" s="3" t="n">
        <v>629.0</v>
      </c>
      <c r="H268" t="inlineStr">
        <is>
          <t>LJMK7Oyo1q</t>
        </is>
      </c>
      <c r="I268" s="2" t="n">
        <v>45891.0</v>
      </c>
      <c r="J268" t="inlineStr">
        <is>
          <t>PAID</t>
        </is>
      </c>
    </row>
    <row r="269">
      <c r="A269" t="n">
        <v>563.0</v>
      </c>
      <c r="B269" s="2" t="n">
        <v>46007.04630787037</v>
      </c>
      <c r="C269" t="inlineStr">
        <is>
          <t>Flat 24 - 3 West Gate</t>
        </is>
      </c>
      <c r="D269" t="inlineStr">
        <is>
          <t>Owner</t>
        </is>
      </c>
      <c r="E269" t="inlineStr">
        <is>
          <t>Landlord Rental Payment</t>
        </is>
      </c>
      <c r="F269" t="inlineStr">
        <is>
          <t>PAYPROP</t>
        </is>
      </c>
      <c r="G269" s="3" t="n">
        <v>688.5</v>
      </c>
      <c r="H269" t="inlineStr">
        <is>
          <t>e1a2e4QVZE</t>
        </is>
      </c>
      <c r="I269" s="2" t="n">
        <v>45861.0</v>
      </c>
      <c r="J269" t="inlineStr">
        <is>
          <t>PAID</t>
        </is>
      </c>
    </row>
    <row r="270">
      <c r="A270" t="n">
        <v>586.0</v>
      </c>
      <c r="B270" s="2" t="n">
        <v>46007.04630787037</v>
      </c>
      <c r="C270" t="inlineStr">
        <is>
          <t>Flat 27 - 3 West Gate</t>
        </is>
      </c>
      <c r="D270" t="inlineStr">
        <is>
          <t>Owner</t>
        </is>
      </c>
      <c r="E270" t="inlineStr">
        <is>
          <t>Landlord Rental Payment</t>
        </is>
      </c>
      <c r="F270" t="inlineStr">
        <is>
          <t>PAYPROP</t>
        </is>
      </c>
      <c r="G270" s="3" t="n">
        <v>595.0</v>
      </c>
      <c r="H270" t="inlineStr">
        <is>
          <t>LJMK7Oyo1q</t>
        </is>
      </c>
      <c r="I270" s="2" t="n">
        <v>45891.0</v>
      </c>
      <c r="J270" t="inlineStr">
        <is>
          <t>PAID</t>
        </is>
      </c>
    </row>
    <row r="271">
      <c r="A271" t="n">
        <v>581.0</v>
      </c>
      <c r="B271" s="2" t="n">
        <v>46007.04630787037</v>
      </c>
      <c r="C271" t="inlineStr">
        <is>
          <t>Flat 29 - 3 West Gate</t>
        </is>
      </c>
      <c r="D271" t="inlineStr">
        <is>
          <t>Owner</t>
        </is>
      </c>
      <c r="E271" t="inlineStr">
        <is>
          <t>Landlord Rental Payment</t>
        </is>
      </c>
      <c r="F271" t="inlineStr">
        <is>
          <t>PAYPROP</t>
        </is>
      </c>
      <c r="G271" s="3" t="n">
        <v>629.0</v>
      </c>
      <c r="H271" t="inlineStr">
        <is>
          <t>LJMK7Oyo1q</t>
        </is>
      </c>
      <c r="I271" s="2" t="n">
        <v>45891.0</v>
      </c>
      <c r="J271" t="inlineStr">
        <is>
          <t>PAID</t>
        </is>
      </c>
    </row>
    <row r="272">
      <c r="A272" t="n">
        <v>583.0</v>
      </c>
      <c r="B272" s="2" t="n">
        <v>46007.04630787037</v>
      </c>
      <c r="C272" t="inlineStr">
        <is>
          <t>Flat 4 - 3 West Gate</t>
        </is>
      </c>
      <c r="D272" t="inlineStr">
        <is>
          <t>Owner</t>
        </is>
      </c>
      <c r="E272" t="inlineStr">
        <is>
          <t>Landlord Rental Payment</t>
        </is>
      </c>
      <c r="F272" t="inlineStr">
        <is>
          <t>PAYPROP</t>
        </is>
      </c>
      <c r="G272" s="3" t="n">
        <v>726.75</v>
      </c>
      <c r="H272" t="inlineStr">
        <is>
          <t>LJMK7Oyo1q</t>
        </is>
      </c>
      <c r="I272" s="2" t="n">
        <v>45891.0</v>
      </c>
      <c r="J272" t="inlineStr">
        <is>
          <t>PAID</t>
        </is>
      </c>
    </row>
    <row r="273">
      <c r="A273" t="n">
        <v>570.0</v>
      </c>
      <c r="B273" s="2" t="n">
        <v>46007.04630787037</v>
      </c>
      <c r="C273" t="inlineStr">
        <is>
          <t>Flat 5 - 3 West Gate</t>
        </is>
      </c>
      <c r="D273" t="inlineStr">
        <is>
          <t>Owner</t>
        </is>
      </c>
      <c r="E273" t="inlineStr">
        <is>
          <t>Landlord Rental Payment</t>
        </is>
      </c>
      <c r="F273" t="inlineStr">
        <is>
          <t>PAYPROP</t>
        </is>
      </c>
      <c r="G273" s="3" t="n">
        <v>629.0</v>
      </c>
      <c r="H273" t="inlineStr">
        <is>
          <t>e1a2e4QVZE</t>
        </is>
      </c>
      <c r="I273" s="2" t="n">
        <v>45861.0</v>
      </c>
      <c r="J273" t="inlineStr">
        <is>
          <t>PAID</t>
        </is>
      </c>
    </row>
    <row r="274">
      <c r="A274" t="n">
        <v>591.0</v>
      </c>
      <c r="B274" s="2" t="n">
        <v>46007.04630787037</v>
      </c>
      <c r="C274" t="inlineStr">
        <is>
          <t>Flat 6 - 3 West Gate</t>
        </is>
      </c>
      <c r="D274" t="inlineStr">
        <is>
          <t>Owner</t>
        </is>
      </c>
      <c r="E274" t="inlineStr">
        <is>
          <t>Landlord Rental Payment</t>
        </is>
      </c>
      <c r="F274" t="inlineStr">
        <is>
          <t>PAYPROP</t>
        </is>
      </c>
      <c r="G274" s="3" t="n">
        <v>629.0</v>
      </c>
      <c r="H274" t="inlineStr">
        <is>
          <t>LJMK7Oyo1q</t>
        </is>
      </c>
      <c r="I274" s="2" t="n">
        <v>45891.0</v>
      </c>
      <c r="J274" t="inlineStr">
        <is>
          <t>PAID</t>
        </is>
      </c>
    </row>
    <row r="275">
      <c r="A275" t="n">
        <v>567.0</v>
      </c>
      <c r="B275" s="2" t="n">
        <v>46007.04630787037</v>
      </c>
      <c r="C275" t="inlineStr">
        <is>
          <t>Flat 7 - 3 West Gate</t>
        </is>
      </c>
      <c r="D275" t="inlineStr">
        <is>
          <t>Owner</t>
        </is>
      </c>
      <c r="E275" t="inlineStr">
        <is>
          <t>Landlord Rental Payment</t>
        </is>
      </c>
      <c r="F275" t="inlineStr">
        <is>
          <t>PAYPROP</t>
        </is>
      </c>
      <c r="G275" s="3" t="n">
        <v>595.0</v>
      </c>
      <c r="H275" t="inlineStr">
        <is>
          <t>e1a2e4QVZE</t>
        </is>
      </c>
      <c r="I275" s="2" t="n">
        <v>45861.0</v>
      </c>
      <c r="J275" t="inlineStr">
        <is>
          <t>PAID</t>
        </is>
      </c>
    </row>
    <row r="276">
      <c r="A276" t="n">
        <v>578.0</v>
      </c>
      <c r="B276" s="2" t="n">
        <v>46007.04630787037</v>
      </c>
      <c r="C276" t="inlineStr">
        <is>
          <t>Flat 8 - 3 West Gate</t>
        </is>
      </c>
      <c r="D276" t="inlineStr">
        <is>
          <t>Owner</t>
        </is>
      </c>
      <c r="E276" t="inlineStr">
        <is>
          <t>Landlord Rental Payment</t>
        </is>
      </c>
      <c r="F276" t="inlineStr">
        <is>
          <t>PAYPROP</t>
        </is>
      </c>
      <c r="G276" s="3" t="n">
        <v>624.75</v>
      </c>
      <c r="H276" t="inlineStr">
        <is>
          <t>e1a2e4QVZE</t>
        </is>
      </c>
      <c r="I276" s="2" t="n">
        <v>45861.0</v>
      </c>
      <c r="J276" t="inlineStr">
        <is>
          <t>PAID</t>
        </is>
      </c>
    </row>
    <row r="277">
      <c r="A277" t="n">
        <v>590.0</v>
      </c>
      <c r="B277" s="2" t="n">
        <v>46007.04630787037</v>
      </c>
      <c r="C277" t="inlineStr">
        <is>
          <t>Flat 8 - 3 West Gate</t>
        </is>
      </c>
      <c r="D277" t="inlineStr">
        <is>
          <t>Owner</t>
        </is>
      </c>
      <c r="E277" t="inlineStr">
        <is>
          <t>Landlord Rental Payment</t>
        </is>
      </c>
      <c r="F277" t="inlineStr">
        <is>
          <t>PAYPROP</t>
        </is>
      </c>
      <c r="G277" s="3" t="n">
        <v>624.75</v>
      </c>
      <c r="H277" t="inlineStr">
        <is>
          <t>LJMK7Oyo1q</t>
        </is>
      </c>
      <c r="I277" s="2" t="n">
        <v>45891.0</v>
      </c>
      <c r="J277" t="inlineStr">
        <is>
          <t>PAID</t>
        </is>
      </c>
    </row>
    <row r="278">
      <c r="A278" t="n">
        <v>585.0</v>
      </c>
      <c r="B278" s="2" t="n">
        <v>46007.04630787037</v>
      </c>
      <c r="C278" t="inlineStr">
        <is>
          <t>Flat 9 - 3 West Gate</t>
        </is>
      </c>
      <c r="D278" t="inlineStr">
        <is>
          <t>Owner</t>
        </is>
      </c>
      <c r="E278" t="inlineStr">
        <is>
          <t>Landlord Rental Payment</t>
        </is>
      </c>
      <c r="F278" t="inlineStr">
        <is>
          <t>PAYPROP</t>
        </is>
      </c>
      <c r="G278" s="3" t="n">
        <v>595.0</v>
      </c>
      <c r="H278" t="inlineStr">
        <is>
          <t>LJMK7Oyo1q</t>
        </is>
      </c>
      <c r="I278" s="2" t="n">
        <v>45891.0</v>
      </c>
      <c r="J278" t="inlineStr">
        <is>
          <t>PAID</t>
        </is>
      </c>
    </row>
    <row r="279">
      <c r="A279" t="n">
        <v>553.0</v>
      </c>
      <c r="B279" s="2" t="n">
        <v>46007.046319444446</v>
      </c>
      <c r="C279" t="inlineStr">
        <is>
          <t>Apartment F - Knighton Hayes Manor</t>
        </is>
      </c>
      <c r="D279" t="inlineStr">
        <is>
          <t>Owner</t>
        </is>
      </c>
      <c r="E279" t="inlineStr">
        <is>
          <t>Landlord Rental Payment</t>
        </is>
      </c>
      <c r="F279" t="inlineStr">
        <is>
          <t>PAYPROP</t>
        </is>
      </c>
      <c r="G279" s="3" t="n">
        <v>1012.5</v>
      </c>
      <c r="H279" t="inlineStr">
        <is>
          <t>v1pE8pYjZd</t>
        </is>
      </c>
      <c r="I279" s="2" t="n">
        <v>45831.0</v>
      </c>
      <c r="J279" t="inlineStr">
        <is>
          <t>PAID</t>
        </is>
      </c>
    </row>
    <row r="280">
      <c r="A280" t="n">
        <v>559.0</v>
      </c>
      <c r="B280" s="2" t="n">
        <v>46007.046319444446</v>
      </c>
      <c r="C280" t="inlineStr">
        <is>
          <t>Flat 11 - 3 West Gate</t>
        </is>
      </c>
      <c r="D280" t="inlineStr">
        <is>
          <t>Owner</t>
        </is>
      </c>
      <c r="E280" t="inlineStr">
        <is>
          <t>Landlord Rental Payment</t>
        </is>
      </c>
      <c r="F280" t="inlineStr">
        <is>
          <t>PAYPROP</t>
        </is>
      </c>
      <c r="G280" s="3" t="n">
        <v>675.75</v>
      </c>
      <c r="H280" t="inlineStr">
        <is>
          <t>e1a2e4QVZE</t>
        </is>
      </c>
      <c r="I280" s="2" t="n">
        <v>45861.0</v>
      </c>
      <c r="J280" t="inlineStr">
        <is>
          <t>PAID</t>
        </is>
      </c>
    </row>
    <row r="281">
      <c r="A281" t="n">
        <v>568.0</v>
      </c>
      <c r="B281" s="2" t="n">
        <v>46007.046319444446</v>
      </c>
      <c r="C281" t="inlineStr">
        <is>
          <t>Flat 13 - 3 West Gate</t>
        </is>
      </c>
      <c r="D281" t="inlineStr">
        <is>
          <t>Owner</t>
        </is>
      </c>
      <c r="E281" t="inlineStr">
        <is>
          <t>Landlord Rental Payment</t>
        </is>
      </c>
      <c r="F281" t="inlineStr">
        <is>
          <t>PAYPROP</t>
        </is>
      </c>
      <c r="G281" s="3" t="n">
        <v>680.0</v>
      </c>
      <c r="H281" t="inlineStr">
        <is>
          <t>e1a2e4QVZE</t>
        </is>
      </c>
      <c r="I281" s="2" t="n">
        <v>45861.0</v>
      </c>
      <c r="J281" t="inlineStr">
        <is>
          <t>PAID</t>
        </is>
      </c>
    </row>
    <row r="282">
      <c r="A282" t="n">
        <v>552.0</v>
      </c>
      <c r="B282" s="2" t="n">
        <v>46007.046319444446</v>
      </c>
      <c r="C282" t="inlineStr">
        <is>
          <t>Flat 15 - 3 West Gate</t>
        </is>
      </c>
      <c r="D282" t="inlineStr">
        <is>
          <t>Owner</t>
        </is>
      </c>
      <c r="E282" t="inlineStr">
        <is>
          <t>Landlord Rental Payment</t>
        </is>
      </c>
      <c r="F282" t="inlineStr">
        <is>
          <t>PAYPROP</t>
        </is>
      </c>
      <c r="G282" s="3" t="n">
        <v>629.0</v>
      </c>
      <c r="H282" t="inlineStr">
        <is>
          <t>AXNrOQQnXk</t>
        </is>
      </c>
      <c r="I282" s="2" t="n">
        <v>45825.0</v>
      </c>
      <c r="J282" t="inlineStr">
        <is>
          <t>PAID</t>
        </is>
      </c>
    </row>
    <row r="283">
      <c r="A283" t="n">
        <v>556.0</v>
      </c>
      <c r="B283" s="2" t="n">
        <v>46007.046319444446</v>
      </c>
      <c r="C283" t="inlineStr">
        <is>
          <t>Flat 17 - 3 West Gate</t>
        </is>
      </c>
      <c r="D283" t="inlineStr">
        <is>
          <t>Owner</t>
        </is>
      </c>
      <c r="E283" t="inlineStr">
        <is>
          <t>Landlord Rental Payment</t>
        </is>
      </c>
      <c r="F283" t="inlineStr">
        <is>
          <t>PAYPROP</t>
        </is>
      </c>
      <c r="G283" s="3" t="n">
        <v>595.0</v>
      </c>
      <c r="H283" t="inlineStr">
        <is>
          <t>zJBjND23JQ</t>
        </is>
      </c>
      <c r="I283" s="2" t="n">
        <v>45831.0</v>
      </c>
      <c r="J283" t="inlineStr">
        <is>
          <t>PAID</t>
        </is>
      </c>
    </row>
    <row r="284">
      <c r="A284" t="n">
        <v>572.0</v>
      </c>
      <c r="B284" s="2" t="n">
        <v>46007.046319444446</v>
      </c>
      <c r="C284" t="inlineStr">
        <is>
          <t>Flat 22 - 3 West Gate</t>
        </is>
      </c>
      <c r="D284" t="inlineStr">
        <is>
          <t>Owner</t>
        </is>
      </c>
      <c r="E284" t="inlineStr">
        <is>
          <t>Landlord Rental Payment</t>
        </is>
      </c>
      <c r="F284" t="inlineStr">
        <is>
          <t>PAYPROP</t>
        </is>
      </c>
      <c r="G284" s="3" t="n">
        <v>629.0</v>
      </c>
      <c r="H284" t="inlineStr">
        <is>
          <t>e1a2e4QVZE</t>
        </is>
      </c>
      <c r="I284" s="2" t="n">
        <v>45861.0</v>
      </c>
      <c r="J284" t="inlineStr">
        <is>
          <t>PAID</t>
        </is>
      </c>
    </row>
    <row r="285">
      <c r="A285" t="n">
        <v>557.0</v>
      </c>
      <c r="B285" s="2" t="n">
        <v>46007.046319444446</v>
      </c>
      <c r="C285" t="inlineStr">
        <is>
          <t>Flat 24 - 3 West Gate</t>
        </is>
      </c>
      <c r="D285" t="inlineStr">
        <is>
          <t>Owner</t>
        </is>
      </c>
      <c r="E285" t="inlineStr">
        <is>
          <t>Landlord Rental Payment</t>
        </is>
      </c>
      <c r="F285" t="inlineStr">
        <is>
          <t>PAYPROP</t>
        </is>
      </c>
      <c r="G285" s="3" t="n">
        <v>688.5</v>
      </c>
      <c r="H285" t="inlineStr">
        <is>
          <t>zJBjND23JQ</t>
        </is>
      </c>
      <c r="I285" s="2" t="n">
        <v>45831.0</v>
      </c>
      <c r="J285" t="inlineStr">
        <is>
          <t>PAID</t>
        </is>
      </c>
    </row>
    <row r="286">
      <c r="A286" t="n">
        <v>575.0</v>
      </c>
      <c r="B286" s="2" t="n">
        <v>46007.046319444446</v>
      </c>
      <c r="C286" t="inlineStr">
        <is>
          <t>Flat 27 - 3 West Gate</t>
        </is>
      </c>
      <c r="D286" t="inlineStr">
        <is>
          <t>Owner</t>
        </is>
      </c>
      <c r="E286" t="inlineStr">
        <is>
          <t>Landlord Rental Payment</t>
        </is>
      </c>
      <c r="F286" t="inlineStr">
        <is>
          <t>PAYPROP</t>
        </is>
      </c>
      <c r="G286" s="3" t="n">
        <v>595.0</v>
      </c>
      <c r="H286" t="inlineStr">
        <is>
          <t>e1a2e4QVZE</t>
        </is>
      </c>
      <c r="I286" s="2" t="n">
        <v>45861.0</v>
      </c>
      <c r="J286" t="inlineStr">
        <is>
          <t>PAID</t>
        </is>
      </c>
    </row>
    <row r="287">
      <c r="A287" t="n">
        <v>571.0</v>
      </c>
      <c r="B287" s="2" t="n">
        <v>46007.046319444446</v>
      </c>
      <c r="C287" t="inlineStr">
        <is>
          <t>Flat 4 - 3 West Gate</t>
        </is>
      </c>
      <c r="D287" t="inlineStr">
        <is>
          <t>Owner</t>
        </is>
      </c>
      <c r="E287" t="inlineStr">
        <is>
          <t>Landlord Rental Payment</t>
        </is>
      </c>
      <c r="F287" t="inlineStr">
        <is>
          <t>PAYPROP</t>
        </is>
      </c>
      <c r="G287" s="3" t="n">
        <v>726.75</v>
      </c>
      <c r="H287" t="inlineStr">
        <is>
          <t>e1a2e4QVZE</t>
        </is>
      </c>
      <c r="I287" s="2" t="n">
        <v>45861.0</v>
      </c>
      <c r="J287" t="inlineStr">
        <is>
          <t>PAID</t>
        </is>
      </c>
    </row>
    <row r="288">
      <c r="A288" t="n">
        <v>554.0</v>
      </c>
      <c r="B288" s="2" t="n">
        <v>46007.046319444446</v>
      </c>
      <c r="C288" t="inlineStr">
        <is>
          <t>Flat 5 - 3 West Gate</t>
        </is>
      </c>
      <c r="D288" t="inlineStr">
        <is>
          <t>Owner</t>
        </is>
      </c>
      <c r="E288" t="inlineStr">
        <is>
          <t>Landlord Rental Payment</t>
        </is>
      </c>
      <c r="F288" t="inlineStr">
        <is>
          <t>PAYPROP</t>
        </is>
      </c>
      <c r="G288" s="3" t="n">
        <v>629.0</v>
      </c>
      <c r="H288" t="inlineStr">
        <is>
          <t>zJBjND23JQ</t>
        </is>
      </c>
      <c r="I288" s="2" t="n">
        <v>45831.0</v>
      </c>
      <c r="J288" t="inlineStr">
        <is>
          <t>PAID</t>
        </is>
      </c>
    </row>
    <row r="289">
      <c r="A289" t="n">
        <v>562.0</v>
      </c>
      <c r="B289" s="2" t="n">
        <v>46007.046319444446</v>
      </c>
      <c r="C289" t="inlineStr">
        <is>
          <t>Flat 6 - 3 West Gate</t>
        </is>
      </c>
      <c r="D289" t="inlineStr">
        <is>
          <t>Owner</t>
        </is>
      </c>
      <c r="E289" t="inlineStr">
        <is>
          <t>Landlord Rental Payment</t>
        </is>
      </c>
      <c r="F289" t="inlineStr">
        <is>
          <t>PAYPROP</t>
        </is>
      </c>
      <c r="G289" s="3" t="n">
        <v>629.0</v>
      </c>
      <c r="H289" t="inlineStr">
        <is>
          <t>e1a2e4QVZE</t>
        </is>
      </c>
      <c r="I289" s="2" t="n">
        <v>45861.0</v>
      </c>
      <c r="J289" t="inlineStr">
        <is>
          <t>PAID</t>
        </is>
      </c>
    </row>
    <row r="290">
      <c r="A290" t="n">
        <v>555.0</v>
      </c>
      <c r="B290" s="2" t="n">
        <v>46007.046319444446</v>
      </c>
      <c r="C290" t="inlineStr">
        <is>
          <t>Flat 7 - 3 West Gate</t>
        </is>
      </c>
      <c r="D290" t="inlineStr">
        <is>
          <t>Owner</t>
        </is>
      </c>
      <c r="E290" t="inlineStr">
        <is>
          <t>Landlord Rental Payment</t>
        </is>
      </c>
      <c r="F290" t="inlineStr">
        <is>
          <t>PAYPROP</t>
        </is>
      </c>
      <c r="G290" s="3" t="n">
        <v>595.0</v>
      </c>
      <c r="H290" t="inlineStr">
        <is>
          <t>zJBjND23JQ</t>
        </is>
      </c>
      <c r="I290" s="2" t="n">
        <v>45831.0</v>
      </c>
      <c r="J290" t="inlineStr">
        <is>
          <t>PAID</t>
        </is>
      </c>
    </row>
    <row r="291">
      <c r="A291" t="n">
        <v>576.0</v>
      </c>
      <c r="B291" s="2" t="n">
        <v>46007.046319444446</v>
      </c>
      <c r="C291" t="inlineStr">
        <is>
          <t>Flat 9 - 3 West Gate</t>
        </is>
      </c>
      <c r="D291" t="inlineStr">
        <is>
          <t>Owner</t>
        </is>
      </c>
      <c r="E291" t="inlineStr">
        <is>
          <t>Landlord Rental Payment</t>
        </is>
      </c>
      <c r="F291" t="inlineStr">
        <is>
          <t>PAYPROP</t>
        </is>
      </c>
      <c r="G291" s="3" t="n">
        <v>595.0</v>
      </c>
      <c r="H291" t="inlineStr">
        <is>
          <t>e1a2e4QVZE</t>
        </is>
      </c>
      <c r="I291" s="2" t="n">
        <v>45861.0</v>
      </c>
      <c r="J291" t="inlineStr">
        <is>
          <t>PAID</t>
        </is>
      </c>
    </row>
    <row r="292">
      <c r="F292" s="1" t="inlineStr">
        <is>
          <t>TOTAL:</t>
        </is>
      </c>
      <c r="G292" s="3" t="n">
        <v>185509.03</v>
      </c>
    </row>
  </sheetData>
  <pageMargins bottom="0.75" footer="0.3" header="0.3" left="0.7" right="0.7" top="0.75"/>
</worksheet>
</file>

<file path=xl/worksheets/sheet21.xml><?xml version="1.0" encoding="utf-8"?>
<worksheet xmlns="http://schemas.openxmlformats.org/spreadsheetml/2006/main">
  <dimension ref="A1:J31"/>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 min="9" max="9" width="15.0" customWidth="true"/>
    <col min="10" max="10" width="15.0" customWidth="true"/>
  </cols>
  <sheetData>
    <row r="1">
      <c r="A1" s="1" t="inlineStr">
        <is>
          <t>Transaction ID</t>
        </is>
      </c>
      <c r="B1" s="1" t="inlineStr">
        <is>
          <t>Date</t>
        </is>
      </c>
      <c r="C1" s="1" t="inlineStr">
        <is>
          <t>Property</t>
        </is>
      </c>
      <c r="D1" s="1" t="inlineStr">
        <is>
          <t>Category</t>
        </is>
      </c>
      <c r="E1" s="1" t="inlineStr">
        <is>
          <t>Description</t>
        </is>
      </c>
      <c r="F1" s="1" t="inlineStr">
        <is>
          <t>Source</t>
        </is>
      </c>
      <c r="G1" s="1" t="inlineStr">
        <is>
          <t>Amount</t>
        </is>
      </c>
      <c r="H1" s="1" t="inlineStr">
        <is>
          <t>Batch Ref</t>
        </is>
      </c>
      <c r="I1" s="1" t="inlineStr">
        <is>
          <t>Payment Date</t>
        </is>
      </c>
      <c r="J1" s="1" t="inlineStr">
        <is>
          <t>Payment Status</t>
        </is>
      </c>
    </row>
    <row r="2">
      <c r="A2" t="n">
        <v>9.0</v>
      </c>
      <c r="B2" s="2" t="n">
        <v>46002.83608796296</v>
      </c>
      <c r="C2" t="inlineStr">
        <is>
          <t>Boden House Block - Block Property</t>
        </is>
      </c>
      <c r="D2" t="inlineStr">
        <is>
          <t>agency_fee</t>
        </is>
      </c>
      <c r="E2" t="inlineStr">
        <is>
          <t>Agency Fees from Robert Elles Payments</t>
        </is>
      </c>
      <c r="F2" t="inlineStr">
        <is>
          <t>MANUAL</t>
        </is>
      </c>
      <c r="G2" s="3" t="n">
        <v>3080.0</v>
      </c>
      <c r="H2" t="inlineStr">
        <is>
          <t>HIST-2025-03-1501</t>
        </is>
      </c>
      <c r="I2" s="2" t="n">
        <v>45739.0</v>
      </c>
      <c r="J2" t="inlineStr">
        <is>
          <t>PAID</t>
        </is>
      </c>
    </row>
    <row r="3">
      <c r="A3" t="n">
        <v>69.0</v>
      </c>
      <c r="B3" s="2" t="n">
        <v>46002.844675925924</v>
      </c>
      <c r="C3" t="inlineStr">
        <is>
          <t>Boden House Block - Block Property</t>
        </is>
      </c>
      <c r="D3" t="inlineStr">
        <is>
          <t>utilities</t>
        </is>
      </c>
      <c r="E3" t="inlineStr">
        <is>
          <t>Council Tax</t>
        </is>
      </c>
      <c r="F3" t="inlineStr">
        <is>
          <t>MANUAL</t>
        </is>
      </c>
      <c r="G3" s="3" t="n">
        <v>144.19</v>
      </c>
      <c r="H3" t="inlineStr">
        <is>
          <t>HIST-2025-04-1533</t>
        </is>
      </c>
      <c r="I3" s="2" t="n">
        <v>45765.0</v>
      </c>
      <c r="J3" t="inlineStr">
        <is>
          <t>PAID</t>
        </is>
      </c>
    </row>
    <row r="4">
      <c r="A4" t="n">
        <v>68.0</v>
      </c>
      <c r="B4" s="2" t="n">
        <v>46002.844675925924</v>
      </c>
      <c r="C4" t="inlineStr">
        <is>
          <t>Boden House Block - Block Property</t>
        </is>
      </c>
      <c r="D4" t="inlineStr">
        <is>
          <t>utilities</t>
        </is>
      </c>
      <c r="E4" t="inlineStr">
        <is>
          <t>Council Tax</t>
        </is>
      </c>
      <c r="F4" t="inlineStr">
        <is>
          <t>MANUAL</t>
        </is>
      </c>
      <c r="G4" s="3" t="n">
        <v>144.19</v>
      </c>
      <c r="H4" t="inlineStr">
        <is>
          <t>HIST-2025-04-1533</t>
        </is>
      </c>
      <c r="I4" s="2" t="n">
        <v>45765.0</v>
      </c>
      <c r="J4" t="inlineStr">
        <is>
          <t>PAID</t>
        </is>
      </c>
    </row>
    <row r="5">
      <c r="A5" t="n">
        <v>101.0</v>
      </c>
      <c r="B5" s="2" t="n">
        <v>46002.904398148145</v>
      </c>
      <c r="C5" t="inlineStr">
        <is>
          <t>Boden House Block - Block Property</t>
        </is>
      </c>
      <c r="D5" t="inlineStr">
        <is>
          <t>cleaning</t>
        </is>
      </c>
      <c r="E5" t="inlineStr">
        <is>
          <t>End of Tenancy Clean [Moved from Flat 18 - 3 West Gate]</t>
        </is>
      </c>
      <c r="F5" t="inlineStr">
        <is>
          <t>MANUAL</t>
        </is>
      </c>
      <c r="G5" s="3" t="n">
        <v>200.0</v>
      </c>
      <c r="H5" t="inlineStr">
        <is>
          <t>HIST-2025-04-1532</t>
        </is>
      </c>
      <c r="I5" s="2" t="n">
        <v>45772.0</v>
      </c>
      <c r="J5" t="inlineStr">
        <is>
          <t>PAID</t>
        </is>
      </c>
    </row>
    <row r="6">
      <c r="A6" t="n">
        <v>126.0</v>
      </c>
      <c r="B6" s="2" t="n">
        <v>46002.967361111114</v>
      </c>
      <c r="C6" t="inlineStr">
        <is>
          <t>Boden House Block - Block Property</t>
        </is>
      </c>
      <c r="D6" t="inlineStr">
        <is>
          <t>furnishings</t>
        </is>
      </c>
      <c r="E6" t="inlineStr">
        <is>
          <t>White Goods [Moved from Flat 23 - 3 West Gate]</t>
        </is>
      </c>
      <c r="F6" t="inlineStr">
        <is>
          <t>MANUAL</t>
        </is>
      </c>
      <c r="G6" s="3" t="n">
        <v>250.0</v>
      </c>
      <c r="H6" t="inlineStr">
        <is>
          <t>HIST-2025-05-1564</t>
        </is>
      </c>
      <c r="I6" s="2" t="n">
        <v>45804.0</v>
      </c>
      <c r="J6" t="inlineStr">
        <is>
          <t>PAID</t>
        </is>
      </c>
    </row>
    <row r="7">
      <c r="A7" t="n">
        <v>127.0</v>
      </c>
      <c r="B7" s="2" t="n">
        <v>46002.967361111114</v>
      </c>
      <c r="C7" t="inlineStr">
        <is>
          <t>Boden House Block - Block Property</t>
        </is>
      </c>
      <c r="D7" t="inlineStr">
        <is>
          <t>compliance</t>
        </is>
      </c>
      <c r="E7" t="inlineStr">
        <is>
          <t>Fire Safety Equipment</t>
        </is>
      </c>
      <c r="F7" t="inlineStr">
        <is>
          <t>MANUAL</t>
        </is>
      </c>
      <c r="G7" s="3" t="n">
        <v>273.84</v>
      </c>
      <c r="H7" t="inlineStr">
        <is>
          <t>HIST-2025-05-1564</t>
        </is>
      </c>
      <c r="I7" s="2" t="n">
        <v>45804.0</v>
      </c>
      <c r="J7" t="inlineStr">
        <is>
          <t>PAID</t>
        </is>
      </c>
    </row>
    <row r="8">
      <c r="A8" t="n">
        <v>128.0</v>
      </c>
      <c r="B8" s="2" t="n">
        <v>46002.967361111114</v>
      </c>
      <c r="C8" t="inlineStr">
        <is>
          <t>Boden House Block - Block Property</t>
        </is>
      </c>
      <c r="D8" t="inlineStr">
        <is>
          <t>maintenance</t>
        </is>
      </c>
      <c r="E8" t="inlineStr">
        <is>
          <t>Repairs [Moved from Apartment F - Knighton Hayes Manor]</t>
        </is>
      </c>
      <c r="F8" t="inlineStr">
        <is>
          <t>MANUAL</t>
        </is>
      </c>
      <c r="G8" s="3" t="n">
        <v>115.01</v>
      </c>
      <c r="H8" t="inlineStr">
        <is>
          <t>HIST-2025-05-1564</t>
        </is>
      </c>
      <c r="I8" s="2" t="n">
        <v>45804.0</v>
      </c>
      <c r="J8" t="inlineStr">
        <is>
          <t>PAID</t>
        </is>
      </c>
    </row>
    <row r="9">
      <c r="A9" t="n">
        <v>140.0</v>
      </c>
      <c r="B9" s="2" t="n">
        <v>46003.01047453703</v>
      </c>
      <c r="C9" t="inlineStr">
        <is>
          <t>Boden House Block - Block Property</t>
        </is>
      </c>
      <c r="D9" t="inlineStr">
        <is>
          <t>maintenance</t>
        </is>
      </c>
      <c r="E9" t="inlineStr">
        <is>
          <t>Maintenance</t>
        </is>
      </c>
      <c r="F9" t="inlineStr">
        <is>
          <t>MANUAL</t>
        </is>
      </c>
      <c r="G9" s="3" t="n">
        <v>265.0</v>
      </c>
      <c r="H9" t="inlineStr">
        <is>
          <t>HIST-2025-07-1591</t>
        </is>
      </c>
      <c r="I9" s="2" t="n">
        <v>45846.0</v>
      </c>
      <c r="J9" t="inlineStr">
        <is>
          <t>PAID</t>
        </is>
      </c>
    </row>
    <row r="10">
      <c r="A10" t="n">
        <v>161.0</v>
      </c>
      <c r="B10" s="2" t="n">
        <v>46003.016909722224</v>
      </c>
      <c r="C10" t="inlineStr">
        <is>
          <t>Boden House Block - Block Property</t>
        </is>
      </c>
      <c r="D10" t="inlineStr">
        <is>
          <t>furnishings</t>
        </is>
      </c>
      <c r="E10" t="inlineStr">
        <is>
          <t>Bed [Moved from Flat 19 - 3 West Gate]</t>
        </is>
      </c>
      <c r="F10" t="inlineStr">
        <is>
          <t>MANUAL</t>
        </is>
      </c>
      <c r="G10" s="3" t="n">
        <v>61.49</v>
      </c>
      <c r="H10" t="inlineStr">
        <is>
          <t>HIST-2025-10-1650</t>
        </is>
      </c>
      <c r="I10" s="2" t="n">
        <v>45951.0</v>
      </c>
      <c r="J10" t="inlineStr">
        <is>
          <t>PAID</t>
        </is>
      </c>
    </row>
    <row r="11">
      <c r="A11" t="n">
        <v>157.0</v>
      </c>
      <c r="B11" s="2" t="n">
        <v>46003.016909722224</v>
      </c>
      <c r="C11" t="inlineStr">
        <is>
          <t>Boden House Block - Block Property</t>
        </is>
      </c>
      <c r="D11" t="inlineStr">
        <is>
          <t>management</t>
        </is>
      </c>
      <c r="E11" t="inlineStr">
        <is>
          <t>Clearance [Moved from Flat 11 - 3 West Gate]</t>
        </is>
      </c>
      <c r="F11" t="inlineStr">
        <is>
          <t>MANUAL</t>
        </is>
      </c>
      <c r="G11" s="3" t="n">
        <v>250.0</v>
      </c>
      <c r="H11" t="inlineStr">
        <is>
          <t>HIST-2025-10-1650</t>
        </is>
      </c>
      <c r="I11" s="2" t="n">
        <v>45951.0</v>
      </c>
      <c r="J11" t="inlineStr">
        <is>
          <t>PAID</t>
        </is>
      </c>
    </row>
    <row r="12">
      <c r="A12" t="n">
        <v>154.0</v>
      </c>
      <c r="B12" s="2" t="n">
        <v>46003.016909722224</v>
      </c>
      <c r="C12" t="inlineStr">
        <is>
          <t>Boden House Block - Block Property</t>
        </is>
      </c>
      <c r="D12" t="inlineStr">
        <is>
          <t>management</t>
        </is>
      </c>
      <c r="E12" t="inlineStr">
        <is>
          <t>Inventory [Moved from Flat 7 - 3 West Gate]</t>
        </is>
      </c>
      <c r="F12" t="inlineStr">
        <is>
          <t>MANUAL</t>
        </is>
      </c>
      <c r="G12" s="3" t="n">
        <v>150.0</v>
      </c>
      <c r="H12" t="inlineStr">
        <is>
          <t>HIST-2025-10-1650</t>
        </is>
      </c>
      <c r="I12" s="2" t="n">
        <v>45951.0</v>
      </c>
      <c r="J12" t="inlineStr">
        <is>
          <t>PAID</t>
        </is>
      </c>
    </row>
    <row r="13">
      <c r="A13" t="n">
        <v>164.0</v>
      </c>
      <c r="B13" s="2" t="n">
        <v>46003.016909722224</v>
      </c>
      <c r="C13" t="inlineStr">
        <is>
          <t>Boden House Block - Block Property</t>
        </is>
      </c>
      <c r="D13" t="inlineStr">
        <is>
          <t>furnishings</t>
        </is>
      </c>
      <c r="E13" t="inlineStr">
        <is>
          <t>Mattress [Moved from Flat 19 - 3 West Gate]</t>
        </is>
      </c>
      <c r="F13" t="inlineStr">
        <is>
          <t>MANUAL</t>
        </is>
      </c>
      <c r="G13" s="3" t="n">
        <v>129.99</v>
      </c>
      <c r="H13" t="inlineStr">
        <is>
          <t>HIST-2025-10-1650</t>
        </is>
      </c>
      <c r="I13" s="2" t="n">
        <v>45951.0</v>
      </c>
      <c r="J13" t="inlineStr">
        <is>
          <t>PAID</t>
        </is>
      </c>
    </row>
    <row r="14">
      <c r="A14" t="n">
        <v>163.0</v>
      </c>
      <c r="B14" s="2" t="n">
        <v>46003.016909722224</v>
      </c>
      <c r="C14" t="inlineStr">
        <is>
          <t>Boden House Block - Block Property</t>
        </is>
      </c>
      <c r="D14" t="inlineStr">
        <is>
          <t>cleaning</t>
        </is>
      </c>
      <c r="E14" t="inlineStr">
        <is>
          <t>End of Tenancy Clean [Moved from Flat 19 - 3 West Gate]</t>
        </is>
      </c>
      <c r="F14" t="inlineStr">
        <is>
          <t>MANUAL</t>
        </is>
      </c>
      <c r="G14" s="3" t="n">
        <v>200.0</v>
      </c>
      <c r="H14" t="inlineStr">
        <is>
          <t>HIST-2025-10-1650</t>
        </is>
      </c>
      <c r="I14" s="2" t="n">
        <v>45951.0</v>
      </c>
      <c r="J14" t="inlineStr">
        <is>
          <t>PAID</t>
        </is>
      </c>
    </row>
    <row r="15">
      <c r="A15" t="n">
        <v>162.0</v>
      </c>
      <c r="B15" s="2" t="n">
        <v>46003.016909722224</v>
      </c>
      <c r="C15" t="inlineStr">
        <is>
          <t>Boden House Block - Block Property</t>
        </is>
      </c>
      <c r="D15" t="inlineStr">
        <is>
          <t>furnishings</t>
        </is>
      </c>
      <c r="E15" t="inlineStr">
        <is>
          <t>White Goods [Moved from Flat 19 - 3 West Gate]</t>
        </is>
      </c>
      <c r="F15" t="inlineStr">
        <is>
          <t>MANUAL</t>
        </is>
      </c>
      <c r="G15" s="3" t="n">
        <v>250.0</v>
      </c>
      <c r="H15" t="inlineStr">
        <is>
          <t>HIST-2025-10-1650</t>
        </is>
      </c>
      <c r="I15" s="2" t="n">
        <v>45951.0</v>
      </c>
      <c r="J15" t="inlineStr">
        <is>
          <t>PAID</t>
        </is>
      </c>
    </row>
    <row r="16">
      <c r="A16" t="n">
        <v>160.0</v>
      </c>
      <c r="B16" s="2" t="n">
        <v>46003.016909722224</v>
      </c>
      <c r="C16" t="inlineStr">
        <is>
          <t>Boden House Block - Block Property</t>
        </is>
      </c>
      <c r="D16" t="inlineStr">
        <is>
          <t>cleaning</t>
        </is>
      </c>
      <c r="E16" t="inlineStr">
        <is>
          <t>End of Tenancy Clean [Moved from Flat 12 - 3 West Gate]</t>
        </is>
      </c>
      <c r="F16" t="inlineStr">
        <is>
          <t>MANUAL</t>
        </is>
      </c>
      <c r="G16" s="3" t="n">
        <v>200.0</v>
      </c>
      <c r="H16" t="inlineStr">
        <is>
          <t>HIST-2025-10-1650</t>
        </is>
      </c>
      <c r="I16" s="2" t="n">
        <v>45951.0</v>
      </c>
      <c r="J16" t="inlineStr">
        <is>
          <t>PAID</t>
        </is>
      </c>
    </row>
    <row r="17">
      <c r="A17" t="n">
        <v>159.0</v>
      </c>
      <c r="B17" s="2" t="n">
        <v>46003.016909722224</v>
      </c>
      <c r="C17" t="inlineStr">
        <is>
          <t>Boden House Block - Block Property</t>
        </is>
      </c>
      <c r="D17" t="inlineStr">
        <is>
          <t>furnishings</t>
        </is>
      </c>
      <c r="E17" t="inlineStr">
        <is>
          <t>Bed [Moved from Flat 12 - 3 West Gate]</t>
        </is>
      </c>
      <c r="F17" t="inlineStr">
        <is>
          <t>MANUAL</t>
        </is>
      </c>
      <c r="G17" s="3" t="n">
        <v>58.99</v>
      </c>
      <c r="H17" t="inlineStr">
        <is>
          <t>HIST-2025-10-1650</t>
        </is>
      </c>
      <c r="I17" s="2" t="n">
        <v>45951.0</v>
      </c>
      <c r="J17" t="inlineStr">
        <is>
          <t>PAID</t>
        </is>
      </c>
    </row>
    <row r="18">
      <c r="A18" t="n">
        <v>158.0</v>
      </c>
      <c r="B18" s="2" t="n">
        <v>46003.016909722224</v>
      </c>
      <c r="C18" t="inlineStr">
        <is>
          <t>Boden House Block - Block Property</t>
        </is>
      </c>
      <c r="D18" t="inlineStr">
        <is>
          <t>furnishings</t>
        </is>
      </c>
      <c r="E18" t="inlineStr">
        <is>
          <t>White Goods [Moved from Flat 12 - 3 West Gate]</t>
        </is>
      </c>
      <c r="F18" t="inlineStr">
        <is>
          <t>MANUAL</t>
        </is>
      </c>
      <c r="G18" s="3" t="n">
        <v>300.0</v>
      </c>
      <c r="H18" t="inlineStr">
        <is>
          <t>HIST-2025-10-1650</t>
        </is>
      </c>
      <c r="I18" s="2" t="n">
        <v>45951.0</v>
      </c>
      <c r="J18" t="inlineStr">
        <is>
          <t>PAID</t>
        </is>
      </c>
    </row>
    <row r="19">
      <c r="A19" t="n">
        <v>156.0</v>
      </c>
      <c r="B19" s="2" t="n">
        <v>46003.016909722224</v>
      </c>
      <c r="C19" t="inlineStr">
        <is>
          <t>Boden House Block - Block Property</t>
        </is>
      </c>
      <c r="D19" t="inlineStr">
        <is>
          <t>cleaning</t>
        </is>
      </c>
      <c r="E19" t="inlineStr">
        <is>
          <t>End of Tenancy Clean [Moved from Flat 10 - 3 West Gate]</t>
        </is>
      </c>
      <c r="F19" t="inlineStr">
        <is>
          <t>MANUAL</t>
        </is>
      </c>
      <c r="G19" s="3" t="n">
        <v>200.0</v>
      </c>
      <c r="H19" t="inlineStr">
        <is>
          <t>HIST-2025-10-1650</t>
        </is>
      </c>
      <c r="I19" s="2" t="n">
        <v>45951.0</v>
      </c>
      <c r="J19" t="inlineStr">
        <is>
          <t>PAID</t>
        </is>
      </c>
    </row>
    <row r="20">
      <c r="A20" t="n">
        <v>155.0</v>
      </c>
      <c r="B20" s="2" t="n">
        <v>46003.016909722224</v>
      </c>
      <c r="C20" t="inlineStr">
        <is>
          <t>Boden House Block - Block Property</t>
        </is>
      </c>
      <c r="D20" t="inlineStr">
        <is>
          <t>furnishings</t>
        </is>
      </c>
      <c r="E20" t="inlineStr">
        <is>
          <t>White Goods [Moved from Flat 10 - 3 West Gate]</t>
        </is>
      </c>
      <c r="F20" t="inlineStr">
        <is>
          <t>MANUAL</t>
        </is>
      </c>
      <c r="G20" s="3" t="n">
        <v>250.0</v>
      </c>
      <c r="H20" t="inlineStr">
        <is>
          <t>HIST-2025-10-1650</t>
        </is>
      </c>
      <c r="I20" s="2" t="n">
        <v>45951.0</v>
      </c>
      <c r="J20" t="inlineStr">
        <is>
          <t>PAID</t>
        </is>
      </c>
    </row>
    <row r="21">
      <c r="A21" t="n">
        <v>153.0</v>
      </c>
      <c r="B21" s="2" t="n">
        <v>46003.016909722224</v>
      </c>
      <c r="C21" t="inlineStr">
        <is>
          <t>Boden House Block - Block Property</t>
        </is>
      </c>
      <c r="D21" t="inlineStr">
        <is>
          <t>cleaning</t>
        </is>
      </c>
      <c r="E21" t="inlineStr">
        <is>
          <t>End of Tenancy Clean [Moved from Flat 7 - 3 West Gate]</t>
        </is>
      </c>
      <c r="F21" t="inlineStr">
        <is>
          <t>MANUAL</t>
        </is>
      </c>
      <c r="G21" s="3" t="n">
        <v>200.0</v>
      </c>
      <c r="H21" t="inlineStr">
        <is>
          <t>HIST-2025-10-1650</t>
        </is>
      </c>
      <c r="I21" s="2" t="n">
        <v>45951.0</v>
      </c>
      <c r="J21" t="inlineStr">
        <is>
          <t>PAID</t>
        </is>
      </c>
    </row>
    <row r="22">
      <c r="A22" t="n">
        <v>152.0</v>
      </c>
      <c r="B22" s="2" t="n">
        <v>46003.016909722224</v>
      </c>
      <c r="C22" t="inlineStr">
        <is>
          <t>Boden House Block - Block Property</t>
        </is>
      </c>
      <c r="D22" t="inlineStr">
        <is>
          <t>furnishings</t>
        </is>
      </c>
      <c r="E22" t="inlineStr">
        <is>
          <t>Ceramic Hob [Moved from Flat 7 - 3 West Gate]</t>
        </is>
      </c>
      <c r="F22" t="inlineStr">
        <is>
          <t>MANUAL</t>
        </is>
      </c>
      <c r="G22" s="3" t="n">
        <v>229.94</v>
      </c>
      <c r="H22" t="inlineStr">
        <is>
          <t>HIST-2025-10-1650</t>
        </is>
      </c>
      <c r="I22" s="2" t="n">
        <v>45951.0</v>
      </c>
      <c r="J22" t="inlineStr">
        <is>
          <t>PAID</t>
        </is>
      </c>
    </row>
    <row r="23">
      <c r="A23" t="n">
        <v>172.0</v>
      </c>
      <c r="B23" s="2" t="n">
        <v>46003.02768518519</v>
      </c>
      <c r="C23" t="inlineStr">
        <is>
          <t>Boden House Block - Block Property</t>
        </is>
      </c>
      <c r="D23" t="inlineStr">
        <is>
          <t>cleaning</t>
        </is>
      </c>
      <c r="E23" t="inlineStr">
        <is>
          <t>End of Tenancy Clean [Moved from Flat 16 - 3 West Gate]</t>
        </is>
      </c>
      <c r="F23" t="inlineStr">
        <is>
          <t>MANUAL</t>
        </is>
      </c>
      <c r="G23" s="3" t="n">
        <v>200.0</v>
      </c>
      <c r="H23" t="inlineStr">
        <is>
          <t>HIST-2025-10-1650</t>
        </is>
      </c>
      <c r="I23" s="2" t="n">
        <v>45951.0</v>
      </c>
      <c r="J23" t="inlineStr">
        <is>
          <t>PAID</t>
        </is>
      </c>
    </row>
    <row r="24">
      <c r="A24" t="n">
        <v>174.0</v>
      </c>
      <c r="B24" s="2" t="n">
        <v>46003.02768518519</v>
      </c>
      <c r="C24" t="inlineStr">
        <is>
          <t>Boden House Block - Block Property</t>
        </is>
      </c>
      <c r="D24" t="inlineStr">
        <is>
          <t>cleaning</t>
        </is>
      </c>
      <c r="E24" t="inlineStr">
        <is>
          <t>End of Tenancy Clean [Moved from Flat 25 - 3 West Gate]</t>
        </is>
      </c>
      <c r="F24" t="inlineStr">
        <is>
          <t>MANUAL</t>
        </is>
      </c>
      <c r="G24" s="3" t="n">
        <v>200.0</v>
      </c>
      <c r="H24" t="inlineStr">
        <is>
          <t>HIST-2025-10-1650</t>
        </is>
      </c>
      <c r="I24" s="2" t="n">
        <v>45951.0</v>
      </c>
      <c r="J24" t="inlineStr">
        <is>
          <t>PAID</t>
        </is>
      </c>
    </row>
    <row r="25">
      <c r="A25" t="n">
        <v>173.0</v>
      </c>
      <c r="B25" s="2" t="n">
        <v>46003.02768518519</v>
      </c>
      <c r="C25" t="inlineStr">
        <is>
          <t>Boden House Block - Block Property</t>
        </is>
      </c>
      <c r="D25" t="inlineStr">
        <is>
          <t>management</t>
        </is>
      </c>
      <c r="E25" t="inlineStr">
        <is>
          <t>Inventory [Moved from Flat 16 - 3 West Gate]</t>
        </is>
      </c>
      <c r="F25" t="inlineStr">
        <is>
          <t>MANUAL</t>
        </is>
      </c>
      <c r="G25" s="3" t="n">
        <v>160.0</v>
      </c>
      <c r="H25" t="inlineStr">
        <is>
          <t>HIST-2025-10-1650</t>
        </is>
      </c>
      <c r="I25" s="2" t="n">
        <v>45951.0</v>
      </c>
      <c r="J25" t="inlineStr">
        <is>
          <t>PAID</t>
        </is>
      </c>
    </row>
    <row r="26">
      <c r="A26" t="n">
        <v>175.0</v>
      </c>
      <c r="B26" s="2" t="n">
        <v>46003.02768518519</v>
      </c>
      <c r="C26" t="inlineStr">
        <is>
          <t>Boden House Block - Block Property</t>
        </is>
      </c>
      <c r="D26" t="inlineStr">
        <is>
          <t>management</t>
        </is>
      </c>
      <c r="E26" t="inlineStr">
        <is>
          <t>Inventory [Moved from Flat 25 - 3 West Gate]</t>
        </is>
      </c>
      <c r="F26" t="inlineStr">
        <is>
          <t>MANUAL</t>
        </is>
      </c>
      <c r="G26" s="3" t="n">
        <v>160.0</v>
      </c>
      <c r="H26" t="inlineStr">
        <is>
          <t>HIST-2025-10-1650</t>
        </is>
      </c>
      <c r="I26" s="2" t="n">
        <v>45951.0</v>
      </c>
      <c r="J26" t="inlineStr">
        <is>
          <t>PAID</t>
        </is>
      </c>
    </row>
    <row r="27">
      <c r="A27" t="n">
        <v>176.0</v>
      </c>
      <c r="B27" s="2" t="n">
        <v>46003.02768518519</v>
      </c>
      <c r="C27" t="inlineStr">
        <is>
          <t>Boden House Block - Block Property</t>
        </is>
      </c>
      <c r="D27" t="inlineStr">
        <is>
          <t>management</t>
        </is>
      </c>
      <c r="E27" t="inlineStr">
        <is>
          <t>Inventory [Moved from Flat 28 - 3 West Gate]</t>
        </is>
      </c>
      <c r="F27" t="inlineStr">
        <is>
          <t>MANUAL</t>
        </is>
      </c>
      <c r="G27" s="3" t="n">
        <v>160.0</v>
      </c>
      <c r="H27" t="inlineStr">
        <is>
          <t>HIST-2025-10-1650</t>
        </is>
      </c>
      <c r="I27" s="2" t="n">
        <v>45951.0</v>
      </c>
      <c r="J27" t="inlineStr">
        <is>
          <t>PAID</t>
        </is>
      </c>
    </row>
    <row r="28">
      <c r="A28" t="n">
        <v>189.0</v>
      </c>
      <c r="B28" s="2" t="n">
        <v>46003.03109953704</v>
      </c>
      <c r="C28" t="inlineStr">
        <is>
          <t>Boden House Block - Block Property</t>
        </is>
      </c>
      <c r="D28" t="inlineStr">
        <is>
          <t>management</t>
        </is>
      </c>
      <c r="E28" t="inlineStr">
        <is>
          <t>Inventory flat 12 160, end of tenancy clean flat 12 200, furniture flat 12 180, end of tenancy clean flat 28 200, flat 25 professional clean 200, fitting of new blinds 100, Weekly clean 320, deep clean 160, white goods for 16 250</t>
        </is>
      </c>
      <c r="F28" t="inlineStr">
        <is>
          <t>MANUAL</t>
        </is>
      </c>
      <c r="G28" s="3" t="n">
        <v>1410.0</v>
      </c>
      <c r="H28" t="inlineStr">
        <is>
          <t>HIST-2025-12-1654</t>
        </is>
      </c>
      <c r="I28" s="2" t="n">
        <v>45992.0</v>
      </c>
      <c r="J28" t="inlineStr">
        <is>
          <t>PAID</t>
        </is>
      </c>
    </row>
    <row r="29">
      <c r="A29" t="n">
        <v>190.0</v>
      </c>
      <c r="B29" s="2" t="n">
        <v>46003.03111111111</v>
      </c>
      <c r="C29" t="inlineStr">
        <is>
          <t>Boden House Block - Block Property</t>
        </is>
      </c>
      <c r="D29" t="inlineStr">
        <is>
          <t>utilities</t>
        </is>
      </c>
      <c r="E29" t="inlineStr">
        <is>
          <t>EON Utility - Building utilities</t>
        </is>
      </c>
      <c r="F29" t="inlineStr">
        <is>
          <t>MANUAL</t>
        </is>
      </c>
      <c r="G29" s="3" t="n">
        <v>1000.0</v>
      </c>
      <c r="H29" t="inlineStr">
        <is>
          <t>HIST-2025-12-1654</t>
        </is>
      </c>
      <c r="I29" s="2" t="n">
        <v>45992.0</v>
      </c>
      <c r="J29" t="inlineStr">
        <is>
          <t>PAID</t>
        </is>
      </c>
    </row>
    <row r="30">
      <c r="A30" t="n">
        <v>191.0</v>
      </c>
      <c r="B30" s="2" t="n">
        <v>46003.03111111111</v>
      </c>
      <c r="C30" t="inlineStr">
        <is>
          <t>Flat 12 - 3 West Gate</t>
        </is>
      </c>
      <c r="D30" t="inlineStr">
        <is>
          <t>refund</t>
        </is>
      </c>
      <c r="E30" t="inlineStr">
        <is>
          <t>Refund of rent to Adam Kirby</t>
        </is>
      </c>
      <c r="F30" t="inlineStr">
        <is>
          <t>MANUAL</t>
        </is>
      </c>
      <c r="G30" s="3" t="n">
        <v>3157.75</v>
      </c>
      <c r="H30" t="inlineStr">
        <is>
          <t>HIST-2025-12-1654</t>
        </is>
      </c>
      <c r="I30" s="2" t="n">
        <v>45992.0</v>
      </c>
      <c r="J30" t="inlineStr">
        <is>
          <t>PAID</t>
        </is>
      </c>
    </row>
    <row r="31">
      <c r="F31" s="1" t="inlineStr">
        <is>
          <t>TOTAL:</t>
        </is>
      </c>
      <c r="G31" s="3" t="n">
        <v>13400.39</v>
      </c>
    </row>
  </sheetData>
  <pageMargins bottom="0.75" footer="0.3" header="0.3" left="0.7" right="0.7" top="0.75"/>
</worksheet>
</file>

<file path=xl/worksheets/sheet22.xml><?xml version="1.0" encoding="utf-8"?>
<worksheet xmlns="http://schemas.openxmlformats.org/spreadsheetml/2006/main">
  <dimension ref="A1:H28"/>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s>
  <sheetData>
    <row r="1">
      <c r="A1" s="1" t="inlineStr">
        <is>
          <t>Batch Reference</t>
        </is>
      </c>
      <c r="B1" s="1" t="inlineStr">
        <is>
          <t>Payment Date</t>
        </is>
      </c>
      <c r="C1" s="1" t="inlineStr">
        <is>
          <t>Total Allocations</t>
        </is>
      </c>
      <c r="D1" s="1" t="inlineStr">
        <is>
          <t>Balance Adjustment</t>
        </is>
      </c>
      <c r="E1" s="1" t="inlineStr">
        <is>
          <t>Total Payment</t>
        </is>
      </c>
      <c r="F1" s="1" t="inlineStr">
        <is>
          <t>Status</t>
        </is>
      </c>
      <c r="G1" s="1" t="inlineStr">
        <is>
          <t>Payment Method</t>
        </is>
      </c>
      <c r="H1" s="1" t="inlineStr">
        <is>
          <t>Notes</t>
        </is>
      </c>
    </row>
    <row r="2">
      <c r="A2" t="inlineStr">
        <is>
          <t>zZyxxDQ01d</t>
        </is>
      </c>
      <c r="B2" s="2" t="n">
        <v>45981.0</v>
      </c>
      <c r="C2" s="3" t="n">
        <v>573.75</v>
      </c>
      <c r="D2" s="3" t="n">
        <v>0.0</v>
      </c>
      <c r="E2" s="3" t="n">
        <v>573.75</v>
      </c>
      <c r="F2" t="inlineStr">
        <is>
          <t>PAID</t>
        </is>
      </c>
      <c r="G2" t="inlineStr">
        <is>
          <t/>
        </is>
      </c>
      <c r="H2" t="inlineStr">
        <is>
          <t/>
        </is>
      </c>
    </row>
    <row r="3">
      <c r="A3" t="inlineStr">
        <is>
          <t>zJBjND23JQ</t>
        </is>
      </c>
      <c r="B3" s="2" t="n">
        <v>45831.0</v>
      </c>
      <c r="C3" s="3" t="n">
        <v>2507.5</v>
      </c>
      <c r="D3" s="3" t="n">
        <v>0.0</v>
      </c>
      <c r="E3" s="3" t="n">
        <v>2507.5</v>
      </c>
      <c r="F3" t="inlineStr">
        <is>
          <t>PAID</t>
        </is>
      </c>
      <c r="G3" t="inlineStr">
        <is>
          <t/>
        </is>
      </c>
      <c r="H3" t="inlineStr">
        <is>
          <t/>
        </is>
      </c>
    </row>
    <row r="4">
      <c r="A4" t="inlineStr">
        <is>
          <t>YZ2WWPAKJQ</t>
        </is>
      </c>
      <c r="B4" s="2" t="n">
        <v>45982.0</v>
      </c>
      <c r="C4" s="3" t="n">
        <v>10612.48</v>
      </c>
      <c r="D4" s="3" t="n">
        <v>0.0</v>
      </c>
      <c r="E4" s="3" t="n">
        <v>10612.48</v>
      </c>
      <c r="F4" t="inlineStr">
        <is>
          <t>PAID</t>
        </is>
      </c>
      <c r="G4" t="inlineStr">
        <is>
          <t/>
        </is>
      </c>
      <c r="H4" t="inlineStr">
        <is>
          <t/>
        </is>
      </c>
    </row>
    <row r="5">
      <c r="A5" t="inlineStr">
        <is>
          <t>yJ6jj5o7Jj</t>
        </is>
      </c>
      <c r="B5" s="2" t="n">
        <v>45981.0</v>
      </c>
      <c r="C5" s="3" t="n">
        <v>479.0</v>
      </c>
      <c r="D5" s="3" t="n">
        <v>0.0</v>
      </c>
      <c r="E5" s="3" t="n">
        <v>479.0</v>
      </c>
      <c r="F5" t="inlineStr">
        <is>
          <t>PAID</t>
        </is>
      </c>
      <c r="G5" t="inlineStr">
        <is>
          <t/>
        </is>
      </c>
      <c r="H5" t="inlineStr">
        <is>
          <t/>
        </is>
      </c>
    </row>
    <row r="6">
      <c r="A6" t="inlineStr">
        <is>
          <t>v1pE8pYjZd</t>
        </is>
      </c>
      <c r="B6" s="2" t="n">
        <v>45831.0</v>
      </c>
      <c r="C6" s="3" t="n">
        <v>1012.5</v>
      </c>
      <c r="D6" s="3" t="n">
        <v>0.0</v>
      </c>
      <c r="E6" s="3" t="n">
        <v>1012.5</v>
      </c>
      <c r="F6" t="inlineStr">
        <is>
          <t>PAID</t>
        </is>
      </c>
      <c r="G6" t="inlineStr">
        <is>
          <t/>
        </is>
      </c>
      <c r="H6" t="inlineStr">
        <is>
          <t/>
        </is>
      </c>
    </row>
    <row r="7">
      <c r="A7" t="inlineStr">
        <is>
          <t>QZGNwwqb19</t>
        </is>
      </c>
      <c r="B7" s="2" t="n">
        <v>45936.0</v>
      </c>
      <c r="C7" s="3" t="n">
        <v>10672.75</v>
      </c>
      <c r="D7" s="3" t="n">
        <v>0.0</v>
      </c>
      <c r="E7" s="3" t="n">
        <v>10672.75</v>
      </c>
      <c r="F7" t="inlineStr">
        <is>
          <t>PAID</t>
        </is>
      </c>
      <c r="G7" t="inlineStr">
        <is>
          <t/>
        </is>
      </c>
      <c r="H7" t="inlineStr">
        <is>
          <t/>
        </is>
      </c>
    </row>
    <row r="8">
      <c r="A8" t="inlineStr">
        <is>
          <t>LJMK7Oyo1q</t>
        </is>
      </c>
      <c r="B8" s="2" t="n">
        <v>45891.0</v>
      </c>
      <c r="C8" s="3" t="n">
        <v>16666.26</v>
      </c>
      <c r="D8" s="3" t="n">
        <v>0.0</v>
      </c>
      <c r="E8" s="3" t="n">
        <v>16666.26</v>
      </c>
      <c r="F8" t="inlineStr">
        <is>
          <t>PAID</t>
        </is>
      </c>
      <c r="G8" t="inlineStr">
        <is>
          <t/>
        </is>
      </c>
      <c r="H8" t="inlineStr">
        <is>
          <t/>
        </is>
      </c>
    </row>
    <row r="9">
      <c r="A9" t="inlineStr">
        <is>
          <t>HIST-2025-12-1654</t>
        </is>
      </c>
      <c r="B9" s="2" t="n">
        <v>45992.0</v>
      </c>
      <c r="C9" s="3" t="n">
        <v>2554.0</v>
      </c>
      <c r="D9" s="3" t="n">
        <v>0.0</v>
      </c>
      <c r="E9" s="3" t="n">
        <v>2554.0</v>
      </c>
      <c r="F9" t="inlineStr">
        <is>
          <t>PAID</t>
        </is>
      </c>
      <c r="G9" t="inlineStr">
        <is>
          <t/>
        </is>
      </c>
      <c r="H9" t="inlineStr">
        <is>
          <t/>
        </is>
      </c>
    </row>
    <row r="10">
      <c r="A10" t="inlineStr">
        <is>
          <t>HIST-2025-10-1650</t>
        </is>
      </c>
      <c r="B10" s="2" t="n">
        <v>45951.0</v>
      </c>
      <c r="C10" s="3" t="n">
        <v>1949.0</v>
      </c>
      <c r="D10" s="3" t="n">
        <v>0.0</v>
      </c>
      <c r="E10" s="3" t="n">
        <v>1949.0</v>
      </c>
      <c r="F10" t="inlineStr">
        <is>
          <t>PAID</t>
        </is>
      </c>
      <c r="G10" t="inlineStr">
        <is>
          <t/>
        </is>
      </c>
      <c r="H10" t="inlineStr">
        <is>
          <t/>
        </is>
      </c>
    </row>
    <row r="11">
      <c r="A11" t="inlineStr">
        <is>
          <t>HIST-2025-07-1604</t>
        </is>
      </c>
      <c r="B11" s="2" t="n">
        <v>45861.0</v>
      </c>
      <c r="C11" s="3" t="n">
        <v>1012.5</v>
      </c>
      <c r="D11" s="3" t="n">
        <v>0.0</v>
      </c>
      <c r="E11" s="3" t="n">
        <v>1012.5</v>
      </c>
      <c r="F11" t="inlineStr">
        <is>
          <t>PAID</t>
        </is>
      </c>
      <c r="G11" t="inlineStr">
        <is>
          <t/>
        </is>
      </c>
      <c r="H11" t="inlineStr">
        <is>
          <t/>
        </is>
      </c>
    </row>
    <row r="12">
      <c r="A12" t="inlineStr">
        <is>
          <t>HIST-2025-07-1603</t>
        </is>
      </c>
      <c r="B12" s="2" t="n">
        <v>45846.0</v>
      </c>
      <c r="C12" s="3" t="n">
        <v>6233.23</v>
      </c>
      <c r="D12" s="3" t="n">
        <v>0.0</v>
      </c>
      <c r="E12" s="3" t="n">
        <v>6233.23</v>
      </c>
      <c r="F12" t="inlineStr">
        <is>
          <t>PAID</t>
        </is>
      </c>
      <c r="G12" t="inlineStr">
        <is>
          <t/>
        </is>
      </c>
      <c r="H12" t="inlineStr">
        <is>
          <t/>
        </is>
      </c>
    </row>
    <row r="13">
      <c r="A13" t="inlineStr">
        <is>
          <t>HIST-2025-07-1591</t>
        </is>
      </c>
      <c r="B13" s="2" t="n">
        <v>45846.0</v>
      </c>
      <c r="C13" s="3" t="n">
        <v>14479.31</v>
      </c>
      <c r="D13" s="3" t="n">
        <v>0.0</v>
      </c>
      <c r="E13" s="3" t="n">
        <v>14479.31</v>
      </c>
      <c r="F13" t="inlineStr">
        <is>
          <t>PAID</t>
        </is>
      </c>
      <c r="G13" t="inlineStr">
        <is>
          <t/>
        </is>
      </c>
      <c r="H13" t="inlineStr">
        <is>
          <t/>
        </is>
      </c>
    </row>
    <row r="14">
      <c r="A14" t="inlineStr">
        <is>
          <t>HIST-2025-05-1565</t>
        </is>
      </c>
      <c r="B14" s="2" t="n">
        <v>45805.0</v>
      </c>
      <c r="C14" s="3" t="n">
        <v>923.21</v>
      </c>
      <c r="D14" s="3" t="n">
        <v>0.0</v>
      </c>
      <c r="E14" s="3" t="n">
        <v>923.21</v>
      </c>
      <c r="F14" t="inlineStr">
        <is>
          <t>PAID</t>
        </is>
      </c>
      <c r="G14" t="inlineStr">
        <is>
          <t/>
        </is>
      </c>
      <c r="H14" t="inlineStr">
        <is>
          <t/>
        </is>
      </c>
    </row>
    <row r="15">
      <c r="A15" t="inlineStr">
        <is>
          <t>HIST-2025-05-1564</t>
        </is>
      </c>
      <c r="B15" s="2" t="n">
        <v>45804.0</v>
      </c>
      <c r="C15" s="3" t="n">
        <v>17111.56</v>
      </c>
      <c r="D15" s="3" t="n">
        <v>0.0</v>
      </c>
      <c r="E15" s="3" t="n">
        <v>17111.56</v>
      </c>
      <c r="F15" t="inlineStr">
        <is>
          <t>PAID</t>
        </is>
      </c>
      <c r="G15" t="inlineStr">
        <is>
          <t/>
        </is>
      </c>
      <c r="H15" t="inlineStr">
        <is>
          <t/>
        </is>
      </c>
    </row>
    <row r="16">
      <c r="A16" t="inlineStr">
        <is>
          <t>HIST-2025-04-1533</t>
        </is>
      </c>
      <c r="B16" s="2" t="n">
        <v>45765.0</v>
      </c>
      <c r="C16" s="3" t="n">
        <v>558.12</v>
      </c>
      <c r="D16" s="3" t="n">
        <v>0.0</v>
      </c>
      <c r="E16" s="3" t="n">
        <v>558.12</v>
      </c>
      <c r="F16" t="inlineStr">
        <is>
          <t>PAID</t>
        </is>
      </c>
      <c r="G16" t="inlineStr">
        <is>
          <t/>
        </is>
      </c>
      <c r="H16" t="inlineStr">
        <is>
          <t/>
        </is>
      </c>
    </row>
    <row r="17">
      <c r="A17" t="inlineStr">
        <is>
          <t>HIST-2025-04-1532</t>
        </is>
      </c>
      <c r="B17" s="2" t="n">
        <v>45772.0</v>
      </c>
      <c r="C17" s="3" t="n">
        <v>18296.25</v>
      </c>
      <c r="D17" s="3" t="n">
        <v>0.0</v>
      </c>
      <c r="E17" s="3" t="n">
        <v>18296.25</v>
      </c>
      <c r="F17" t="inlineStr">
        <is>
          <t>PAID</t>
        </is>
      </c>
      <c r="G17" t="inlineStr">
        <is>
          <t/>
        </is>
      </c>
      <c r="H17" t="inlineStr">
        <is>
          <t/>
        </is>
      </c>
    </row>
    <row r="18">
      <c r="A18" t="inlineStr">
        <is>
          <t>HIST-2025-03-1502</t>
        </is>
      </c>
      <c r="B18" s="2" t="n">
        <v>45741.0</v>
      </c>
      <c r="C18" s="3" t="n">
        <v>1012.5</v>
      </c>
      <c r="D18" s="3" t="n">
        <v>0.0</v>
      </c>
      <c r="E18" s="3" t="n">
        <v>1012.5</v>
      </c>
      <c r="F18" t="inlineStr">
        <is>
          <t>PAID</t>
        </is>
      </c>
      <c r="G18" t="inlineStr">
        <is>
          <t/>
        </is>
      </c>
      <c r="H18" t="inlineStr">
        <is>
          <t/>
        </is>
      </c>
    </row>
    <row r="19">
      <c r="A19" t="inlineStr">
        <is>
          <t>HIST-2025-03-1501</t>
        </is>
      </c>
      <c r="B19" s="2" t="n">
        <v>45739.0</v>
      </c>
      <c r="C19" s="3" t="n">
        <v>14606.25</v>
      </c>
      <c r="D19" s="3" t="n">
        <v>0.0</v>
      </c>
      <c r="E19" s="3" t="n">
        <v>14606.25</v>
      </c>
      <c r="F19" t="inlineStr">
        <is>
          <t>PAID</t>
        </is>
      </c>
      <c r="G19" t="inlineStr">
        <is>
          <t/>
        </is>
      </c>
      <c r="H19" t="inlineStr">
        <is>
          <t/>
        </is>
      </c>
    </row>
    <row r="20">
      <c r="A20" t="inlineStr">
        <is>
          <t>HIST-2025-03-1475</t>
        </is>
      </c>
      <c r="B20" s="2" t="n">
        <v>45722.0</v>
      </c>
      <c r="C20" s="3" t="n">
        <v>816.25</v>
      </c>
      <c r="D20" s="3" t="n">
        <v>0.0</v>
      </c>
      <c r="E20" s="3" t="n">
        <v>816.25</v>
      </c>
      <c r="F20" t="inlineStr">
        <is>
          <t>PAID</t>
        </is>
      </c>
      <c r="G20" t="inlineStr">
        <is>
          <t/>
        </is>
      </c>
      <c r="H20" t="inlineStr">
        <is>
          <t/>
        </is>
      </c>
    </row>
    <row r="21">
      <c r="A21" t="inlineStr">
        <is>
          <t>HIST-2025-03-1474</t>
        </is>
      </c>
      <c r="B21" s="2" t="n">
        <v>45722.0</v>
      </c>
      <c r="C21" s="3" t="n">
        <v>1012.5</v>
      </c>
      <c r="D21" s="3" t="n">
        <v>0.0</v>
      </c>
      <c r="E21" s="3" t="n">
        <v>1012.5</v>
      </c>
      <c r="F21" t="inlineStr">
        <is>
          <t>PAID</t>
        </is>
      </c>
      <c r="G21" t="inlineStr">
        <is>
          <t/>
        </is>
      </c>
      <c r="H21" t="inlineStr">
        <is>
          <t/>
        </is>
      </c>
    </row>
    <row r="22">
      <c r="A22" t="inlineStr">
        <is>
          <t>HIST-2025-03-1473</t>
        </is>
      </c>
      <c r="B22" s="2" t="n">
        <v>45722.0</v>
      </c>
      <c r="C22" s="3" t="n">
        <v>1012.5</v>
      </c>
      <c r="D22" s="3" t="n">
        <v>0.0</v>
      </c>
      <c r="E22" s="3" t="n">
        <v>1012.5</v>
      </c>
      <c r="F22" t="inlineStr">
        <is>
          <t>PAID</t>
        </is>
      </c>
      <c r="G22" t="inlineStr">
        <is>
          <t/>
        </is>
      </c>
      <c r="H22" t="inlineStr">
        <is>
          <t/>
        </is>
      </c>
    </row>
    <row r="23">
      <c r="A23" t="inlineStr">
        <is>
          <t>HIST-2025-03-1472</t>
        </is>
      </c>
      <c r="B23" s="2" t="n">
        <v>45722.0</v>
      </c>
      <c r="C23" s="3" t="n">
        <v>2111.0</v>
      </c>
      <c r="D23" s="3" t="n">
        <v>0.0</v>
      </c>
      <c r="E23" s="3" t="n">
        <v>2111.0</v>
      </c>
      <c r="F23" t="inlineStr">
        <is>
          <t>PAID</t>
        </is>
      </c>
      <c r="G23" t="inlineStr">
        <is>
          <t/>
        </is>
      </c>
      <c r="H23" t="inlineStr">
        <is>
          <t/>
        </is>
      </c>
    </row>
    <row r="24">
      <c r="A24" t="inlineStr">
        <is>
          <t>G1O4GnbjZM</t>
        </is>
      </c>
      <c r="B24" s="2" t="n">
        <v>45953.0</v>
      </c>
      <c r="C24" s="3" t="n">
        <v>8301.25</v>
      </c>
      <c r="D24" s="3" t="n">
        <v>0.0</v>
      </c>
      <c r="E24" s="3" t="n">
        <v>8301.25</v>
      </c>
      <c r="F24" t="inlineStr">
        <is>
          <t>PAID</t>
        </is>
      </c>
      <c r="G24" t="inlineStr">
        <is>
          <t/>
        </is>
      </c>
      <c r="H24" t="inlineStr">
        <is>
          <t/>
        </is>
      </c>
    </row>
    <row r="25">
      <c r="A25" t="inlineStr">
        <is>
          <t>e1a2e4QVZE</t>
        </is>
      </c>
      <c r="B25" s="2" t="n">
        <v>45861.0</v>
      </c>
      <c r="C25" s="3" t="n">
        <v>11960.5</v>
      </c>
      <c r="D25" s="3" t="n">
        <v>0.0</v>
      </c>
      <c r="E25" s="3" t="n">
        <v>11960.5</v>
      </c>
      <c r="F25" t="inlineStr">
        <is>
          <t>PAID</t>
        </is>
      </c>
      <c r="G25" t="inlineStr">
        <is>
          <t/>
        </is>
      </c>
      <c r="H25" t="inlineStr">
        <is>
          <t/>
        </is>
      </c>
    </row>
    <row r="26">
      <c r="A26" t="inlineStr">
        <is>
          <t>AXNrOQQnXk</t>
        </is>
      </c>
      <c r="B26" s="2" t="n">
        <v>45825.0</v>
      </c>
      <c r="C26" s="3" t="n">
        <v>629.0</v>
      </c>
      <c r="D26" s="3" t="n">
        <v>0.0</v>
      </c>
      <c r="E26" s="3" t="n">
        <v>629.0</v>
      </c>
      <c r="F26" t="inlineStr">
        <is>
          <t>PAID</t>
        </is>
      </c>
      <c r="G26" t="inlineStr">
        <is>
          <t/>
        </is>
      </c>
      <c r="H26" t="inlineStr">
        <is>
          <t/>
        </is>
      </c>
    </row>
    <row r="27">
      <c r="A27" t="inlineStr">
        <is>
          <t>2Xlz4lYnZe</t>
        </is>
      </c>
      <c r="B27" s="2" t="n">
        <v>45919.0</v>
      </c>
      <c r="C27" s="3" t="n">
        <v>11490.47</v>
      </c>
      <c r="D27" s="3" t="n">
        <v>0.0</v>
      </c>
      <c r="E27" s="3" t="n">
        <v>11490.47</v>
      </c>
      <c r="F27" t="inlineStr">
        <is>
          <t>PAID</t>
        </is>
      </c>
      <c r="G27" t="inlineStr">
        <is>
          <t/>
        </is>
      </c>
      <c r="H27" t="inlineStr">
        <is>
          <t/>
        </is>
      </c>
    </row>
    <row r="28">
      <c r="D28" s="1" t="inlineStr">
        <is>
          <t>TOTAL:</t>
        </is>
      </c>
      <c r="E28" s="3" t="n">
        <v>158593.64</v>
      </c>
    </row>
  </sheetData>
  <pageMargins bottom="0.75" footer="0.3" header="0.3" left="0.7" right="0.7" top="0.75"/>
</worksheet>
</file>

<file path=xl/worksheets/sheet23.xml><?xml version="1.0" encoding="utf-8"?>
<worksheet xmlns="http://schemas.openxmlformats.org/spreadsheetml/2006/main">
  <dimension ref="A1:H298"/>
  <sheetViews>
    <sheetView workbookViewId="0"/>
  </sheetViews>
  <sheetFormatPr defaultRowHeight="15.0"/>
  <cols>
    <col min="1" max="1" width="10.0" customWidth="true"/>
    <col min="2" max="2" width="25.0" customWidth="true"/>
    <col min="3" max="3" width="25.0" customWidth="true"/>
    <col min="4" max="4" width="15.0" customWidth="true"/>
    <col min="5" max="5" width="15.0" customWidth="true"/>
    <col min="6" max="6" width="15.0" customWidth="true"/>
    <col min="7" max="7" width="15.0" customWidth="true"/>
    <col min="8" max="8" width="15.0" customWidth="true"/>
  </cols>
  <sheetData>
    <row r="1">
      <c r="A1" s="1" t="inlineStr">
        <is>
          <t>payment_batch_id</t>
        </is>
      </c>
      <c r="B1" s="1" t="inlineStr">
        <is>
          <t>payment_date</t>
        </is>
      </c>
      <c r="C1" s="1" t="inlineStr">
        <is>
          <t>transaction_id</t>
        </is>
      </c>
      <c r="D1" s="1" t="inlineStr">
        <is>
          <t>transaction_date</t>
        </is>
      </c>
      <c r="E1" s="1" t="inlineStr">
        <is>
          <t>property_name</t>
        </is>
      </c>
      <c r="F1" s="1" t="inlineStr">
        <is>
          <t>category</t>
        </is>
      </c>
      <c r="G1" s="1" t="inlineStr">
        <is>
          <t>type</t>
        </is>
      </c>
      <c r="H1" s="1" t="inlineStr">
        <is>
          <t>allocated_amount</t>
        </is>
      </c>
    </row>
    <row r="2">
      <c r="A2" t="inlineStr">
        <is>
          <t>HIST-2025-03-1472</t>
        </is>
      </c>
      <c r="B2" s="2" t="n">
        <v>45722.0</v>
      </c>
      <c r="C2" t="inlineStr">
        <is>
          <t>1468</t>
        </is>
      </c>
      <c r="D2" s="2" t="n">
        <v>45703.0</v>
      </c>
      <c r="E2" t="inlineStr">
        <is>
          <t>Flat 21 - 3 West Gate</t>
        </is>
      </c>
      <c r="F2" t="inlineStr">
        <is>
          <t>rent</t>
        </is>
      </c>
      <c r="G2" t="inlineStr">
        <is>
          <t>Income</t>
        </is>
      </c>
      <c r="H2" s="3" t="n">
        <v>488.5</v>
      </c>
    </row>
    <row r="3">
      <c r="A3" t="inlineStr">
        <is>
          <t>HIST-2025-03-1472</t>
        </is>
      </c>
      <c r="B3" s="2" t="n">
        <v>45722.0</v>
      </c>
      <c r="C3" t="inlineStr">
        <is>
          <t>1463</t>
        </is>
      </c>
      <c r="D3" s="2" t="n">
        <v>45705.0</v>
      </c>
      <c r="E3" t="inlineStr">
        <is>
          <t>Flat 5 - 3 West Gate</t>
        </is>
      </c>
      <c r="F3" t="inlineStr">
        <is>
          <t>rent</t>
        </is>
      </c>
      <c r="G3" t="inlineStr">
        <is>
          <t>Income</t>
        </is>
      </c>
      <c r="H3" s="3" t="n">
        <v>629.0</v>
      </c>
    </row>
    <row r="4">
      <c r="A4" t="inlineStr">
        <is>
          <t>HIST-2025-03-1472</t>
        </is>
      </c>
      <c r="B4" s="2" t="n">
        <v>45722.0</v>
      </c>
      <c r="C4" t="inlineStr">
        <is>
          <t>1465</t>
        </is>
      </c>
      <c r="D4" s="2" t="n">
        <v>45707.0</v>
      </c>
      <c r="E4" t="inlineStr">
        <is>
          <t>Flat 15 - 3 West Gate</t>
        </is>
      </c>
      <c r="F4" t="inlineStr">
        <is>
          <t>rent</t>
        </is>
      </c>
      <c r="G4" t="inlineStr">
        <is>
          <t>Income</t>
        </is>
      </c>
      <c r="H4" s="3" t="n">
        <v>398.5</v>
      </c>
    </row>
    <row r="5">
      <c r="A5" t="inlineStr">
        <is>
          <t>HIST-2025-03-1472</t>
        </is>
      </c>
      <c r="B5" s="2" t="n">
        <v>45722.0</v>
      </c>
      <c r="C5" t="inlineStr">
        <is>
          <t>1464</t>
        </is>
      </c>
      <c r="D5" s="2" t="n">
        <v>45707.0</v>
      </c>
      <c r="E5" t="inlineStr">
        <is>
          <t>Flat 7 - 3 West Gate</t>
        </is>
      </c>
      <c r="F5" t="inlineStr">
        <is>
          <t>rent</t>
        </is>
      </c>
      <c r="G5" t="inlineStr">
        <is>
          <t>Income</t>
        </is>
      </c>
      <c r="H5" s="3" t="n">
        <v>595.0</v>
      </c>
    </row>
    <row r="6">
      <c r="A6" t="inlineStr">
        <is>
          <t>HIST-2025-03-1473</t>
        </is>
      </c>
      <c r="B6" s="2" t="n">
        <v>45722.0</v>
      </c>
      <c r="C6" t="inlineStr">
        <is>
          <t>1470</t>
        </is>
      </c>
      <c r="D6" s="2" t="n">
        <v>45685.0</v>
      </c>
      <c r="E6" t="inlineStr">
        <is>
          <t>Apartment F - Knighton Hayes Manor</t>
        </is>
      </c>
      <c r="F6" t="inlineStr">
        <is>
          <t>rent</t>
        </is>
      </c>
      <c r="G6" t="inlineStr">
        <is>
          <t>Income</t>
        </is>
      </c>
      <c r="H6" s="3" t="n">
        <v>1012.5</v>
      </c>
    </row>
    <row r="7">
      <c r="A7" t="inlineStr">
        <is>
          <t>HIST-2025-03-1474</t>
        </is>
      </c>
      <c r="B7" s="2" t="n">
        <v>45722.0</v>
      </c>
      <c r="C7" t="inlineStr">
        <is>
          <t>1470</t>
        </is>
      </c>
      <c r="D7" s="2" t="n">
        <v>45685.0</v>
      </c>
      <c r="E7" t="inlineStr">
        <is>
          <t>Apartment F - Knighton Hayes Manor</t>
        </is>
      </c>
      <c r="F7" t="inlineStr">
        <is>
          <t>rent</t>
        </is>
      </c>
      <c r="G7" t="inlineStr">
        <is>
          <t>Income</t>
        </is>
      </c>
      <c r="H7" s="3" t="n">
        <v>1012.5</v>
      </c>
    </row>
    <row r="8">
      <c r="A8" t="inlineStr">
        <is>
          <t>HIST-2025-03-1475</t>
        </is>
      </c>
      <c r="B8" s="2" t="n">
        <v>45722.0</v>
      </c>
      <c r="C8" t="inlineStr">
        <is>
          <t>1467</t>
        </is>
      </c>
      <c r="D8" s="2" t="n">
        <v>45703.0</v>
      </c>
      <c r="E8" t="inlineStr">
        <is>
          <t>Flat 18 - 3 West Gate</t>
        </is>
      </c>
      <c r="F8" t="inlineStr">
        <is>
          <t>rent</t>
        </is>
      </c>
      <c r="G8" t="inlineStr">
        <is>
          <t>Income</t>
        </is>
      </c>
      <c r="H8" s="3" t="n">
        <v>629.0</v>
      </c>
    </row>
    <row r="9">
      <c r="A9" t="inlineStr">
        <is>
          <t>HIST-2025-03-1475</t>
        </is>
      </c>
      <c r="B9" s="2" t="n">
        <v>45722.0</v>
      </c>
      <c r="C9" t="inlineStr">
        <is>
          <t>1468</t>
        </is>
      </c>
      <c r="D9" s="2" t="n">
        <v>45703.0</v>
      </c>
      <c r="E9" t="inlineStr">
        <is>
          <t>Flat 21 - 3 West Gate</t>
        </is>
      </c>
      <c r="F9" t="inlineStr">
        <is>
          <t>rent</t>
        </is>
      </c>
      <c r="G9" t="inlineStr">
        <is>
          <t>Income</t>
        </is>
      </c>
      <c r="H9" s="3" t="n">
        <v>187.25</v>
      </c>
    </row>
    <row r="10">
      <c r="A10" t="inlineStr">
        <is>
          <t>HIST-2025-03-1501</t>
        </is>
      </c>
      <c r="B10" s="2" t="n">
        <v>45739.0</v>
      </c>
      <c r="C10" t="inlineStr">
        <is>
          <t>1465</t>
        </is>
      </c>
      <c r="D10" s="2" t="n">
        <v>45707.0</v>
      </c>
      <c r="E10" t="inlineStr">
        <is>
          <t>Flat 15 - 3 West Gate</t>
        </is>
      </c>
      <c r="F10" t="inlineStr">
        <is>
          <t>rent</t>
        </is>
      </c>
      <c r="G10" t="inlineStr">
        <is>
          <t>Income</t>
        </is>
      </c>
      <c r="H10" s="3" t="n">
        <v>230.5</v>
      </c>
    </row>
    <row r="11">
      <c r="A11" t="inlineStr">
        <is>
          <t>HIST-2025-03-1501</t>
        </is>
      </c>
      <c r="B11" s="2" t="n">
        <v>45739.0</v>
      </c>
      <c r="C11" t="inlineStr">
        <is>
          <t>1466</t>
        </is>
      </c>
      <c r="D11" s="2" t="n">
        <v>45708.0</v>
      </c>
      <c r="E11" t="inlineStr">
        <is>
          <t>Flat 17 - 3 West Gate</t>
        </is>
      </c>
      <c r="F11" t="inlineStr">
        <is>
          <t>rent</t>
        </is>
      </c>
      <c r="G11" t="inlineStr">
        <is>
          <t>Income</t>
        </is>
      </c>
      <c r="H11" s="3" t="n">
        <v>595.0</v>
      </c>
    </row>
    <row r="12">
      <c r="A12" t="inlineStr">
        <is>
          <t>HIST-2025-03-1501</t>
        </is>
      </c>
      <c r="B12" s="2" t="n">
        <v>45739.0</v>
      </c>
      <c r="C12" t="inlineStr">
        <is>
          <t>1469</t>
        </is>
      </c>
      <c r="D12" s="2" t="n">
        <v>45708.0</v>
      </c>
      <c r="E12" t="inlineStr">
        <is>
          <t>Flat 24 - 3 West Gate</t>
        </is>
      </c>
      <c r="F12" t="inlineStr">
        <is>
          <t>rent</t>
        </is>
      </c>
      <c r="G12" t="inlineStr">
        <is>
          <t>Income</t>
        </is>
      </c>
      <c r="H12" s="3" t="n">
        <v>688.5</v>
      </c>
    </row>
    <row r="13">
      <c r="A13" t="inlineStr">
        <is>
          <t>HIST-2025-03-1501</t>
        </is>
      </c>
      <c r="B13" s="2" t="n">
        <v>45739.0</v>
      </c>
      <c r="C13" t="inlineStr">
        <is>
          <t>1500</t>
        </is>
      </c>
      <c r="D13" s="2" t="n">
        <v>45712.0</v>
      </c>
      <c r="E13" t="inlineStr">
        <is>
          <t>Apartment F - Knighton Hayes Manor</t>
        </is>
      </c>
      <c r="F13" t="inlineStr">
        <is>
          <t>rent</t>
        </is>
      </c>
      <c r="G13" t="inlineStr">
        <is>
          <t>Income</t>
        </is>
      </c>
      <c r="H13" s="3" t="n">
        <v>1012.5</v>
      </c>
    </row>
    <row r="14">
      <c r="A14" t="inlineStr">
        <is>
          <t>HIST-2025-03-1501</t>
        </is>
      </c>
      <c r="B14" s="2" t="n">
        <v>45739.0</v>
      </c>
      <c r="C14" t="inlineStr">
        <is>
          <t>1494</t>
        </is>
      </c>
      <c r="D14" s="2" t="n">
        <v>45716.0</v>
      </c>
      <c r="E14" t="inlineStr">
        <is>
          <t>Flat 22 - 3 West Gate</t>
        </is>
      </c>
      <c r="F14" t="inlineStr">
        <is>
          <t>rent</t>
        </is>
      </c>
      <c r="G14" t="inlineStr">
        <is>
          <t>Income</t>
        </is>
      </c>
      <c r="H14" s="3" t="n">
        <v>629.0</v>
      </c>
    </row>
    <row r="15">
      <c r="A15" t="inlineStr">
        <is>
          <t>HIST-2025-03-1501</t>
        </is>
      </c>
      <c r="B15" s="2" t="n">
        <v>45739.0</v>
      </c>
      <c r="C15" t="inlineStr">
        <is>
          <t>1496</t>
        </is>
      </c>
      <c r="D15" s="2" t="n">
        <v>45716.0</v>
      </c>
      <c r="E15" t="inlineStr">
        <is>
          <t>Flat 26 - 3 West Gate</t>
        </is>
      </c>
      <c r="F15" t="inlineStr">
        <is>
          <t>rent</t>
        </is>
      </c>
      <c r="G15" t="inlineStr">
        <is>
          <t>Income</t>
        </is>
      </c>
      <c r="H15" s="3" t="n">
        <v>573.75</v>
      </c>
    </row>
    <row r="16">
      <c r="A16" t="inlineStr">
        <is>
          <t>HIST-2025-03-1501</t>
        </is>
      </c>
      <c r="B16" s="2" t="n">
        <v>45739.0</v>
      </c>
      <c r="C16" t="inlineStr">
        <is>
          <t>1485</t>
        </is>
      </c>
      <c r="D16" s="2" t="n">
        <v>45718.0</v>
      </c>
      <c r="E16" t="inlineStr">
        <is>
          <t>Flat 11 - 3 West Gate</t>
        </is>
      </c>
      <c r="F16" t="inlineStr">
        <is>
          <t>rent</t>
        </is>
      </c>
      <c r="G16" t="inlineStr">
        <is>
          <t>Income</t>
        </is>
      </c>
      <c r="H16" s="3" t="n">
        <v>675.75</v>
      </c>
    </row>
    <row r="17">
      <c r="A17" t="inlineStr">
        <is>
          <t>HIST-2025-03-1501</t>
        </is>
      </c>
      <c r="B17" s="2" t="n">
        <v>45739.0</v>
      </c>
      <c r="C17" t="inlineStr">
        <is>
          <t>1491</t>
        </is>
      </c>
      <c r="D17" s="2" t="n">
        <v>45719.0</v>
      </c>
      <c r="E17" t="inlineStr">
        <is>
          <t>Flat 19 - 3 West Gate</t>
        </is>
      </c>
      <c r="F17" t="inlineStr">
        <is>
          <t>rent</t>
        </is>
      </c>
      <c r="G17" t="inlineStr">
        <is>
          <t>Income</t>
        </is>
      </c>
      <c r="H17" s="3" t="n">
        <v>629.0</v>
      </c>
    </row>
    <row r="18">
      <c r="A18" t="inlineStr">
        <is>
          <t>HIST-2025-03-1501</t>
        </is>
      </c>
      <c r="B18" s="2" t="n">
        <v>45739.0</v>
      </c>
      <c r="C18" t="inlineStr">
        <is>
          <t>1477</t>
        </is>
      </c>
      <c r="D18" s="2" t="n">
        <v>45719.0</v>
      </c>
      <c r="E18" t="inlineStr">
        <is>
          <t>Flat 2 - 3 West Gate</t>
        </is>
      </c>
      <c r="F18" t="inlineStr">
        <is>
          <t>rent</t>
        </is>
      </c>
      <c r="G18" t="inlineStr">
        <is>
          <t>Income</t>
        </is>
      </c>
      <c r="H18" s="3" t="n">
        <v>629.0</v>
      </c>
    </row>
    <row r="19">
      <c r="A19" t="inlineStr">
        <is>
          <t>HIST-2025-03-1501</t>
        </is>
      </c>
      <c r="B19" s="2" t="n">
        <v>45739.0</v>
      </c>
      <c r="C19" t="inlineStr">
        <is>
          <t>1497</t>
        </is>
      </c>
      <c r="D19" s="2" t="n">
        <v>45719.0</v>
      </c>
      <c r="E19" t="inlineStr">
        <is>
          <t>Flat 27 - 3 West Gate</t>
        </is>
      </c>
      <c r="F19" t="inlineStr">
        <is>
          <t>rent</t>
        </is>
      </c>
      <c r="G19" t="inlineStr">
        <is>
          <t>Income</t>
        </is>
      </c>
      <c r="H19" s="3" t="n">
        <v>595.0</v>
      </c>
    </row>
    <row r="20">
      <c r="A20" t="inlineStr">
        <is>
          <t>HIST-2025-03-1501</t>
        </is>
      </c>
      <c r="B20" s="2" t="n">
        <v>45739.0</v>
      </c>
      <c r="C20" t="inlineStr">
        <is>
          <t>1498</t>
        </is>
      </c>
      <c r="D20" s="2" t="n">
        <v>45719.0</v>
      </c>
      <c r="E20" t="inlineStr">
        <is>
          <t>Flat 29 - 3 West Gate</t>
        </is>
      </c>
      <c r="F20" t="inlineStr">
        <is>
          <t>rent</t>
        </is>
      </c>
      <c r="G20" t="inlineStr">
        <is>
          <t>Income</t>
        </is>
      </c>
      <c r="H20" s="3" t="n">
        <v>629.0</v>
      </c>
    </row>
    <row r="21">
      <c r="A21" t="inlineStr">
        <is>
          <t>HIST-2025-03-1501</t>
        </is>
      </c>
      <c r="B21" s="2" t="n">
        <v>45739.0</v>
      </c>
      <c r="C21" t="inlineStr">
        <is>
          <t>1479</t>
        </is>
      </c>
      <c r="D21" s="2" t="n">
        <v>45719.0</v>
      </c>
      <c r="E21" t="inlineStr">
        <is>
          <t>Flat 4 - 3 West Gate</t>
        </is>
      </c>
      <c r="F21" t="inlineStr">
        <is>
          <t>rent</t>
        </is>
      </c>
      <c r="G21" t="inlineStr">
        <is>
          <t>Income</t>
        </is>
      </c>
      <c r="H21" s="3" t="n">
        <v>726.75</v>
      </c>
    </row>
    <row r="22">
      <c r="A22" t="inlineStr">
        <is>
          <t>HIST-2025-03-1501</t>
        </is>
      </c>
      <c r="B22" s="2" t="n">
        <v>45739.0</v>
      </c>
      <c r="C22" t="inlineStr">
        <is>
          <t>1483</t>
        </is>
      </c>
      <c r="D22" s="2" t="n">
        <v>45719.0</v>
      </c>
      <c r="E22" t="inlineStr">
        <is>
          <t>Flat 9 - 3 West Gate</t>
        </is>
      </c>
      <c r="F22" t="inlineStr">
        <is>
          <t>rent</t>
        </is>
      </c>
      <c r="G22" t="inlineStr">
        <is>
          <t>Income</t>
        </is>
      </c>
      <c r="H22" s="3" t="n">
        <v>595.0</v>
      </c>
    </row>
    <row r="23">
      <c r="A23" t="inlineStr">
        <is>
          <t>HIST-2025-03-1501</t>
        </is>
      </c>
      <c r="B23" s="2" t="n">
        <v>45739.0</v>
      </c>
      <c r="C23" t="inlineStr">
        <is>
          <t>1476</t>
        </is>
      </c>
      <c r="D23" s="2" t="n">
        <v>45720.0</v>
      </c>
      <c r="E23" t="inlineStr">
        <is>
          <t>Flat 1 - 3 West Gate</t>
        </is>
      </c>
      <c r="F23" t="inlineStr">
        <is>
          <t>rent</t>
        </is>
      </c>
      <c r="G23" t="inlineStr">
        <is>
          <t>Income</t>
        </is>
      </c>
      <c r="H23" s="3" t="n">
        <v>675.75</v>
      </c>
    </row>
    <row r="24">
      <c r="A24" t="inlineStr">
        <is>
          <t>HIST-2025-03-1501</t>
        </is>
      </c>
      <c r="B24" s="2" t="n">
        <v>45739.0</v>
      </c>
      <c r="C24" t="inlineStr">
        <is>
          <t>1482</t>
        </is>
      </c>
      <c r="D24" s="2" t="n">
        <v>45720.0</v>
      </c>
      <c r="E24" t="inlineStr">
        <is>
          <t>Flat 8 - 3 West Gate</t>
        </is>
      </c>
      <c r="F24" t="inlineStr">
        <is>
          <t>rent</t>
        </is>
      </c>
      <c r="G24" t="inlineStr">
        <is>
          <t>Income</t>
        </is>
      </c>
      <c r="H24" s="3" t="n">
        <v>573.75</v>
      </c>
    </row>
    <row r="25">
      <c r="A25" t="inlineStr">
        <is>
          <t>HIST-2025-03-1501</t>
        </is>
      </c>
      <c r="B25" s="2" t="n">
        <v>45739.0</v>
      </c>
      <c r="C25" t="inlineStr">
        <is>
          <t>1484</t>
        </is>
      </c>
      <c r="D25" s="2" t="n">
        <v>45721.0</v>
      </c>
      <c r="E25" t="inlineStr">
        <is>
          <t>Flat 10 - 3 West Gate</t>
        </is>
      </c>
      <c r="F25" t="inlineStr">
        <is>
          <t>rent</t>
        </is>
      </c>
      <c r="G25" t="inlineStr">
        <is>
          <t>Income</t>
        </is>
      </c>
      <c r="H25" s="3" t="n">
        <v>624.75</v>
      </c>
    </row>
    <row r="26">
      <c r="A26" t="inlineStr">
        <is>
          <t>HIST-2025-03-1501</t>
        </is>
      </c>
      <c r="B26" s="2" t="n">
        <v>45739.0</v>
      </c>
      <c r="C26" t="inlineStr">
        <is>
          <t>1492</t>
        </is>
      </c>
      <c r="D26" s="2" t="n">
        <v>45721.0</v>
      </c>
      <c r="E26" t="inlineStr">
        <is>
          <t>Flat 20 - 3 West Gate</t>
        </is>
      </c>
      <c r="F26" t="inlineStr">
        <is>
          <t>rent</t>
        </is>
      </c>
      <c r="G26" t="inlineStr">
        <is>
          <t>Income</t>
        </is>
      </c>
      <c r="H26" s="3" t="n">
        <v>595.0</v>
      </c>
    </row>
    <row r="27">
      <c r="A27" t="inlineStr">
        <is>
          <t>HIST-2025-03-1501</t>
        </is>
      </c>
      <c r="B27" s="2" t="n">
        <v>45739.0</v>
      </c>
      <c r="C27" t="inlineStr">
        <is>
          <t>1486</t>
        </is>
      </c>
      <c r="D27" s="2" t="n">
        <v>45722.0</v>
      </c>
      <c r="E27" t="inlineStr">
        <is>
          <t>Flat 13 - 3 West Gate</t>
        </is>
      </c>
      <c r="F27" t="inlineStr">
        <is>
          <t>rent</t>
        </is>
      </c>
      <c r="G27" t="inlineStr">
        <is>
          <t>Income</t>
        </is>
      </c>
      <c r="H27" s="3" t="n">
        <v>680.0</v>
      </c>
    </row>
    <row r="28">
      <c r="A28" t="inlineStr">
        <is>
          <t>HIST-2025-03-1501</t>
        </is>
      </c>
      <c r="B28" s="2" t="n">
        <v>45739.0</v>
      </c>
      <c r="C28" t="inlineStr">
        <is>
          <t>1499</t>
        </is>
      </c>
      <c r="D28" s="2" t="n">
        <v>45726.0</v>
      </c>
      <c r="E28" t="inlineStr">
        <is>
          <t>Flat 30 - 3 West Gate</t>
        </is>
      </c>
      <c r="F28" t="inlineStr">
        <is>
          <t>rent</t>
        </is>
      </c>
      <c r="G28" t="inlineStr">
        <is>
          <t>Income</t>
        </is>
      </c>
      <c r="H28" s="3" t="n">
        <v>629.0</v>
      </c>
    </row>
    <row r="29">
      <c r="A29" t="inlineStr">
        <is>
          <t>HIST-2025-03-1501</t>
        </is>
      </c>
      <c r="B29" s="2" t="n">
        <v>45739.0</v>
      </c>
      <c r="C29" t="inlineStr">
        <is>
          <t>1488</t>
        </is>
      </c>
      <c r="D29" s="2" t="n">
        <v>45728.0</v>
      </c>
      <c r="E29" t="inlineStr">
        <is>
          <t>Flat 16 - 3 West Gate</t>
        </is>
      </c>
      <c r="F29" t="inlineStr">
        <is>
          <t>rent</t>
        </is>
      </c>
      <c r="G29" t="inlineStr">
        <is>
          <t>Income</t>
        </is>
      </c>
      <c r="H29" s="3" t="n">
        <v>629.0</v>
      </c>
    </row>
    <row r="30">
      <c r="A30" t="inlineStr">
        <is>
          <t>HIST-2025-03-1501</t>
        </is>
      </c>
      <c r="B30" s="2" t="n">
        <v>45739.0</v>
      </c>
      <c r="C30" t="inlineStr">
        <is>
          <t>1478</t>
        </is>
      </c>
      <c r="D30" s="2" t="n">
        <v>45730.0</v>
      </c>
      <c r="E30" t="inlineStr">
        <is>
          <t>Flat 3 - 3 West Gate</t>
        </is>
      </c>
      <c r="F30" t="inlineStr">
        <is>
          <t>rent</t>
        </is>
      </c>
      <c r="G30" t="inlineStr">
        <is>
          <t>Income</t>
        </is>
      </c>
      <c r="H30" s="3" t="n">
        <v>629.0</v>
      </c>
    </row>
    <row r="31">
      <c r="A31" t="inlineStr">
        <is>
          <t>HIST-2025-03-1501</t>
        </is>
      </c>
      <c r="B31" s="2" t="n">
        <v>45739.0</v>
      </c>
      <c r="C31" t="inlineStr">
        <is>
          <t>1490</t>
        </is>
      </c>
      <c r="D31" s="2" t="n">
        <v>45731.0</v>
      </c>
      <c r="E31" t="inlineStr">
        <is>
          <t>Flat 18 - 3 West Gate</t>
        </is>
      </c>
      <c r="F31" t="inlineStr">
        <is>
          <t>rent</t>
        </is>
      </c>
      <c r="G31" t="inlineStr">
        <is>
          <t>Income</t>
        </is>
      </c>
      <c r="H31" s="3" t="n">
        <v>629.0</v>
      </c>
    </row>
    <row r="32">
      <c r="A32" t="inlineStr">
        <is>
          <t>HIST-2025-03-1501</t>
        </is>
      </c>
      <c r="B32" s="2" t="n">
        <v>45739.0</v>
      </c>
      <c r="C32" t="inlineStr">
        <is>
          <t>1493</t>
        </is>
      </c>
      <c r="D32" s="2" t="n">
        <v>45731.0</v>
      </c>
      <c r="E32" t="inlineStr">
        <is>
          <t>Flat 21 - 3 West Gate</t>
        </is>
      </c>
      <c r="F32" t="inlineStr">
        <is>
          <t>rent</t>
        </is>
      </c>
      <c r="G32" t="inlineStr">
        <is>
          <t>Income</t>
        </is>
      </c>
      <c r="H32" s="3" t="n">
        <v>675.75</v>
      </c>
    </row>
    <row r="33">
      <c r="A33" t="inlineStr">
        <is>
          <t>HIST-2025-03-1501</t>
        </is>
      </c>
      <c r="B33" s="2" t="n">
        <v>45739.0</v>
      </c>
      <c r="C33" t="inlineStr">
        <is>
          <t>1495</t>
        </is>
      </c>
      <c r="D33" s="2" t="n">
        <v>45731.0</v>
      </c>
      <c r="E33" t="inlineStr">
        <is>
          <t>Flat 24 - 3 West Gate</t>
        </is>
      </c>
      <c r="F33" t="inlineStr">
        <is>
          <t>rent</t>
        </is>
      </c>
      <c r="G33" t="inlineStr">
        <is>
          <t>Income</t>
        </is>
      </c>
      <c r="H33" s="3" t="n">
        <v>688.5</v>
      </c>
    </row>
    <row r="34">
      <c r="A34" t="inlineStr">
        <is>
          <t>HIST-2025-03-1501</t>
        </is>
      </c>
      <c r="B34" s="2" t="n">
        <v>45739.0</v>
      </c>
      <c r="C34" t="inlineStr">
        <is>
          <t>1480</t>
        </is>
      </c>
      <c r="D34" s="2" t="n">
        <v>45733.0</v>
      </c>
      <c r="E34" t="inlineStr">
        <is>
          <t>Flat 5 - 3 West Gate</t>
        </is>
      </c>
      <c r="F34" t="inlineStr">
        <is>
          <t>rent</t>
        </is>
      </c>
      <c r="G34" t="inlineStr">
        <is>
          <t>Income</t>
        </is>
      </c>
      <c r="H34" s="3" t="n">
        <v>629.0</v>
      </c>
    </row>
    <row r="35">
      <c r="A35" t="inlineStr">
        <is>
          <t>HIST-2025-03-1501</t>
        </is>
      </c>
      <c r="B35" s="2" t="n">
        <v>45739.0</v>
      </c>
      <c r="C35" t="inlineStr">
        <is>
          <t>1487</t>
        </is>
      </c>
      <c r="D35" s="2" t="n">
        <v>45735.0</v>
      </c>
      <c r="E35" t="inlineStr">
        <is>
          <t>Flat 15 - 3 West Gate</t>
        </is>
      </c>
      <c r="F35" t="inlineStr">
        <is>
          <t>rent</t>
        </is>
      </c>
      <c r="G35" t="inlineStr">
        <is>
          <t>Income</t>
        </is>
      </c>
      <c r="H35" s="3" t="n">
        <v>629.0</v>
      </c>
    </row>
    <row r="36">
      <c r="A36" t="inlineStr">
        <is>
          <t>HIST-2025-03-1501</t>
        </is>
      </c>
      <c r="B36" s="2" t="n">
        <v>45739.0</v>
      </c>
      <c r="C36" t="inlineStr">
        <is>
          <t>1481</t>
        </is>
      </c>
      <c r="D36" s="2" t="n">
        <v>45735.0</v>
      </c>
      <c r="E36" t="inlineStr">
        <is>
          <t>Flat 7 - 3 West Gate</t>
        </is>
      </c>
      <c r="F36" t="inlineStr">
        <is>
          <t>rent</t>
        </is>
      </c>
      <c r="G36" t="inlineStr">
        <is>
          <t>Income</t>
        </is>
      </c>
      <c r="H36" s="3" t="n">
        <v>595.0</v>
      </c>
    </row>
    <row r="37">
      <c r="A37" t="inlineStr">
        <is>
          <t>HIST-2025-03-1501</t>
        </is>
      </c>
      <c r="B37" s="2" t="n">
        <v>45739.0</v>
      </c>
      <c r="C37" t="inlineStr">
        <is>
          <t>1489</t>
        </is>
      </c>
      <c r="D37" s="2" t="n">
        <v>45736.0</v>
      </c>
      <c r="E37" t="inlineStr">
        <is>
          <t>Flat 17 - 3 West Gate</t>
        </is>
      </c>
      <c r="F37" t="inlineStr">
        <is>
          <t>rent</t>
        </is>
      </c>
      <c r="G37" t="inlineStr">
        <is>
          <t>Income</t>
        </is>
      </c>
      <c r="H37" s="3" t="n">
        <v>595.0</v>
      </c>
    </row>
    <row r="38">
      <c r="A38" t="inlineStr">
        <is>
          <t>HIST-2025-03-1502</t>
        </is>
      </c>
      <c r="B38" s="2" t="n">
        <v>45741.0</v>
      </c>
      <c r="C38" t="inlineStr">
        <is>
          <t>1500</t>
        </is>
      </c>
      <c r="D38" s="2" t="n">
        <v>45712.0</v>
      </c>
      <c r="E38" t="inlineStr">
        <is>
          <t>Apartment F - Knighton Hayes Manor</t>
        </is>
      </c>
      <c r="F38" t="inlineStr">
        <is>
          <t>rent</t>
        </is>
      </c>
      <c r="G38" t="inlineStr">
        <is>
          <t>Income</t>
        </is>
      </c>
      <c r="H38" s="3" t="n">
        <v>1012.5</v>
      </c>
    </row>
    <row r="39">
      <c r="A39" t="inlineStr">
        <is>
          <t>HIST-2025-04-1533</t>
        </is>
      </c>
      <c r="B39" s="2" t="n">
        <v>45765.0</v>
      </c>
      <c r="C39" t="inlineStr">
        <is>
          <t>1515</t>
        </is>
      </c>
      <c r="D39" s="2" t="n">
        <v>45742.0</v>
      </c>
      <c r="E39" t="inlineStr">
        <is>
          <t>Flat 14 - 3 West Gate</t>
        </is>
      </c>
      <c r="F39" t="inlineStr">
        <is>
          <t>rent</t>
        </is>
      </c>
      <c r="G39" t="inlineStr">
        <is>
          <t>Income</t>
        </is>
      </c>
      <c r="H39" s="3" t="n">
        <v>675.75</v>
      </c>
    </row>
    <row r="40">
      <c r="A40" t="inlineStr">
        <is>
          <t>HIST-2025-04-1533</t>
        </is>
      </c>
      <c r="B40" s="2" t="n">
        <v>45765.0</v>
      </c>
      <c r="C40" t="inlineStr">
        <is>
          <t>1524</t>
        </is>
      </c>
      <c r="D40" s="2" t="n">
        <v>45744.0</v>
      </c>
      <c r="E40" t="inlineStr">
        <is>
          <t>Flat 26 - 3 West Gate</t>
        </is>
      </c>
      <c r="F40" t="inlineStr">
        <is>
          <t>rent</t>
        </is>
      </c>
      <c r="G40" t="inlineStr">
        <is>
          <t>Income</t>
        </is>
      </c>
      <c r="H40" s="3" t="n">
        <v>170.75</v>
      </c>
    </row>
    <row r="41">
      <c r="A41" t="inlineStr">
        <is>
          <t>HIST-2025-04-1533</t>
        </is>
      </c>
      <c r="B41" s="2" t="n">
        <v>45765.0</v>
      </c>
      <c r="C41" t="inlineStr">
        <is>
          <t>1530</t>
        </is>
      </c>
      <c r="D41" s="2" t="n">
        <v>45738.0</v>
      </c>
      <c r="E41" t="inlineStr">
        <is>
          <t>Boden House Block - Block Property</t>
        </is>
      </c>
      <c r="F41" t="inlineStr">
        <is>
          <t>utilities</t>
        </is>
      </c>
      <c r="G41" t="inlineStr">
        <is>
          <t>Income</t>
        </is>
      </c>
      <c r="H41" s="3" t="n">
        <v>144.19</v>
      </c>
    </row>
    <row r="42">
      <c r="A42" t="inlineStr">
        <is>
          <t>HIST-2025-04-1533</t>
        </is>
      </c>
      <c r="B42" s="2" t="n">
        <v>45765.0</v>
      </c>
      <c r="C42" t="inlineStr">
        <is>
          <t>1531</t>
        </is>
      </c>
      <c r="D42" s="2" t="n">
        <v>45738.0</v>
      </c>
      <c r="E42" t="inlineStr">
        <is>
          <t>Boden House Block - Block Property</t>
        </is>
      </c>
      <c r="F42" t="inlineStr">
        <is>
          <t>utilities</t>
        </is>
      </c>
      <c r="G42" t="inlineStr">
        <is>
          <t>Income</t>
        </is>
      </c>
      <c r="H42" s="3" t="n">
        <v>144.19</v>
      </c>
    </row>
    <row r="43">
      <c r="A43" t="inlineStr">
        <is>
          <t>HIST-2025-04-1532</t>
        </is>
      </c>
      <c r="B43" s="2" t="n">
        <v>45772.0</v>
      </c>
      <c r="C43" t="inlineStr">
        <is>
          <t>1522</t>
        </is>
      </c>
      <c r="D43" s="2" t="n">
        <v>45744.0</v>
      </c>
      <c r="E43" t="inlineStr">
        <is>
          <t>Flat 22 - 3 West Gate</t>
        </is>
      </c>
      <c r="F43" t="inlineStr">
        <is>
          <t>rent</t>
        </is>
      </c>
      <c r="G43" t="inlineStr">
        <is>
          <t>Income</t>
        </is>
      </c>
      <c r="H43" s="3" t="n">
        <v>629.0</v>
      </c>
    </row>
    <row r="44">
      <c r="A44" t="inlineStr">
        <is>
          <t>HIST-2025-04-1532</t>
        </is>
      </c>
      <c r="B44" s="2" t="n">
        <v>45772.0</v>
      </c>
      <c r="C44" t="inlineStr">
        <is>
          <t>1524</t>
        </is>
      </c>
      <c r="D44" s="2" t="n">
        <v>45744.0</v>
      </c>
      <c r="E44" t="inlineStr">
        <is>
          <t>Flat 26 - 3 West Gate</t>
        </is>
      </c>
      <c r="F44" t="inlineStr">
        <is>
          <t>rent</t>
        </is>
      </c>
      <c r="G44" t="inlineStr">
        <is>
          <t>Income</t>
        </is>
      </c>
      <c r="H44" s="3" t="n">
        <v>403.0</v>
      </c>
    </row>
    <row r="45">
      <c r="A45" t="inlineStr">
        <is>
          <t>HIST-2025-04-1532</t>
        </is>
      </c>
      <c r="B45" s="2" t="n">
        <v>45772.0</v>
      </c>
      <c r="C45" t="inlineStr">
        <is>
          <t>1508</t>
        </is>
      </c>
      <c r="D45" s="2" t="n">
        <v>45746.0</v>
      </c>
      <c r="E45" t="inlineStr">
        <is>
          <t>Flat 6 - 3 West Gate</t>
        </is>
      </c>
      <c r="F45" t="inlineStr">
        <is>
          <t>rent</t>
        </is>
      </c>
      <c r="G45" t="inlineStr">
        <is>
          <t>Income</t>
        </is>
      </c>
      <c r="H45" s="3" t="n">
        <v>629.0</v>
      </c>
    </row>
    <row r="46">
      <c r="A46" t="inlineStr">
        <is>
          <t>HIST-2025-04-1532</t>
        </is>
      </c>
      <c r="B46" s="2" t="n">
        <v>45772.0</v>
      </c>
      <c r="C46" t="inlineStr">
        <is>
          <t>1526</t>
        </is>
      </c>
      <c r="D46" s="2" t="n">
        <v>45747.0</v>
      </c>
      <c r="E46" t="inlineStr">
        <is>
          <t>Flat 28 - 3 West Gate</t>
        </is>
      </c>
      <c r="F46" t="inlineStr">
        <is>
          <t>rent</t>
        </is>
      </c>
      <c r="G46" t="inlineStr">
        <is>
          <t>Income</t>
        </is>
      </c>
      <c r="H46" s="3" t="n">
        <v>629.0</v>
      </c>
    </row>
    <row r="47">
      <c r="A47" t="inlineStr">
        <is>
          <t>HIST-2025-04-1532</t>
        </is>
      </c>
      <c r="B47" s="2" t="n">
        <v>45772.0</v>
      </c>
      <c r="C47" t="inlineStr">
        <is>
          <t>1512</t>
        </is>
      </c>
      <c r="D47" s="2" t="n">
        <v>45748.0</v>
      </c>
      <c r="E47" t="inlineStr">
        <is>
          <t>Flat 11 - 3 West Gate</t>
        </is>
      </c>
      <c r="F47" t="inlineStr">
        <is>
          <t>rent</t>
        </is>
      </c>
      <c r="G47" t="inlineStr">
        <is>
          <t>Income</t>
        </is>
      </c>
      <c r="H47" s="3" t="n">
        <v>675.75</v>
      </c>
    </row>
    <row r="48">
      <c r="A48" t="inlineStr">
        <is>
          <t>HIST-2025-04-1532</t>
        </is>
      </c>
      <c r="B48" s="2" t="n">
        <v>45772.0</v>
      </c>
      <c r="C48" t="inlineStr">
        <is>
          <t>1520</t>
        </is>
      </c>
      <c r="D48" s="2" t="n">
        <v>45748.0</v>
      </c>
      <c r="E48" t="inlineStr">
        <is>
          <t>Flat 20 - 3 West Gate</t>
        </is>
      </c>
      <c r="F48" t="inlineStr">
        <is>
          <t>rent</t>
        </is>
      </c>
      <c r="G48" t="inlineStr">
        <is>
          <t>Income</t>
        </is>
      </c>
      <c r="H48" s="3" t="n">
        <v>595.0</v>
      </c>
    </row>
    <row r="49">
      <c r="A49" t="inlineStr">
        <is>
          <t>HIST-2025-04-1532</t>
        </is>
      </c>
      <c r="B49" s="2" t="n">
        <v>45772.0</v>
      </c>
      <c r="C49" t="inlineStr">
        <is>
          <t>1510</t>
        </is>
      </c>
      <c r="D49" s="2" t="n">
        <v>45748.0</v>
      </c>
      <c r="E49" t="inlineStr">
        <is>
          <t>Flat 9 - 3 West Gate</t>
        </is>
      </c>
      <c r="F49" t="inlineStr">
        <is>
          <t>rent</t>
        </is>
      </c>
      <c r="G49" t="inlineStr">
        <is>
          <t>Income</t>
        </is>
      </c>
      <c r="H49" s="3" t="n">
        <v>595.0</v>
      </c>
    </row>
    <row r="50">
      <c r="A50" t="inlineStr">
        <is>
          <t>HIST-2025-04-1532</t>
        </is>
      </c>
      <c r="B50" s="2" t="n">
        <v>45772.0</v>
      </c>
      <c r="C50" t="inlineStr">
        <is>
          <t>1504</t>
        </is>
      </c>
      <c r="D50" s="2" t="n">
        <v>45749.0</v>
      </c>
      <c r="E50" t="inlineStr">
        <is>
          <t>Flat 2 - 3 West Gate</t>
        </is>
      </c>
      <c r="F50" t="inlineStr">
        <is>
          <t>rent</t>
        </is>
      </c>
      <c r="G50" t="inlineStr">
        <is>
          <t>Income</t>
        </is>
      </c>
      <c r="H50" s="3" t="n">
        <v>629.0</v>
      </c>
    </row>
    <row r="51">
      <c r="A51" t="inlineStr">
        <is>
          <t>HIST-2025-04-1532</t>
        </is>
      </c>
      <c r="B51" s="2" t="n">
        <v>45772.0</v>
      </c>
      <c r="C51" t="inlineStr">
        <is>
          <t>1525</t>
        </is>
      </c>
      <c r="D51" s="2" t="n">
        <v>45749.0</v>
      </c>
      <c r="E51" t="inlineStr">
        <is>
          <t>Flat 27 - 3 West Gate</t>
        </is>
      </c>
      <c r="F51" t="inlineStr">
        <is>
          <t>rent</t>
        </is>
      </c>
      <c r="G51" t="inlineStr">
        <is>
          <t>Income</t>
        </is>
      </c>
      <c r="H51" s="3" t="n">
        <v>595.0</v>
      </c>
    </row>
    <row r="52">
      <c r="A52" t="inlineStr">
        <is>
          <t>HIST-2025-04-1532</t>
        </is>
      </c>
      <c r="B52" s="2" t="n">
        <v>45772.0</v>
      </c>
      <c r="C52" t="inlineStr">
        <is>
          <t>1527</t>
        </is>
      </c>
      <c r="D52" s="2" t="n">
        <v>45749.0</v>
      </c>
      <c r="E52" t="inlineStr">
        <is>
          <t>Flat 29 - 3 West Gate</t>
        </is>
      </c>
      <c r="F52" t="inlineStr">
        <is>
          <t>rent</t>
        </is>
      </c>
      <c r="G52" t="inlineStr">
        <is>
          <t>Income</t>
        </is>
      </c>
      <c r="H52" s="3" t="n">
        <v>629.0</v>
      </c>
    </row>
    <row r="53">
      <c r="A53" t="inlineStr">
        <is>
          <t>HIST-2025-04-1532</t>
        </is>
      </c>
      <c r="B53" s="2" t="n">
        <v>45772.0</v>
      </c>
      <c r="C53" t="inlineStr">
        <is>
          <t>1519</t>
        </is>
      </c>
      <c r="D53" s="2" t="n">
        <v>45750.0</v>
      </c>
      <c r="E53" t="inlineStr">
        <is>
          <t>Flat 19 - 3 West Gate</t>
        </is>
      </c>
      <c r="F53" t="inlineStr">
        <is>
          <t>rent</t>
        </is>
      </c>
      <c r="G53" t="inlineStr">
        <is>
          <t>Income</t>
        </is>
      </c>
      <c r="H53" s="3" t="n">
        <v>629.0</v>
      </c>
    </row>
    <row r="54">
      <c r="A54" t="inlineStr">
        <is>
          <t>HIST-2025-04-1532</t>
        </is>
      </c>
      <c r="B54" s="2" t="n">
        <v>45772.0</v>
      </c>
      <c r="C54" t="inlineStr">
        <is>
          <t>1506</t>
        </is>
      </c>
      <c r="D54" s="2" t="n">
        <v>45750.0</v>
      </c>
      <c r="E54" t="inlineStr">
        <is>
          <t>Flat 4 - 3 West Gate</t>
        </is>
      </c>
      <c r="F54" t="inlineStr">
        <is>
          <t>rent</t>
        </is>
      </c>
      <c r="G54" t="inlineStr">
        <is>
          <t>Income</t>
        </is>
      </c>
      <c r="H54" s="3" t="n">
        <v>726.75</v>
      </c>
    </row>
    <row r="55">
      <c r="A55" t="inlineStr">
        <is>
          <t>HIST-2025-04-1532</t>
        </is>
      </c>
      <c r="B55" s="2" t="n">
        <v>45772.0</v>
      </c>
      <c r="C55" t="inlineStr">
        <is>
          <t>1503</t>
        </is>
      </c>
      <c r="D55" s="2" t="n">
        <v>45751.0</v>
      </c>
      <c r="E55" t="inlineStr">
        <is>
          <t>Flat 1 - 3 West Gate</t>
        </is>
      </c>
      <c r="F55" t="inlineStr">
        <is>
          <t>rent</t>
        </is>
      </c>
      <c r="G55" t="inlineStr">
        <is>
          <t>Income</t>
        </is>
      </c>
      <c r="H55" s="3" t="n">
        <v>675.75</v>
      </c>
    </row>
    <row r="56">
      <c r="A56" t="inlineStr">
        <is>
          <t>HIST-2025-04-1532</t>
        </is>
      </c>
      <c r="B56" s="2" t="n">
        <v>45772.0</v>
      </c>
      <c r="C56" t="inlineStr">
        <is>
          <t>1509</t>
        </is>
      </c>
      <c r="D56" s="2" t="n">
        <v>45751.0</v>
      </c>
      <c r="E56" t="inlineStr">
        <is>
          <t>Flat 8 - 3 West Gate</t>
        </is>
      </c>
      <c r="F56" t="inlineStr">
        <is>
          <t>rent</t>
        </is>
      </c>
      <c r="G56" t="inlineStr">
        <is>
          <t>Income</t>
        </is>
      </c>
      <c r="H56" s="3" t="n">
        <v>573.75</v>
      </c>
    </row>
    <row r="57">
      <c r="A57" t="inlineStr">
        <is>
          <t>HIST-2025-04-1532</t>
        </is>
      </c>
      <c r="B57" s="2" t="n">
        <v>45772.0</v>
      </c>
      <c r="C57" t="inlineStr">
        <is>
          <t>1511</t>
        </is>
      </c>
      <c r="D57" s="2" t="n">
        <v>45754.0</v>
      </c>
      <c r="E57" t="inlineStr">
        <is>
          <t>Flat 10 - 3 West Gate</t>
        </is>
      </c>
      <c r="F57" t="inlineStr">
        <is>
          <t>rent</t>
        </is>
      </c>
      <c r="G57" t="inlineStr">
        <is>
          <t>Income</t>
        </is>
      </c>
      <c r="H57" s="3" t="n">
        <v>624.75</v>
      </c>
    </row>
    <row r="58">
      <c r="A58" t="inlineStr">
        <is>
          <t>HIST-2025-04-1532</t>
        </is>
      </c>
      <c r="B58" s="2" t="n">
        <v>45772.0</v>
      </c>
      <c r="C58" t="inlineStr">
        <is>
          <t>1514</t>
        </is>
      </c>
      <c r="D58" s="2" t="n">
        <v>45754.0</v>
      </c>
      <c r="E58" t="inlineStr">
        <is>
          <t>Flat 13 - 3 West Gate</t>
        </is>
      </c>
      <c r="F58" t="inlineStr">
        <is>
          <t>rent</t>
        </is>
      </c>
      <c r="G58" t="inlineStr">
        <is>
          <t>Income</t>
        </is>
      </c>
      <c r="H58" s="3" t="n">
        <v>680.0</v>
      </c>
    </row>
    <row r="59">
      <c r="A59" t="inlineStr">
        <is>
          <t>HIST-2025-04-1532</t>
        </is>
      </c>
      <c r="B59" s="2" t="n">
        <v>45772.0</v>
      </c>
      <c r="C59" t="inlineStr">
        <is>
          <t>1528</t>
        </is>
      </c>
      <c r="D59" s="2" t="n">
        <v>45757.0</v>
      </c>
      <c r="E59" t="inlineStr">
        <is>
          <t>Flat 30 - 3 West Gate</t>
        </is>
      </c>
      <c r="F59" t="inlineStr">
        <is>
          <t>rent</t>
        </is>
      </c>
      <c r="G59" t="inlineStr">
        <is>
          <t>Income</t>
        </is>
      </c>
      <c r="H59" s="3" t="n">
        <v>629.0</v>
      </c>
    </row>
    <row r="60">
      <c r="A60" t="inlineStr">
        <is>
          <t>HIST-2025-04-1532</t>
        </is>
      </c>
      <c r="B60" s="2" t="n">
        <v>45772.0</v>
      </c>
      <c r="C60" t="inlineStr">
        <is>
          <t>1516</t>
        </is>
      </c>
      <c r="D60" s="2" t="n">
        <v>45759.0</v>
      </c>
      <c r="E60" t="inlineStr">
        <is>
          <t>Flat 16 - 3 West Gate</t>
        </is>
      </c>
      <c r="F60" t="inlineStr">
        <is>
          <t>rent</t>
        </is>
      </c>
      <c r="G60" t="inlineStr">
        <is>
          <t>Income</t>
        </is>
      </c>
      <c r="H60" s="3" t="n">
        <v>629.0</v>
      </c>
    </row>
    <row r="61">
      <c r="A61" t="inlineStr">
        <is>
          <t>HIST-2025-04-1532</t>
        </is>
      </c>
      <c r="B61" s="2" t="n">
        <v>45772.0</v>
      </c>
      <c r="C61" t="inlineStr">
        <is>
          <t>1513</t>
        </is>
      </c>
      <c r="D61" s="2" t="n">
        <v>45761.0</v>
      </c>
      <c r="E61" t="inlineStr">
        <is>
          <t>Flat 12 - 3 West Gate</t>
        </is>
      </c>
      <c r="F61" t="inlineStr">
        <is>
          <t>rent</t>
        </is>
      </c>
      <c r="G61" t="inlineStr">
        <is>
          <t>Income</t>
        </is>
      </c>
      <c r="H61" s="3" t="n">
        <v>573.75</v>
      </c>
    </row>
    <row r="62">
      <c r="A62" t="inlineStr">
        <is>
          <t>HIST-2025-04-1532</t>
        </is>
      </c>
      <c r="B62" s="2" t="n">
        <v>45772.0</v>
      </c>
      <c r="C62" t="inlineStr">
        <is>
          <t>1518</t>
        </is>
      </c>
      <c r="D62" s="2" t="n">
        <v>45761.0</v>
      </c>
      <c r="E62" t="inlineStr">
        <is>
          <t>Flat 18 - 3 West Gate</t>
        </is>
      </c>
      <c r="F62" t="inlineStr">
        <is>
          <t>rent</t>
        </is>
      </c>
      <c r="G62" t="inlineStr">
        <is>
          <t>Income</t>
        </is>
      </c>
      <c r="H62" s="3" t="n">
        <v>629.0</v>
      </c>
    </row>
    <row r="63">
      <c r="A63" t="inlineStr">
        <is>
          <t>HIST-2025-04-1532</t>
        </is>
      </c>
      <c r="B63" s="2" t="n">
        <v>45772.0</v>
      </c>
      <c r="C63" t="inlineStr">
        <is>
          <t>1505</t>
        </is>
      </c>
      <c r="D63" s="2" t="n">
        <v>45761.0</v>
      </c>
      <c r="E63" t="inlineStr">
        <is>
          <t>Flat 3 - 3 West Gate</t>
        </is>
      </c>
      <c r="F63" t="inlineStr">
        <is>
          <t>rent</t>
        </is>
      </c>
      <c r="G63" t="inlineStr">
        <is>
          <t>Income</t>
        </is>
      </c>
      <c r="H63" s="3" t="n">
        <v>629.0</v>
      </c>
    </row>
    <row r="64">
      <c r="A64" t="inlineStr">
        <is>
          <t>HIST-2025-04-1532</t>
        </is>
      </c>
      <c r="B64" s="2" t="n">
        <v>45772.0</v>
      </c>
      <c r="C64" t="inlineStr">
        <is>
          <t>1521</t>
        </is>
      </c>
      <c r="D64" s="2" t="n">
        <v>45762.0</v>
      </c>
      <c r="E64" t="inlineStr">
        <is>
          <t>Flat 21 - 3 West Gate</t>
        </is>
      </c>
      <c r="F64" t="inlineStr">
        <is>
          <t>rent</t>
        </is>
      </c>
      <c r="G64" t="inlineStr">
        <is>
          <t>Income</t>
        </is>
      </c>
      <c r="H64" s="3" t="n">
        <v>675.75</v>
      </c>
    </row>
    <row r="65">
      <c r="A65" t="inlineStr">
        <is>
          <t>HIST-2025-04-1532</t>
        </is>
      </c>
      <c r="B65" s="2" t="n">
        <v>45772.0</v>
      </c>
      <c r="C65" t="inlineStr">
        <is>
          <t>1507</t>
        </is>
      </c>
      <c r="D65" s="2" t="n">
        <v>45764.0</v>
      </c>
      <c r="E65" t="inlineStr">
        <is>
          <t>Flat 5 - 3 West Gate</t>
        </is>
      </c>
      <c r="F65" t="inlineStr">
        <is>
          <t>rent</t>
        </is>
      </c>
      <c r="G65" t="inlineStr">
        <is>
          <t>Income</t>
        </is>
      </c>
      <c r="H65" s="3" t="n">
        <v>629.0</v>
      </c>
    </row>
    <row r="66">
      <c r="A66" t="inlineStr">
        <is>
          <t>HIST-2025-04-1532</t>
        </is>
      </c>
      <c r="B66" s="2" t="n">
        <v>45772.0</v>
      </c>
      <c r="C66" t="inlineStr">
        <is>
          <t>1529</t>
        </is>
      </c>
      <c r="D66" s="2" t="n">
        <v>45765.0</v>
      </c>
      <c r="E66" t="inlineStr">
        <is>
          <t>Apartment F - Knighton Hayes Manor</t>
        </is>
      </c>
      <c r="F66" t="inlineStr">
        <is>
          <t>rent</t>
        </is>
      </c>
      <c r="G66" t="inlineStr">
        <is>
          <t>Income</t>
        </is>
      </c>
      <c r="H66" s="3" t="n">
        <v>1012.5</v>
      </c>
    </row>
    <row r="67">
      <c r="A67" t="inlineStr">
        <is>
          <t>HIST-2025-04-1532</t>
        </is>
      </c>
      <c r="B67" s="2" t="n">
        <v>45772.0</v>
      </c>
      <c r="C67" t="inlineStr">
        <is>
          <t>1523</t>
        </is>
      </c>
      <c r="D67" s="2" t="n">
        <v>45765.0</v>
      </c>
      <c r="E67" t="inlineStr">
        <is>
          <t>Flat 24 - 3 West Gate</t>
        </is>
      </c>
      <c r="F67" t="inlineStr">
        <is>
          <t>rent</t>
        </is>
      </c>
      <c r="G67" t="inlineStr">
        <is>
          <t>Income</t>
        </is>
      </c>
      <c r="H67" s="3" t="n">
        <v>688.5</v>
      </c>
    </row>
    <row r="68">
      <c r="A68" t="inlineStr">
        <is>
          <t>HIST-2025-04-1532</t>
        </is>
      </c>
      <c r="B68" s="2" t="n">
        <v>45772.0</v>
      </c>
      <c r="C68" t="inlineStr">
        <is>
          <t>1517</t>
        </is>
      </c>
      <c r="D68" s="2" t="n">
        <v>45767.0</v>
      </c>
      <c r="E68" t="inlineStr">
        <is>
          <t>Flat 17 - 3 West Gate</t>
        </is>
      </c>
      <c r="F68" t="inlineStr">
        <is>
          <t>rent</t>
        </is>
      </c>
      <c r="G68" t="inlineStr">
        <is>
          <t>Income</t>
        </is>
      </c>
      <c r="H68" s="3" t="n">
        <v>595.0</v>
      </c>
    </row>
    <row r="69">
      <c r="A69" t="inlineStr">
        <is>
          <t>HIST-2025-04-1532</t>
        </is>
      </c>
      <c r="B69" s="2" t="n">
        <v>45772.0</v>
      </c>
      <c r="C69" t="inlineStr">
        <is>
          <t>1547</t>
        </is>
      </c>
      <c r="D69" s="2" t="n">
        <v>45775.0</v>
      </c>
      <c r="E69" t="inlineStr">
        <is>
          <t>Flat 14 - 3 West Gate</t>
        </is>
      </c>
      <c r="F69" t="inlineStr">
        <is>
          <t>rent</t>
        </is>
      </c>
      <c r="G69" t="inlineStr">
        <is>
          <t>Income</t>
        </is>
      </c>
      <c r="H69" s="3" t="n">
        <v>680.0</v>
      </c>
    </row>
    <row r="70">
      <c r="A70" t="inlineStr">
        <is>
          <t>HIST-2025-04-1532</t>
        </is>
      </c>
      <c r="B70" s="2" t="n">
        <v>45772.0</v>
      </c>
      <c r="C70" t="inlineStr">
        <is>
          <t>1555</t>
        </is>
      </c>
      <c r="D70" s="2" t="n">
        <v>45775.0</v>
      </c>
      <c r="E70" t="inlineStr">
        <is>
          <t>Flat 22 - 3 West Gate</t>
        </is>
      </c>
      <c r="F70" t="inlineStr">
        <is>
          <t>rent</t>
        </is>
      </c>
      <c r="G70" t="inlineStr">
        <is>
          <t>Income</t>
        </is>
      </c>
      <c r="H70" s="3" t="n">
        <v>578.0</v>
      </c>
    </row>
    <row r="71">
      <c r="A71" t="inlineStr">
        <is>
          <t>HIST-2025-04-1532</t>
        </is>
      </c>
      <c r="B71" s="2" t="n">
        <v>45772.0</v>
      </c>
      <c r="C71" t="inlineStr">
        <is>
          <t>1539</t>
        </is>
      </c>
      <c r="D71" s="2" t="n">
        <v>45775.0</v>
      </c>
      <c r="E71" t="inlineStr">
        <is>
          <t>Flat 6 - 3 West Gate</t>
        </is>
      </c>
      <c r="F71" t="inlineStr">
        <is>
          <t>rent</t>
        </is>
      </c>
      <c r="G71" t="inlineStr">
        <is>
          <t>Income</t>
        </is>
      </c>
      <c r="H71" s="3" t="n">
        <v>629.0</v>
      </c>
    </row>
    <row r="72">
      <c r="A72" t="inlineStr">
        <is>
          <t>HIST-2025-04-1532</t>
        </is>
      </c>
      <c r="B72" s="2" t="n">
        <v>45772.0</v>
      </c>
      <c r="C72" t="inlineStr">
        <is>
          <t>1563</t>
        </is>
      </c>
      <c r="D72" s="2" t="n">
        <v>45769.0</v>
      </c>
      <c r="E72" t="inlineStr">
        <is>
          <t>Boden House Block - Block Property</t>
        </is>
      </c>
      <c r="F72" t="inlineStr">
        <is>
          <t>cleaning</t>
        </is>
      </c>
      <c r="G72" t="inlineStr">
        <is>
          <t>Income</t>
        </is>
      </c>
      <c r="H72" s="3" t="n">
        <v>200.0</v>
      </c>
    </row>
    <row r="73">
      <c r="A73" t="inlineStr">
        <is>
          <t>HIST-2025-05-1564</t>
        </is>
      </c>
      <c r="B73" s="2" t="n">
        <v>45804.0</v>
      </c>
      <c r="C73" t="inlineStr">
        <is>
          <t>1555</t>
        </is>
      </c>
      <c r="D73" s="2" t="n">
        <v>45775.0</v>
      </c>
      <c r="E73" t="inlineStr">
        <is>
          <t>Flat 22 - 3 West Gate</t>
        </is>
      </c>
      <c r="F73" t="inlineStr">
        <is>
          <t>rent</t>
        </is>
      </c>
      <c r="G73" t="inlineStr">
        <is>
          <t>Income</t>
        </is>
      </c>
      <c r="H73" s="3" t="n">
        <v>51.0</v>
      </c>
    </row>
    <row r="74">
      <c r="A74" t="inlineStr">
        <is>
          <t>HIST-2025-05-1564</t>
        </is>
      </c>
      <c r="B74" s="2" t="n">
        <v>45804.0</v>
      </c>
      <c r="C74" t="inlineStr">
        <is>
          <t>1557</t>
        </is>
      </c>
      <c r="D74" s="2" t="n">
        <v>45775.0</v>
      </c>
      <c r="E74" t="inlineStr">
        <is>
          <t>Flat 26 - 3 West Gate</t>
        </is>
      </c>
      <c r="F74" t="inlineStr">
        <is>
          <t>rent</t>
        </is>
      </c>
      <c r="G74" t="inlineStr">
        <is>
          <t>Income</t>
        </is>
      </c>
      <c r="H74" s="3" t="n">
        <v>573.75</v>
      </c>
    </row>
    <row r="75">
      <c r="A75" t="inlineStr">
        <is>
          <t>HIST-2025-05-1564</t>
        </is>
      </c>
      <c r="B75" s="2" t="n">
        <v>45804.0</v>
      </c>
      <c r="C75" t="inlineStr">
        <is>
          <t>1559</t>
        </is>
      </c>
      <c r="D75" s="2" t="n">
        <v>45776.0</v>
      </c>
      <c r="E75" t="inlineStr">
        <is>
          <t>Flat 28 - 3 West Gate</t>
        </is>
      </c>
      <c r="F75" t="inlineStr">
        <is>
          <t>rent</t>
        </is>
      </c>
      <c r="G75" t="inlineStr">
        <is>
          <t>Income</t>
        </is>
      </c>
      <c r="H75" s="3" t="n">
        <v>629.0</v>
      </c>
    </row>
    <row r="76">
      <c r="A76" t="inlineStr">
        <is>
          <t>HIST-2025-05-1564</t>
        </is>
      </c>
      <c r="B76" s="2" t="n">
        <v>45804.0</v>
      </c>
      <c r="C76" t="inlineStr">
        <is>
          <t>1553</t>
        </is>
      </c>
      <c r="D76" s="2" t="n">
        <v>45778.0</v>
      </c>
      <c r="E76" t="inlineStr">
        <is>
          <t>Flat 20 - 3 West Gate</t>
        </is>
      </c>
      <c r="F76" t="inlineStr">
        <is>
          <t>rent</t>
        </is>
      </c>
      <c r="G76" t="inlineStr">
        <is>
          <t>Income</t>
        </is>
      </c>
      <c r="H76" s="3" t="n">
        <v>595.0</v>
      </c>
    </row>
    <row r="77">
      <c r="A77" t="inlineStr">
        <is>
          <t>HIST-2025-05-1564</t>
        </is>
      </c>
      <c r="B77" s="2" t="n">
        <v>45804.0</v>
      </c>
      <c r="C77" t="inlineStr">
        <is>
          <t>1542</t>
        </is>
      </c>
      <c r="D77" s="2" t="n">
        <v>45778.0</v>
      </c>
      <c r="E77" t="inlineStr">
        <is>
          <t>Flat 9 - 3 West Gate</t>
        </is>
      </c>
      <c r="F77" t="inlineStr">
        <is>
          <t>rent</t>
        </is>
      </c>
      <c r="G77" t="inlineStr">
        <is>
          <t>Income</t>
        </is>
      </c>
      <c r="H77" s="3" t="n">
        <v>595.0</v>
      </c>
    </row>
    <row r="78">
      <c r="A78" t="inlineStr">
        <is>
          <t>HIST-2025-05-1564</t>
        </is>
      </c>
      <c r="B78" s="2" t="n">
        <v>45804.0</v>
      </c>
      <c r="C78" t="inlineStr">
        <is>
          <t>1544</t>
        </is>
      </c>
      <c r="D78" s="2" t="n">
        <v>45779.0</v>
      </c>
      <c r="E78" t="inlineStr">
        <is>
          <t>Flat 11 - 3 West Gate</t>
        </is>
      </c>
      <c r="F78" t="inlineStr">
        <is>
          <t>rent</t>
        </is>
      </c>
      <c r="G78" t="inlineStr">
        <is>
          <t>Income</t>
        </is>
      </c>
      <c r="H78" s="3" t="n">
        <v>675.75</v>
      </c>
    </row>
    <row r="79">
      <c r="A79" t="inlineStr">
        <is>
          <t>HIST-2025-05-1564</t>
        </is>
      </c>
      <c r="B79" s="2" t="n">
        <v>45804.0</v>
      </c>
      <c r="C79" t="inlineStr">
        <is>
          <t>1535</t>
        </is>
      </c>
      <c r="D79" s="2" t="n">
        <v>45779.0</v>
      </c>
      <c r="E79" t="inlineStr">
        <is>
          <t>Flat 2 - 3 West Gate</t>
        </is>
      </c>
      <c r="F79" t="inlineStr">
        <is>
          <t>rent</t>
        </is>
      </c>
      <c r="G79" t="inlineStr">
        <is>
          <t>Income</t>
        </is>
      </c>
      <c r="H79" s="3" t="n">
        <v>629.0</v>
      </c>
    </row>
    <row r="80">
      <c r="A80" t="inlineStr">
        <is>
          <t>HIST-2025-05-1564</t>
        </is>
      </c>
      <c r="B80" s="2" t="n">
        <v>45804.0</v>
      </c>
      <c r="C80" t="inlineStr">
        <is>
          <t>1558</t>
        </is>
      </c>
      <c r="D80" s="2" t="n">
        <v>45779.0</v>
      </c>
      <c r="E80" t="inlineStr">
        <is>
          <t>Flat 27 - 3 West Gate</t>
        </is>
      </c>
      <c r="F80" t="inlineStr">
        <is>
          <t>rent</t>
        </is>
      </c>
      <c r="G80" t="inlineStr">
        <is>
          <t>Income</t>
        </is>
      </c>
      <c r="H80" s="3" t="n">
        <v>595.0</v>
      </c>
    </row>
    <row r="81">
      <c r="A81" t="inlineStr">
        <is>
          <t>HIST-2025-05-1564</t>
        </is>
      </c>
      <c r="B81" s="2" t="n">
        <v>45804.0</v>
      </c>
      <c r="C81" t="inlineStr">
        <is>
          <t>1560</t>
        </is>
      </c>
      <c r="D81" s="2" t="n">
        <v>45779.0</v>
      </c>
      <c r="E81" t="inlineStr">
        <is>
          <t>Flat 29 - 3 West Gate</t>
        </is>
      </c>
      <c r="F81" t="inlineStr">
        <is>
          <t>rent</t>
        </is>
      </c>
      <c r="G81" t="inlineStr">
        <is>
          <t>Income</t>
        </is>
      </c>
      <c r="H81" s="3" t="n">
        <v>629.0</v>
      </c>
    </row>
    <row r="82">
      <c r="A82" t="inlineStr">
        <is>
          <t>HIST-2025-05-1564</t>
        </is>
      </c>
      <c r="B82" s="2" t="n">
        <v>45804.0</v>
      </c>
      <c r="C82" t="inlineStr">
        <is>
          <t>1537</t>
        </is>
      </c>
      <c r="D82" s="2" t="n">
        <v>45780.0</v>
      </c>
      <c r="E82" t="inlineStr">
        <is>
          <t>Flat 4 - 3 West Gate</t>
        </is>
      </c>
      <c r="F82" t="inlineStr">
        <is>
          <t>rent</t>
        </is>
      </c>
      <c r="G82" t="inlineStr">
        <is>
          <t>Income</t>
        </is>
      </c>
      <c r="H82" s="3" t="n">
        <v>726.75</v>
      </c>
    </row>
    <row r="83">
      <c r="A83" t="inlineStr">
        <is>
          <t>HIST-2025-05-1564</t>
        </is>
      </c>
      <c r="B83" s="2" t="n">
        <v>45804.0</v>
      </c>
      <c r="C83" t="inlineStr">
        <is>
          <t>1534</t>
        </is>
      </c>
      <c r="D83" s="2" t="n">
        <v>45783.0</v>
      </c>
      <c r="E83" t="inlineStr">
        <is>
          <t>Flat 1 - 3 West Gate</t>
        </is>
      </c>
      <c r="F83" t="inlineStr">
        <is>
          <t>rent</t>
        </is>
      </c>
      <c r="G83" t="inlineStr">
        <is>
          <t>Income</t>
        </is>
      </c>
      <c r="H83" s="3" t="n">
        <v>675.75</v>
      </c>
    </row>
    <row r="84">
      <c r="A84" t="inlineStr">
        <is>
          <t>HIST-2025-05-1564</t>
        </is>
      </c>
      <c r="B84" s="2" t="n">
        <v>45804.0</v>
      </c>
      <c r="C84" t="inlineStr">
        <is>
          <t>1543</t>
        </is>
      </c>
      <c r="D84" s="2" t="n">
        <v>45783.0</v>
      </c>
      <c r="E84" t="inlineStr">
        <is>
          <t>Flat 10 - 3 West Gate</t>
        </is>
      </c>
      <c r="F84" t="inlineStr">
        <is>
          <t>rent</t>
        </is>
      </c>
      <c r="G84" t="inlineStr">
        <is>
          <t>Income</t>
        </is>
      </c>
      <c r="H84" s="3" t="n">
        <v>624.75</v>
      </c>
    </row>
    <row r="85">
      <c r="A85" t="inlineStr">
        <is>
          <t>HIST-2025-05-1564</t>
        </is>
      </c>
      <c r="B85" s="2" t="n">
        <v>45804.0</v>
      </c>
      <c r="C85" t="inlineStr">
        <is>
          <t>1546</t>
        </is>
      </c>
      <c r="D85" s="2" t="n">
        <v>45783.0</v>
      </c>
      <c r="E85" t="inlineStr">
        <is>
          <t>Flat 13 - 3 West Gate</t>
        </is>
      </c>
      <c r="F85" t="inlineStr">
        <is>
          <t>rent</t>
        </is>
      </c>
      <c r="G85" t="inlineStr">
        <is>
          <t>Income</t>
        </is>
      </c>
      <c r="H85" s="3" t="n">
        <v>680.0</v>
      </c>
    </row>
    <row r="86">
      <c r="A86" t="inlineStr">
        <is>
          <t>HIST-2025-05-1564</t>
        </is>
      </c>
      <c r="B86" s="2" t="n">
        <v>45804.0</v>
      </c>
      <c r="C86" t="inlineStr">
        <is>
          <t>1552</t>
        </is>
      </c>
      <c r="D86" s="2" t="n">
        <v>45783.0</v>
      </c>
      <c r="E86" t="inlineStr">
        <is>
          <t>Flat 19 - 3 West Gate</t>
        </is>
      </c>
      <c r="F86" t="inlineStr">
        <is>
          <t>rent</t>
        </is>
      </c>
      <c r="G86" t="inlineStr">
        <is>
          <t>Income</t>
        </is>
      </c>
      <c r="H86" s="3" t="n">
        <v>629.0</v>
      </c>
    </row>
    <row r="87">
      <c r="A87" t="inlineStr">
        <is>
          <t>HIST-2025-05-1564</t>
        </is>
      </c>
      <c r="B87" s="2" t="n">
        <v>45804.0</v>
      </c>
      <c r="C87" t="inlineStr">
        <is>
          <t>1541</t>
        </is>
      </c>
      <c r="D87" s="2" t="n">
        <v>45783.0</v>
      </c>
      <c r="E87" t="inlineStr">
        <is>
          <t>Flat 8 - 3 West Gate</t>
        </is>
      </c>
      <c r="F87" t="inlineStr">
        <is>
          <t>rent</t>
        </is>
      </c>
      <c r="G87" t="inlineStr">
        <is>
          <t>Income</t>
        </is>
      </c>
      <c r="H87" s="3" t="n">
        <v>573.75</v>
      </c>
    </row>
    <row r="88">
      <c r="A88" t="inlineStr">
        <is>
          <t>HIST-2025-05-1564</t>
        </is>
      </c>
      <c r="B88" s="2" t="n">
        <v>45804.0</v>
      </c>
      <c r="C88" t="inlineStr">
        <is>
          <t>1545</t>
        </is>
      </c>
      <c r="D88" s="2" t="n">
        <v>45786.0</v>
      </c>
      <c r="E88" t="inlineStr">
        <is>
          <t>Flat 12 - 3 West Gate</t>
        </is>
      </c>
      <c r="F88" t="inlineStr">
        <is>
          <t>rent</t>
        </is>
      </c>
      <c r="G88" t="inlineStr">
        <is>
          <t>Income</t>
        </is>
      </c>
      <c r="H88" s="3" t="n">
        <v>573.75</v>
      </c>
    </row>
    <row r="89">
      <c r="A89" t="inlineStr">
        <is>
          <t>HIST-2025-05-1564</t>
        </is>
      </c>
      <c r="B89" s="2" t="n">
        <v>45804.0</v>
      </c>
      <c r="C89" t="inlineStr">
        <is>
          <t>1549</t>
        </is>
      </c>
      <c r="D89" s="2" t="n">
        <v>45789.0</v>
      </c>
      <c r="E89" t="inlineStr">
        <is>
          <t>Flat 16 - 3 West Gate</t>
        </is>
      </c>
      <c r="F89" t="inlineStr">
        <is>
          <t>rent</t>
        </is>
      </c>
      <c r="G89" t="inlineStr">
        <is>
          <t>Income</t>
        </is>
      </c>
      <c r="H89" s="3" t="n">
        <v>629.0</v>
      </c>
    </row>
    <row r="90">
      <c r="A90" t="inlineStr">
        <is>
          <t>HIST-2025-05-1564</t>
        </is>
      </c>
      <c r="B90" s="2" t="n">
        <v>45804.0</v>
      </c>
      <c r="C90" t="inlineStr">
        <is>
          <t>1561</t>
        </is>
      </c>
      <c r="D90" s="2" t="n">
        <v>45789.0</v>
      </c>
      <c r="E90" t="inlineStr">
        <is>
          <t>Flat 30 - 3 West Gate</t>
        </is>
      </c>
      <c r="F90" t="inlineStr">
        <is>
          <t>rent</t>
        </is>
      </c>
      <c r="G90" t="inlineStr">
        <is>
          <t>Income</t>
        </is>
      </c>
      <c r="H90" s="3" t="n">
        <v>629.0</v>
      </c>
    </row>
    <row r="91">
      <c r="A91" t="inlineStr">
        <is>
          <t>HIST-2025-05-1564</t>
        </is>
      </c>
      <c r="B91" s="2" t="n">
        <v>45804.0</v>
      </c>
      <c r="C91" t="inlineStr">
        <is>
          <t>1536</t>
        </is>
      </c>
      <c r="D91" s="2" t="n">
        <v>45791.0</v>
      </c>
      <c r="E91" t="inlineStr">
        <is>
          <t>Flat 3 - 3 West Gate</t>
        </is>
      </c>
      <c r="F91" t="inlineStr">
        <is>
          <t>rent</t>
        </is>
      </c>
      <c r="G91" t="inlineStr">
        <is>
          <t>Income</t>
        </is>
      </c>
      <c r="H91" s="3" t="n">
        <v>629.0</v>
      </c>
    </row>
    <row r="92">
      <c r="A92" t="inlineStr">
        <is>
          <t>HIST-2025-05-1564</t>
        </is>
      </c>
      <c r="B92" s="2" t="n">
        <v>45804.0</v>
      </c>
      <c r="C92" t="inlineStr">
        <is>
          <t>1551</t>
        </is>
      </c>
      <c r="D92" s="2" t="n">
        <v>45792.0</v>
      </c>
      <c r="E92" t="inlineStr">
        <is>
          <t>Flat 18 - 3 West Gate</t>
        </is>
      </c>
      <c r="F92" t="inlineStr">
        <is>
          <t>rent</t>
        </is>
      </c>
      <c r="G92" t="inlineStr">
        <is>
          <t>Income</t>
        </is>
      </c>
      <c r="H92" s="3" t="n">
        <v>157.25</v>
      </c>
    </row>
    <row r="93">
      <c r="A93" t="inlineStr">
        <is>
          <t>HIST-2025-05-1564</t>
        </is>
      </c>
      <c r="B93" s="2" t="n">
        <v>45804.0</v>
      </c>
      <c r="C93" t="inlineStr">
        <is>
          <t>1554</t>
        </is>
      </c>
      <c r="D93" s="2" t="n">
        <v>45793.0</v>
      </c>
      <c r="E93" t="inlineStr">
        <is>
          <t>Flat 21 - 3 West Gate</t>
        </is>
      </c>
      <c r="F93" t="inlineStr">
        <is>
          <t>rent</t>
        </is>
      </c>
      <c r="G93" t="inlineStr">
        <is>
          <t>Income</t>
        </is>
      </c>
      <c r="H93" s="3" t="n">
        <v>675.75</v>
      </c>
    </row>
    <row r="94">
      <c r="A94" t="inlineStr">
        <is>
          <t>HIST-2025-05-1564</t>
        </is>
      </c>
      <c r="B94" s="2" t="n">
        <v>45804.0</v>
      </c>
      <c r="C94" t="inlineStr">
        <is>
          <t>1556</t>
        </is>
      </c>
      <c r="D94" s="2" t="n">
        <v>45793.0</v>
      </c>
      <c r="E94" t="inlineStr">
        <is>
          <t>Flat 24 - 3 West Gate</t>
        </is>
      </c>
      <c r="F94" t="inlineStr">
        <is>
          <t>rent</t>
        </is>
      </c>
      <c r="G94" t="inlineStr">
        <is>
          <t>Income</t>
        </is>
      </c>
      <c r="H94" s="3" t="n">
        <v>688.5</v>
      </c>
    </row>
    <row r="95">
      <c r="A95" t="inlineStr">
        <is>
          <t>HIST-2025-05-1564</t>
        </is>
      </c>
      <c r="B95" s="2" t="n">
        <v>45804.0</v>
      </c>
      <c r="C95" t="inlineStr">
        <is>
          <t>1538</t>
        </is>
      </c>
      <c r="D95" s="2" t="n">
        <v>45794.0</v>
      </c>
      <c r="E95" t="inlineStr">
        <is>
          <t>Flat 5 - 3 West Gate</t>
        </is>
      </c>
      <c r="F95" t="inlineStr">
        <is>
          <t>rent</t>
        </is>
      </c>
      <c r="G95" t="inlineStr">
        <is>
          <t>Income</t>
        </is>
      </c>
      <c r="H95" s="3" t="n">
        <v>629.0</v>
      </c>
    </row>
    <row r="96">
      <c r="A96" t="inlineStr">
        <is>
          <t>HIST-2025-05-1564</t>
        </is>
      </c>
      <c r="B96" s="2" t="n">
        <v>45804.0</v>
      </c>
      <c r="C96" t="inlineStr">
        <is>
          <t>1548</t>
        </is>
      </c>
      <c r="D96" s="2" t="n">
        <v>45796.0</v>
      </c>
      <c r="E96" t="inlineStr">
        <is>
          <t>Flat 15 - 3 West Gate</t>
        </is>
      </c>
      <c r="F96" t="inlineStr">
        <is>
          <t>rent</t>
        </is>
      </c>
      <c r="G96" t="inlineStr">
        <is>
          <t>Income</t>
        </is>
      </c>
      <c r="H96" s="3" t="n">
        <v>1258.0</v>
      </c>
    </row>
    <row r="97">
      <c r="A97" t="inlineStr">
        <is>
          <t>HIST-2025-05-1564</t>
        </is>
      </c>
      <c r="B97" s="2" t="n">
        <v>45804.0</v>
      </c>
      <c r="C97" t="inlineStr">
        <is>
          <t>1540</t>
        </is>
      </c>
      <c r="D97" s="2" t="n">
        <v>45796.0</v>
      </c>
      <c r="E97" t="inlineStr">
        <is>
          <t>Flat 7 - 3 West Gate</t>
        </is>
      </c>
      <c r="F97" t="inlineStr">
        <is>
          <t>rent</t>
        </is>
      </c>
      <c r="G97" t="inlineStr">
        <is>
          <t>Income</t>
        </is>
      </c>
      <c r="H97" s="3" t="n">
        <v>1190.0</v>
      </c>
    </row>
    <row r="98">
      <c r="A98" t="inlineStr">
        <is>
          <t>HIST-2025-05-1564</t>
        </is>
      </c>
      <c r="B98" s="2" t="n">
        <v>45804.0</v>
      </c>
      <c r="C98" t="inlineStr">
        <is>
          <t>1550</t>
        </is>
      </c>
      <c r="D98" s="2" t="n">
        <v>45797.0</v>
      </c>
      <c r="E98" t="inlineStr">
        <is>
          <t>Flat 17 - 3 West Gate</t>
        </is>
      </c>
      <c r="F98" t="inlineStr">
        <is>
          <t>rent</t>
        </is>
      </c>
      <c r="G98" t="inlineStr">
        <is>
          <t>Income</t>
        </is>
      </c>
      <c r="H98" s="3" t="n">
        <v>595.0</v>
      </c>
    </row>
    <row r="99">
      <c r="A99" t="inlineStr">
        <is>
          <t>HIST-2025-05-1564</t>
        </is>
      </c>
      <c r="B99" s="2" t="n">
        <v>45804.0</v>
      </c>
      <c r="C99" t="inlineStr">
        <is>
          <t>1576</t>
        </is>
      </c>
      <c r="D99" s="2" t="n">
        <v>45804.0</v>
      </c>
      <c r="E99" t="inlineStr">
        <is>
          <t>Flat 14 - 3 West Gate</t>
        </is>
      </c>
      <c r="F99" t="inlineStr">
        <is>
          <t>rent</t>
        </is>
      </c>
      <c r="G99" t="inlineStr">
        <is>
          <t>Income</t>
        </is>
      </c>
      <c r="H99" s="3" t="n">
        <v>675.75</v>
      </c>
    </row>
    <row r="100">
      <c r="A100" t="inlineStr">
        <is>
          <t>HIST-2025-05-1564</t>
        </is>
      </c>
      <c r="B100" s="2" t="n">
        <v>45804.0</v>
      </c>
      <c r="C100" t="inlineStr">
        <is>
          <t>1582</t>
        </is>
      </c>
      <c r="D100" s="2" t="n">
        <v>45805.0</v>
      </c>
      <c r="E100" t="inlineStr">
        <is>
          <t>Flat 22 - 3 West Gate</t>
        </is>
      </c>
      <c r="F100" t="inlineStr">
        <is>
          <t>rent</t>
        </is>
      </c>
      <c r="G100" t="inlineStr">
        <is>
          <t>Income</t>
        </is>
      </c>
      <c r="H100" s="3" t="n">
        <v>537.91</v>
      </c>
    </row>
    <row r="101">
      <c r="A101" t="inlineStr">
        <is>
          <t>HIST-2025-05-1564</t>
        </is>
      </c>
      <c r="B101" s="2" t="n">
        <v>45804.0</v>
      </c>
      <c r="C101" t="inlineStr">
        <is>
          <t>1588</t>
        </is>
      </c>
      <c r="D101" s="2" t="n">
        <v>45799.0</v>
      </c>
      <c r="E101" t="inlineStr">
        <is>
          <t>Boden House Block - Block Property</t>
        </is>
      </c>
      <c r="F101" t="inlineStr">
        <is>
          <t>furnishings</t>
        </is>
      </c>
      <c r="G101" t="inlineStr">
        <is>
          <t>Income</t>
        </is>
      </c>
      <c r="H101" s="3" t="n">
        <v>250.0</v>
      </c>
    </row>
    <row r="102">
      <c r="A102" t="inlineStr">
        <is>
          <t>HIST-2025-05-1564</t>
        </is>
      </c>
      <c r="B102" s="2" t="n">
        <v>45804.0</v>
      </c>
      <c r="C102" t="inlineStr">
        <is>
          <t>1589</t>
        </is>
      </c>
      <c r="D102" s="2" t="n">
        <v>45799.0</v>
      </c>
      <c r="E102" t="inlineStr">
        <is>
          <t>Boden House Block - Block Property</t>
        </is>
      </c>
      <c r="F102" t="inlineStr">
        <is>
          <t>compliance</t>
        </is>
      </c>
      <c r="G102" t="inlineStr">
        <is>
          <t>Income</t>
        </is>
      </c>
      <c r="H102" s="3" t="n">
        <v>273.84</v>
      </c>
    </row>
    <row r="103">
      <c r="A103" t="inlineStr">
        <is>
          <t>HIST-2025-05-1564</t>
        </is>
      </c>
      <c r="B103" s="2" t="n">
        <v>45804.0</v>
      </c>
      <c r="C103" t="inlineStr">
        <is>
          <t>1590</t>
        </is>
      </c>
      <c r="D103" s="2" t="n">
        <v>45799.0</v>
      </c>
      <c r="E103" t="inlineStr">
        <is>
          <t>Boden House Block - Block Property</t>
        </is>
      </c>
      <c r="F103" t="inlineStr">
        <is>
          <t>maintenance</t>
        </is>
      </c>
      <c r="G103" t="inlineStr">
        <is>
          <t>Expense</t>
        </is>
      </c>
      <c r="H103" s="3" t="n">
        <v>115.01</v>
      </c>
    </row>
    <row r="104">
      <c r="A104" t="inlineStr">
        <is>
          <t>HIST-2025-05-1565</t>
        </is>
      </c>
      <c r="B104" s="2" t="n">
        <v>45805.0</v>
      </c>
      <c r="C104" t="inlineStr">
        <is>
          <t>1582</t>
        </is>
      </c>
      <c r="D104" s="2" t="n">
        <v>45805.0</v>
      </c>
      <c r="E104" t="inlineStr">
        <is>
          <t>Flat 22 - 3 West Gate</t>
        </is>
      </c>
      <c r="F104" t="inlineStr">
        <is>
          <t>rent</t>
        </is>
      </c>
      <c r="G104" t="inlineStr">
        <is>
          <t>Income</t>
        </is>
      </c>
      <c r="H104" s="3" t="n">
        <v>91.09</v>
      </c>
    </row>
    <row r="105">
      <c r="A105" t="inlineStr">
        <is>
          <t>HIST-2025-05-1565</t>
        </is>
      </c>
      <c r="B105" s="2" t="n">
        <v>45805.0</v>
      </c>
      <c r="C105" t="inlineStr">
        <is>
          <t>1583</t>
        </is>
      </c>
      <c r="D105" s="2" t="n">
        <v>45805.0</v>
      </c>
      <c r="E105" t="inlineStr">
        <is>
          <t>Flat 26 - 3 West Gate</t>
        </is>
      </c>
      <c r="F105" t="inlineStr">
        <is>
          <t>rent</t>
        </is>
      </c>
      <c r="G105" t="inlineStr">
        <is>
          <t>Income</t>
        </is>
      </c>
      <c r="H105" s="3" t="n">
        <v>203.12</v>
      </c>
    </row>
    <row r="106">
      <c r="A106" t="inlineStr">
        <is>
          <t>HIST-2025-05-1565</t>
        </is>
      </c>
      <c r="B106" s="2" t="n">
        <v>45805.0</v>
      </c>
      <c r="C106" t="inlineStr">
        <is>
          <t>1570</t>
        </is>
      </c>
      <c r="D106" s="2" t="n">
        <v>45805.0</v>
      </c>
      <c r="E106" t="inlineStr">
        <is>
          <t>Flat 6 - 3 West Gate</t>
        </is>
      </c>
      <c r="F106" t="inlineStr">
        <is>
          <t>rent</t>
        </is>
      </c>
      <c r="G106" t="inlineStr">
        <is>
          <t>Income</t>
        </is>
      </c>
      <c r="H106" s="3" t="n">
        <v>629.0</v>
      </c>
    </row>
    <row r="107">
      <c r="A107" t="inlineStr">
        <is>
          <t>AXNrOQQnXk</t>
        </is>
      </c>
      <c r="B107" s="2" t="n">
        <v>45825.0</v>
      </c>
      <c r="C107" t="inlineStr">
        <is>
          <t/>
        </is>
      </c>
      <c r="D107"/>
      <c r="E107" t="inlineStr">
        <is>
          <t>Flat 15 - 3 West Gate</t>
        </is>
      </c>
      <c r="F107" t="inlineStr">
        <is>
          <t>Owner</t>
        </is>
      </c>
      <c r="G107" t="inlineStr">
        <is>
          <t>Income</t>
        </is>
      </c>
      <c r="H107" s="3" t="n">
        <v>629.0</v>
      </c>
    </row>
    <row r="108">
      <c r="A108" t="inlineStr">
        <is>
          <t>v1pE8pYjZd</t>
        </is>
      </c>
      <c r="B108" s="2" t="n">
        <v>45831.0</v>
      </c>
      <c r="C108" t="inlineStr">
        <is>
          <t/>
        </is>
      </c>
      <c r="D108"/>
      <c r="E108" t="inlineStr">
        <is>
          <t>Apartment F - Knighton Hayes Manor</t>
        </is>
      </c>
      <c r="F108" t="inlineStr">
        <is>
          <t>Owner</t>
        </is>
      </c>
      <c r="G108" t="inlineStr">
        <is>
          <t>Income</t>
        </is>
      </c>
      <c r="H108" s="3" t="n">
        <v>1012.5</v>
      </c>
    </row>
    <row r="109">
      <c r="A109" t="inlineStr">
        <is>
          <t>zJBjND23JQ</t>
        </is>
      </c>
      <c r="B109" s="2" t="n">
        <v>45831.0</v>
      </c>
      <c r="C109" t="inlineStr">
        <is>
          <t/>
        </is>
      </c>
      <c r="D109"/>
      <c r="E109" t="inlineStr">
        <is>
          <t>Flat 17 - 3 West Gate</t>
        </is>
      </c>
      <c r="F109" t="inlineStr">
        <is>
          <t>Owner</t>
        </is>
      </c>
      <c r="G109" t="inlineStr">
        <is>
          <t>Income</t>
        </is>
      </c>
      <c r="H109" s="3" t="n">
        <v>595.0</v>
      </c>
    </row>
    <row r="110">
      <c r="A110" t="inlineStr">
        <is>
          <t>zJBjND23JQ</t>
        </is>
      </c>
      <c r="B110" s="2" t="n">
        <v>45831.0</v>
      </c>
      <c r="C110" t="inlineStr">
        <is>
          <t/>
        </is>
      </c>
      <c r="D110"/>
      <c r="E110" t="inlineStr">
        <is>
          <t>Flat 24 - 3 West Gate</t>
        </is>
      </c>
      <c r="F110" t="inlineStr">
        <is>
          <t>Owner</t>
        </is>
      </c>
      <c r="G110" t="inlineStr">
        <is>
          <t>Income</t>
        </is>
      </c>
      <c r="H110" s="3" t="n">
        <v>688.5</v>
      </c>
    </row>
    <row r="111">
      <c r="A111" t="inlineStr">
        <is>
          <t>zJBjND23JQ</t>
        </is>
      </c>
      <c r="B111" s="2" t="n">
        <v>45831.0</v>
      </c>
      <c r="C111" t="inlineStr">
        <is>
          <t/>
        </is>
      </c>
      <c r="D111"/>
      <c r="E111" t="inlineStr">
        <is>
          <t>Flat 5 - 3 West Gate</t>
        </is>
      </c>
      <c r="F111" t="inlineStr">
        <is>
          <t>Owner</t>
        </is>
      </c>
      <c r="G111" t="inlineStr">
        <is>
          <t>Income</t>
        </is>
      </c>
      <c r="H111" s="3" t="n">
        <v>629.0</v>
      </c>
    </row>
    <row r="112">
      <c r="A112" t="inlineStr">
        <is>
          <t>zJBjND23JQ</t>
        </is>
      </c>
      <c r="B112" s="2" t="n">
        <v>45831.0</v>
      </c>
      <c r="C112" t="inlineStr">
        <is>
          <t/>
        </is>
      </c>
      <c r="D112"/>
      <c r="E112" t="inlineStr">
        <is>
          <t>Flat 7 - 3 West Gate</t>
        </is>
      </c>
      <c r="F112" t="inlineStr">
        <is>
          <t>Owner</t>
        </is>
      </c>
      <c r="G112" t="inlineStr">
        <is>
          <t>Income</t>
        </is>
      </c>
      <c r="H112" s="3" t="n">
        <v>595.0</v>
      </c>
    </row>
    <row r="113">
      <c r="A113" t="inlineStr">
        <is>
          <t>HIST-2025-07-1591</t>
        </is>
      </c>
      <c r="B113" s="2" t="n">
        <v>45846.0</v>
      </c>
      <c r="C113" t="inlineStr">
        <is>
          <t>1566</t>
        </is>
      </c>
      <c r="D113" s="2" t="n">
        <v>45812.0</v>
      </c>
      <c r="E113" t="inlineStr">
        <is>
          <t>Flat 1 - 3 West Gate</t>
        </is>
      </c>
      <c r="F113" t="inlineStr">
        <is>
          <t>rent</t>
        </is>
      </c>
      <c r="G113" t="inlineStr">
        <is>
          <t>Income</t>
        </is>
      </c>
      <c r="H113" s="3" t="n">
        <v>516.65</v>
      </c>
    </row>
    <row r="114">
      <c r="A114" t="inlineStr">
        <is>
          <t>HIST-2025-07-1591</t>
        </is>
      </c>
      <c r="B114" s="2" t="n">
        <v>45846.0</v>
      </c>
      <c r="C114" t="inlineStr">
        <is>
          <t>1571</t>
        </is>
      </c>
      <c r="D114" s="2" t="n">
        <v>45812.0</v>
      </c>
      <c r="E114" t="inlineStr">
        <is>
          <t>Flat 8 - 3 West Gate</t>
        </is>
      </c>
      <c r="F114" t="inlineStr">
        <is>
          <t>rent</t>
        </is>
      </c>
      <c r="G114" t="inlineStr">
        <is>
          <t>Income</t>
        </is>
      </c>
      <c r="H114" s="3" t="n">
        <v>573.75</v>
      </c>
    </row>
    <row r="115">
      <c r="A115" t="inlineStr">
        <is>
          <t>HIST-2025-07-1591</t>
        </is>
      </c>
      <c r="B115" s="2" t="n">
        <v>45846.0</v>
      </c>
      <c r="C115" t="inlineStr">
        <is>
          <t>1573</t>
        </is>
      </c>
      <c r="D115" s="2" t="n">
        <v>45813.0</v>
      </c>
      <c r="E115" t="inlineStr">
        <is>
          <t>Flat 10 - 3 West Gate</t>
        </is>
      </c>
      <c r="F115" t="inlineStr">
        <is>
          <t>rent</t>
        </is>
      </c>
      <c r="G115" t="inlineStr">
        <is>
          <t>Income</t>
        </is>
      </c>
      <c r="H115" s="3" t="n">
        <v>624.75</v>
      </c>
    </row>
    <row r="116">
      <c r="A116" t="inlineStr">
        <is>
          <t>HIST-2025-07-1591</t>
        </is>
      </c>
      <c r="B116" s="2" t="n">
        <v>45846.0</v>
      </c>
      <c r="C116" t="inlineStr">
        <is>
          <t>1575</t>
        </is>
      </c>
      <c r="D116" s="2" t="n">
        <v>45814.0</v>
      </c>
      <c r="E116" t="inlineStr">
        <is>
          <t>Flat 13 - 3 West Gate</t>
        </is>
      </c>
      <c r="F116" t="inlineStr">
        <is>
          <t>rent</t>
        </is>
      </c>
      <c r="G116" t="inlineStr">
        <is>
          <t>Income</t>
        </is>
      </c>
      <c r="H116" s="3" t="n">
        <v>680.0</v>
      </c>
    </row>
    <row r="117">
      <c r="A117" t="inlineStr">
        <is>
          <t>HIST-2025-07-1591</t>
        </is>
      </c>
      <c r="B117" s="2" t="n">
        <v>45846.0</v>
      </c>
      <c r="C117" t="inlineStr">
        <is>
          <t>1587</t>
        </is>
      </c>
      <c r="D117" s="2" t="n">
        <v>45818.0</v>
      </c>
      <c r="E117" t="inlineStr">
        <is>
          <t>Flat 30 - 3 West Gate</t>
        </is>
      </c>
      <c r="F117" t="inlineStr">
        <is>
          <t>rent</t>
        </is>
      </c>
      <c r="G117" t="inlineStr">
        <is>
          <t>Income</t>
        </is>
      </c>
      <c r="H117" s="3" t="n">
        <v>629.0</v>
      </c>
    </row>
    <row r="118">
      <c r="A118" t="inlineStr">
        <is>
          <t>HIST-2025-07-1591</t>
        </is>
      </c>
      <c r="B118" s="2" t="n">
        <v>45846.0</v>
      </c>
      <c r="C118" t="inlineStr">
        <is>
          <t>1577</t>
        </is>
      </c>
      <c r="D118" s="2" t="n">
        <v>45820.0</v>
      </c>
      <c r="E118" t="inlineStr">
        <is>
          <t>Flat 16 - 3 West Gate</t>
        </is>
      </c>
      <c r="F118" t="inlineStr">
        <is>
          <t>rent</t>
        </is>
      </c>
      <c r="G118" t="inlineStr">
        <is>
          <t>Income</t>
        </is>
      </c>
      <c r="H118" s="3" t="n">
        <v>629.0</v>
      </c>
    </row>
    <row r="119">
      <c r="A119" t="inlineStr">
        <is>
          <t>HIST-2025-07-1591</t>
        </is>
      </c>
      <c r="B119" s="2" t="n">
        <v>45846.0</v>
      </c>
      <c r="C119" t="inlineStr">
        <is>
          <t>1578</t>
        </is>
      </c>
      <c r="D119" s="2" t="n">
        <v>45821.0</v>
      </c>
      <c r="E119" t="inlineStr">
        <is>
          <t>Flat 18 - 3 West Gate</t>
        </is>
      </c>
      <c r="F119" t="inlineStr">
        <is>
          <t>rent</t>
        </is>
      </c>
      <c r="G119" t="inlineStr">
        <is>
          <t>Income</t>
        </is>
      </c>
      <c r="H119" s="3" t="n">
        <v>675.75</v>
      </c>
    </row>
    <row r="120">
      <c r="A120" t="inlineStr">
        <is>
          <t>HIST-2025-07-1591</t>
        </is>
      </c>
      <c r="B120" s="2" t="n">
        <v>45846.0</v>
      </c>
      <c r="C120" t="inlineStr">
        <is>
          <t>1581</t>
        </is>
      </c>
      <c r="D120" s="2" t="n">
        <v>45823.0</v>
      </c>
      <c r="E120" t="inlineStr">
        <is>
          <t>Flat 21 - 3 West Gate</t>
        </is>
      </c>
      <c r="F120" t="inlineStr">
        <is>
          <t>rent</t>
        </is>
      </c>
      <c r="G120" t="inlineStr">
        <is>
          <t>Income</t>
        </is>
      </c>
      <c r="H120" s="3" t="n">
        <v>675.75</v>
      </c>
    </row>
    <row r="121">
      <c r="A121" t="inlineStr">
        <is>
          <t>HIST-2025-07-1591</t>
        </is>
      </c>
      <c r="B121" s="2" t="n">
        <v>45846.0</v>
      </c>
      <c r="C121" t="inlineStr">
        <is>
          <t>1568</t>
        </is>
      </c>
      <c r="D121" s="2" t="n">
        <v>45824.0</v>
      </c>
      <c r="E121" t="inlineStr">
        <is>
          <t>Flat 3 - 3 West Gate</t>
        </is>
      </c>
      <c r="F121" t="inlineStr">
        <is>
          <t>rent</t>
        </is>
      </c>
      <c r="G121" t="inlineStr">
        <is>
          <t>Income</t>
        </is>
      </c>
      <c r="H121" s="3" t="n">
        <v>629.0</v>
      </c>
    </row>
    <row r="122">
      <c r="A122" t="inlineStr">
        <is>
          <t>HIST-2025-07-1591</t>
        </is>
      </c>
      <c r="B122" s="2" t="n">
        <v>45846.0</v>
      </c>
      <c r="C122" t="inlineStr">
        <is>
          <t>1597</t>
        </is>
      </c>
      <c r="D122" s="2" t="n">
        <v>45831.0</v>
      </c>
      <c r="E122" t="inlineStr">
        <is>
          <t>Flat 23 - 3 West Gate</t>
        </is>
      </c>
      <c r="F122" t="inlineStr">
        <is>
          <t>rent</t>
        </is>
      </c>
      <c r="G122" t="inlineStr">
        <is>
          <t>Income</t>
        </is>
      </c>
      <c r="H122" s="3" t="n">
        <v>675.75</v>
      </c>
    </row>
    <row r="123">
      <c r="A123" t="inlineStr">
        <is>
          <t>HIST-2025-07-1591</t>
        </is>
      </c>
      <c r="B123" s="2" t="n">
        <v>45846.0</v>
      </c>
      <c r="C123" t="inlineStr">
        <is>
          <t>1595</t>
        </is>
      </c>
      <c r="D123" s="2" t="n">
        <v>45834.0</v>
      </c>
      <c r="E123" t="inlineStr">
        <is>
          <t>Flat 14 - 3 West Gate</t>
        </is>
      </c>
      <c r="F123" t="inlineStr">
        <is>
          <t>rent</t>
        </is>
      </c>
      <c r="G123" t="inlineStr">
        <is>
          <t>Income</t>
        </is>
      </c>
      <c r="H123" s="3" t="n">
        <v>675.75</v>
      </c>
    </row>
    <row r="124">
      <c r="A124" t="inlineStr">
        <is>
          <t>HIST-2025-07-1591</t>
        </is>
      </c>
      <c r="B124" s="2" t="n">
        <v>45846.0</v>
      </c>
      <c r="C124" t="inlineStr">
        <is>
          <t>1598</t>
        </is>
      </c>
      <c r="D124" s="2" t="n">
        <v>45838.0</v>
      </c>
      <c r="E124" t="inlineStr">
        <is>
          <t>Flat 26 - 3 West Gate</t>
        </is>
      </c>
      <c r="F124" t="inlineStr">
        <is>
          <t>rent</t>
        </is>
      </c>
      <c r="G124" t="inlineStr">
        <is>
          <t>Income</t>
        </is>
      </c>
      <c r="H124" s="3" t="n">
        <v>573.75</v>
      </c>
    </row>
    <row r="125">
      <c r="A125" t="inlineStr">
        <is>
          <t>HIST-2025-07-1591</t>
        </is>
      </c>
      <c r="B125" s="2" t="n">
        <v>45846.0</v>
      </c>
      <c r="C125" t="inlineStr">
        <is>
          <t>1596</t>
        </is>
      </c>
      <c r="D125" s="2" t="n">
        <v>45839.0</v>
      </c>
      <c r="E125" t="inlineStr">
        <is>
          <t>Flat 20 - 3 West Gate</t>
        </is>
      </c>
      <c r="F125" t="inlineStr">
        <is>
          <t>rent</t>
        </is>
      </c>
      <c r="G125" t="inlineStr">
        <is>
          <t>Income</t>
        </is>
      </c>
      <c r="H125" s="3" t="n">
        <v>595.0</v>
      </c>
    </row>
    <row r="126">
      <c r="A126" t="inlineStr">
        <is>
          <t>HIST-2025-07-1591</t>
        </is>
      </c>
      <c r="B126" s="2" t="n">
        <v>45846.0</v>
      </c>
      <c r="C126" t="inlineStr">
        <is>
          <t>1599</t>
        </is>
      </c>
      <c r="D126" s="2" t="n">
        <v>45839.0</v>
      </c>
      <c r="E126" t="inlineStr">
        <is>
          <t>Flat 28 - 3 West Gate</t>
        </is>
      </c>
      <c r="F126" t="inlineStr">
        <is>
          <t>rent</t>
        </is>
      </c>
      <c r="G126" t="inlineStr">
        <is>
          <t>Income</t>
        </is>
      </c>
      <c r="H126" s="3" t="n">
        <v>629.0</v>
      </c>
    </row>
    <row r="127">
      <c r="A127" t="inlineStr">
        <is>
          <t>HIST-2025-07-1591</t>
        </is>
      </c>
      <c r="B127" s="2" t="n">
        <v>45846.0</v>
      </c>
      <c r="C127" t="inlineStr">
        <is>
          <t>1593</t>
        </is>
      </c>
      <c r="D127" s="2" t="n">
        <v>45840.0</v>
      </c>
      <c r="E127" t="inlineStr">
        <is>
          <t>Flat 2 - 3 West Gate</t>
        </is>
      </c>
      <c r="F127" t="inlineStr">
        <is>
          <t>rent</t>
        </is>
      </c>
      <c r="G127" t="inlineStr">
        <is>
          <t>Income</t>
        </is>
      </c>
      <c r="H127" s="3" t="n">
        <v>629.0</v>
      </c>
    </row>
    <row r="128">
      <c r="A128" t="inlineStr">
        <is>
          <t>HIST-2025-07-1591</t>
        </is>
      </c>
      <c r="B128" s="2" t="n">
        <v>45846.0</v>
      </c>
      <c r="C128" t="inlineStr">
        <is>
          <t>1600</t>
        </is>
      </c>
      <c r="D128" s="2" t="n">
        <v>45840.0</v>
      </c>
      <c r="E128" t="inlineStr">
        <is>
          <t>Flat 29 - 3 West Gate</t>
        </is>
      </c>
      <c r="F128" t="inlineStr">
        <is>
          <t>rent</t>
        </is>
      </c>
      <c r="G128" t="inlineStr">
        <is>
          <t>Income</t>
        </is>
      </c>
      <c r="H128" s="3" t="n">
        <v>629.0</v>
      </c>
    </row>
    <row r="129">
      <c r="A129" t="inlineStr">
        <is>
          <t>HIST-2025-07-1591</t>
        </is>
      </c>
      <c r="B129" s="2" t="n">
        <v>45846.0</v>
      </c>
      <c r="C129" t="inlineStr">
        <is>
          <t>1592</t>
        </is>
      </c>
      <c r="D129" s="2" t="n">
        <v>45842.0</v>
      </c>
      <c r="E129" t="inlineStr">
        <is>
          <t>Flat 1 - 3 West Gate</t>
        </is>
      </c>
      <c r="F129" t="inlineStr">
        <is>
          <t>rent</t>
        </is>
      </c>
      <c r="G129" t="inlineStr">
        <is>
          <t>Income</t>
        </is>
      </c>
      <c r="H129" s="3" t="n">
        <v>675.75</v>
      </c>
    </row>
    <row r="130">
      <c r="A130" t="inlineStr">
        <is>
          <t>HIST-2025-07-1591</t>
        </is>
      </c>
      <c r="B130" s="2" t="n">
        <v>45846.0</v>
      </c>
      <c r="C130" t="inlineStr">
        <is>
          <t>1601</t>
        </is>
      </c>
      <c r="D130" s="2" t="n">
        <v>45850.0</v>
      </c>
      <c r="E130" t="inlineStr">
        <is>
          <t>Flat 30 - 3 West Gate</t>
        </is>
      </c>
      <c r="F130" t="inlineStr">
        <is>
          <t>rent</t>
        </is>
      </c>
      <c r="G130" t="inlineStr">
        <is>
          <t>Income</t>
        </is>
      </c>
      <c r="H130" s="3" t="n">
        <v>629.0</v>
      </c>
    </row>
    <row r="131">
      <c r="A131" t="inlineStr">
        <is>
          <t>HIST-2025-07-1591</t>
        </is>
      </c>
      <c r="B131" s="2" t="n">
        <v>45846.0</v>
      </c>
      <c r="C131" t="inlineStr">
        <is>
          <t>1594</t>
        </is>
      </c>
      <c r="D131" s="2" t="n">
        <v>45852.0</v>
      </c>
      <c r="E131" t="inlineStr">
        <is>
          <t>Flat 3 - 3 West Gate</t>
        </is>
      </c>
      <c r="F131" t="inlineStr">
        <is>
          <t>rent</t>
        </is>
      </c>
      <c r="G131" t="inlineStr">
        <is>
          <t>Income</t>
        </is>
      </c>
      <c r="H131" s="3" t="n">
        <v>629.0</v>
      </c>
    </row>
    <row r="132">
      <c r="A132" t="inlineStr">
        <is>
          <t>HIST-2025-07-1591</t>
        </is>
      </c>
      <c r="B132" s="2" t="n">
        <v>45846.0</v>
      </c>
      <c r="C132" t="inlineStr">
        <is>
          <t>1609</t>
        </is>
      </c>
      <c r="D132" s="2" t="n">
        <v>45860.0</v>
      </c>
      <c r="E132" t="inlineStr">
        <is>
          <t>Flat 19 - 3 West Gate</t>
        </is>
      </c>
      <c r="F132" t="inlineStr">
        <is>
          <t>rent</t>
        </is>
      </c>
      <c r="G132" t="inlineStr">
        <is>
          <t>Income</t>
        </is>
      </c>
      <c r="H132" s="3" t="n">
        <v>372.3</v>
      </c>
    </row>
    <row r="133">
      <c r="A133" t="inlineStr">
        <is>
          <t>HIST-2025-07-1591</t>
        </is>
      </c>
      <c r="B133" s="2" t="n">
        <v>45846.0</v>
      </c>
      <c r="C133" t="inlineStr">
        <is>
          <t>1610</t>
        </is>
      </c>
      <c r="D133" s="2" t="n">
        <v>45860.0</v>
      </c>
      <c r="E133" t="inlineStr">
        <is>
          <t>Flat 23 - 3 West Gate</t>
        </is>
      </c>
      <c r="F133" t="inlineStr">
        <is>
          <t>rent</t>
        </is>
      </c>
      <c r="G133" t="inlineStr">
        <is>
          <t>Income</t>
        </is>
      </c>
      <c r="H133" s="3" t="n">
        <v>675.75</v>
      </c>
    </row>
    <row r="134">
      <c r="A134" t="inlineStr">
        <is>
          <t>HIST-2025-07-1591</t>
        </is>
      </c>
      <c r="B134" s="2" t="n">
        <v>45846.0</v>
      </c>
      <c r="C134" t="inlineStr">
        <is>
          <t>1608</t>
        </is>
      </c>
      <c r="D134" s="2" t="n">
        <v>45866.0</v>
      </c>
      <c r="E134" t="inlineStr">
        <is>
          <t>Flat 14 - 3 West Gate</t>
        </is>
      </c>
      <c r="F134" t="inlineStr">
        <is>
          <t>rent</t>
        </is>
      </c>
      <c r="G134" t="inlineStr">
        <is>
          <t>Income</t>
        </is>
      </c>
      <c r="H134" s="3" t="n">
        <v>675.75</v>
      </c>
    </row>
    <row r="135">
      <c r="A135" t="inlineStr">
        <is>
          <t>HIST-2025-07-1591</t>
        </is>
      </c>
      <c r="B135" s="2" t="n">
        <v>45846.0</v>
      </c>
      <c r="C135" t="inlineStr">
        <is>
          <t>1611</t>
        </is>
      </c>
      <c r="D135" s="2" t="n">
        <v>45866.0</v>
      </c>
      <c r="E135" t="inlineStr">
        <is>
          <t>Flat 26 - 3 West Gate</t>
        </is>
      </c>
      <c r="F135" t="inlineStr">
        <is>
          <t>rent</t>
        </is>
      </c>
      <c r="G135" t="inlineStr">
        <is>
          <t>Income</t>
        </is>
      </c>
      <c r="H135" s="3" t="n">
        <v>573.75</v>
      </c>
    </row>
    <row r="136">
      <c r="A136" t="inlineStr">
        <is>
          <t>HIST-2025-07-1591</t>
        </is>
      </c>
      <c r="B136" s="2" t="n">
        <v>45846.0</v>
      </c>
      <c r="C136" t="inlineStr">
        <is>
          <t>1612</t>
        </is>
      </c>
      <c r="D136" s="2" t="n">
        <v>45868.0</v>
      </c>
      <c r="E136" t="inlineStr">
        <is>
          <t>Flat 28 - 3 West Gate</t>
        </is>
      </c>
      <c r="F136" t="inlineStr">
        <is>
          <t>rent</t>
        </is>
      </c>
      <c r="G136" t="inlineStr">
        <is>
          <t>Income</t>
        </is>
      </c>
      <c r="H136" s="3" t="n">
        <v>472.11</v>
      </c>
    </row>
    <row r="137">
      <c r="A137" t="inlineStr">
        <is>
          <t>HIST-2025-07-1591</t>
        </is>
      </c>
      <c r="B137" s="2" t="n">
        <v>45846.0</v>
      </c>
      <c r="C137" t="inlineStr">
        <is>
          <t>1602</t>
        </is>
      </c>
      <c r="D137" s="2" t="n">
        <v>45830.0</v>
      </c>
      <c r="E137" t="inlineStr">
        <is>
          <t>Boden House Block - Block Property</t>
        </is>
      </c>
      <c r="F137" t="inlineStr">
        <is>
          <t>maintenance</t>
        </is>
      </c>
      <c r="G137" t="inlineStr">
        <is>
          <t>Expense</t>
        </is>
      </c>
      <c r="H137" s="3" t="n">
        <v>265.0</v>
      </c>
    </row>
    <row r="138">
      <c r="A138" t="inlineStr">
        <is>
          <t>HIST-2025-07-1603</t>
        </is>
      </c>
      <c r="B138" s="2" t="n">
        <v>45846.0</v>
      </c>
      <c r="C138" t="inlineStr">
        <is>
          <t>1583</t>
        </is>
      </c>
      <c r="D138" s="2" t="n">
        <v>45805.0</v>
      </c>
      <c r="E138" t="inlineStr">
        <is>
          <t>Flat 26 - 3 West Gate</t>
        </is>
      </c>
      <c r="F138" t="inlineStr">
        <is>
          <t>rent</t>
        </is>
      </c>
      <c r="G138" t="inlineStr">
        <is>
          <t>Income</t>
        </is>
      </c>
      <c r="H138" s="3" t="n">
        <v>370.63</v>
      </c>
    </row>
    <row r="139">
      <c r="A139" t="inlineStr">
        <is>
          <t>HIST-2025-07-1603</t>
        </is>
      </c>
      <c r="B139" s="2" t="n">
        <v>45846.0</v>
      </c>
      <c r="C139" t="inlineStr">
        <is>
          <t>1585</t>
        </is>
      </c>
      <c r="D139" s="2" t="n">
        <v>45806.0</v>
      </c>
      <c r="E139" t="inlineStr">
        <is>
          <t>Flat 28 - 3 West Gate</t>
        </is>
      </c>
      <c r="F139" t="inlineStr">
        <is>
          <t>rent</t>
        </is>
      </c>
      <c r="G139" t="inlineStr">
        <is>
          <t>Income</t>
        </is>
      </c>
      <c r="H139" s="3" t="n">
        <v>629.0</v>
      </c>
    </row>
    <row r="140">
      <c r="A140" t="inlineStr">
        <is>
          <t>HIST-2025-07-1603</t>
        </is>
      </c>
      <c r="B140" s="2" t="n">
        <v>45846.0</v>
      </c>
      <c r="C140" t="inlineStr">
        <is>
          <t>1574</t>
        </is>
      </c>
      <c r="D140" s="2" t="n">
        <v>45809.0</v>
      </c>
      <c r="E140" t="inlineStr">
        <is>
          <t>Flat 11 - 3 West Gate</t>
        </is>
      </c>
      <c r="F140" t="inlineStr">
        <is>
          <t>rent</t>
        </is>
      </c>
      <c r="G140" t="inlineStr">
        <is>
          <t>Income</t>
        </is>
      </c>
      <c r="H140" s="3" t="n">
        <v>675.75</v>
      </c>
    </row>
    <row r="141">
      <c r="A141" t="inlineStr">
        <is>
          <t>HIST-2025-07-1603</t>
        </is>
      </c>
      <c r="B141" s="2" t="n">
        <v>45846.0</v>
      </c>
      <c r="C141" t="inlineStr">
        <is>
          <t>1567</t>
        </is>
      </c>
      <c r="D141" s="2" t="n">
        <v>45810.0</v>
      </c>
      <c r="E141" t="inlineStr">
        <is>
          <t>Flat 2 - 3 West Gate</t>
        </is>
      </c>
      <c r="F141" t="inlineStr">
        <is>
          <t>rent</t>
        </is>
      </c>
      <c r="G141" t="inlineStr">
        <is>
          <t>Income</t>
        </is>
      </c>
      <c r="H141" s="3" t="n">
        <v>629.0</v>
      </c>
    </row>
    <row r="142">
      <c r="A142" t="inlineStr">
        <is>
          <t>HIST-2025-07-1603</t>
        </is>
      </c>
      <c r="B142" s="2" t="n">
        <v>45846.0</v>
      </c>
      <c r="C142" t="inlineStr">
        <is>
          <t>1580</t>
        </is>
      </c>
      <c r="D142" s="2" t="n">
        <v>45810.0</v>
      </c>
      <c r="E142" t="inlineStr">
        <is>
          <t>Flat 20 - 3 West Gate</t>
        </is>
      </c>
      <c r="F142" t="inlineStr">
        <is>
          <t>rent</t>
        </is>
      </c>
      <c r="G142" t="inlineStr">
        <is>
          <t>Income</t>
        </is>
      </c>
      <c r="H142" s="3" t="n">
        <v>595.0</v>
      </c>
    </row>
    <row r="143">
      <c r="A143" t="inlineStr">
        <is>
          <t>HIST-2025-07-1603</t>
        </is>
      </c>
      <c r="B143" s="2" t="n">
        <v>45846.0</v>
      </c>
      <c r="C143" t="inlineStr">
        <is>
          <t>1584</t>
        </is>
      </c>
      <c r="D143" s="2" t="n">
        <v>45810.0</v>
      </c>
      <c r="E143" t="inlineStr">
        <is>
          <t>Flat 27 - 3 West Gate</t>
        </is>
      </c>
      <c r="F143" t="inlineStr">
        <is>
          <t>rent</t>
        </is>
      </c>
      <c r="G143" t="inlineStr">
        <is>
          <t>Income</t>
        </is>
      </c>
      <c r="H143" s="3" t="n">
        <v>595.0</v>
      </c>
    </row>
    <row r="144">
      <c r="A144" t="inlineStr">
        <is>
          <t>HIST-2025-07-1603</t>
        </is>
      </c>
      <c r="B144" s="2" t="n">
        <v>45846.0</v>
      </c>
      <c r="C144" t="inlineStr">
        <is>
          <t>1586</t>
        </is>
      </c>
      <c r="D144" s="2" t="n">
        <v>45810.0</v>
      </c>
      <c r="E144" t="inlineStr">
        <is>
          <t>Flat 29 - 3 West Gate</t>
        </is>
      </c>
      <c r="F144" t="inlineStr">
        <is>
          <t>rent</t>
        </is>
      </c>
      <c r="G144" t="inlineStr">
        <is>
          <t>Income</t>
        </is>
      </c>
      <c r="H144" s="3" t="n">
        <v>629.0</v>
      </c>
    </row>
    <row r="145">
      <c r="A145" t="inlineStr">
        <is>
          <t>HIST-2025-07-1603</t>
        </is>
      </c>
      <c r="B145" s="2" t="n">
        <v>45846.0</v>
      </c>
      <c r="C145" t="inlineStr">
        <is>
          <t>1572</t>
        </is>
      </c>
      <c r="D145" s="2" t="n">
        <v>45810.0</v>
      </c>
      <c r="E145" t="inlineStr">
        <is>
          <t>Flat 9 - 3 West Gate</t>
        </is>
      </c>
      <c r="F145" t="inlineStr">
        <is>
          <t>rent</t>
        </is>
      </c>
      <c r="G145" t="inlineStr">
        <is>
          <t>Income</t>
        </is>
      </c>
      <c r="H145" s="3" t="n">
        <v>595.0</v>
      </c>
    </row>
    <row r="146">
      <c r="A146" t="inlineStr">
        <is>
          <t>HIST-2025-07-1603</t>
        </is>
      </c>
      <c r="B146" s="2" t="n">
        <v>45846.0</v>
      </c>
      <c r="C146" t="inlineStr">
        <is>
          <t>1579</t>
        </is>
      </c>
      <c r="D146" s="2" t="n">
        <v>45811.0</v>
      </c>
      <c r="E146" t="inlineStr">
        <is>
          <t>Flat 19 - 3 West Gate</t>
        </is>
      </c>
      <c r="F146" t="inlineStr">
        <is>
          <t>rent</t>
        </is>
      </c>
      <c r="G146" t="inlineStr">
        <is>
          <t>Income</t>
        </is>
      </c>
      <c r="H146" s="3" t="n">
        <v>629.0</v>
      </c>
    </row>
    <row r="147">
      <c r="A147" t="inlineStr">
        <is>
          <t>HIST-2025-07-1603</t>
        </is>
      </c>
      <c r="B147" s="2" t="n">
        <v>45846.0</v>
      </c>
      <c r="C147" t="inlineStr">
        <is>
          <t>1569</t>
        </is>
      </c>
      <c r="D147" s="2" t="n">
        <v>45811.0</v>
      </c>
      <c r="E147" t="inlineStr">
        <is>
          <t>Flat 4 - 3 West Gate</t>
        </is>
      </c>
      <c r="F147" t="inlineStr">
        <is>
          <t>rent</t>
        </is>
      </c>
      <c r="G147" t="inlineStr">
        <is>
          <t>Income</t>
        </is>
      </c>
      <c r="H147" s="3" t="n">
        <v>726.75</v>
      </c>
    </row>
    <row r="148">
      <c r="A148" t="inlineStr">
        <is>
          <t>HIST-2025-07-1603</t>
        </is>
      </c>
      <c r="B148" s="2" t="n">
        <v>45846.0</v>
      </c>
      <c r="C148" t="inlineStr">
        <is>
          <t>1566</t>
        </is>
      </c>
      <c r="D148" s="2" t="n">
        <v>45812.0</v>
      </c>
      <c r="E148" t="inlineStr">
        <is>
          <t>Flat 1 - 3 West Gate</t>
        </is>
      </c>
      <c r="F148" t="inlineStr">
        <is>
          <t>rent</t>
        </is>
      </c>
      <c r="G148" t="inlineStr">
        <is>
          <t>Income</t>
        </is>
      </c>
      <c r="H148" s="3" t="n">
        <v>159.1</v>
      </c>
    </row>
    <row r="149">
      <c r="A149" t="inlineStr">
        <is>
          <t>e1a2e4QVZE</t>
        </is>
      </c>
      <c r="B149" s="2" t="n">
        <v>45861.0</v>
      </c>
      <c r="C149" t="inlineStr">
        <is>
          <t/>
        </is>
      </c>
      <c r="D149"/>
      <c r="E149" t="inlineStr">
        <is>
          <t>Apartment F - Knighton Hayes Manor</t>
        </is>
      </c>
      <c r="F149" t="inlineStr">
        <is>
          <t>Owner</t>
        </is>
      </c>
      <c r="G149" t="inlineStr">
        <is>
          <t>Income</t>
        </is>
      </c>
      <c r="H149" s="3" t="n">
        <v>1012.5</v>
      </c>
    </row>
    <row r="150">
      <c r="A150" t="inlineStr">
        <is>
          <t>e1a2e4QVZE</t>
        </is>
      </c>
      <c r="B150" s="2" t="n">
        <v>45861.0</v>
      </c>
      <c r="C150" t="inlineStr">
        <is>
          <t/>
        </is>
      </c>
      <c r="D150"/>
      <c r="E150" t="inlineStr">
        <is>
          <t>Flat 10 - 3 West Gate</t>
        </is>
      </c>
      <c r="F150" t="inlineStr">
        <is>
          <t>Owner</t>
        </is>
      </c>
      <c r="G150" t="inlineStr">
        <is>
          <t>Income</t>
        </is>
      </c>
      <c r="H150" s="3" t="n">
        <v>624.75</v>
      </c>
    </row>
    <row r="151">
      <c r="A151" t="inlineStr">
        <is>
          <t>e1a2e4QVZE</t>
        </is>
      </c>
      <c r="B151" s="2" t="n">
        <v>45861.0</v>
      </c>
      <c r="C151" t="inlineStr">
        <is>
          <t/>
        </is>
      </c>
      <c r="D151"/>
      <c r="E151" t="inlineStr">
        <is>
          <t>Flat 11 - 3 West Gate</t>
        </is>
      </c>
      <c r="F151" t="inlineStr">
        <is>
          <t>Owner</t>
        </is>
      </c>
      <c r="G151" t="inlineStr">
        <is>
          <t>Income</t>
        </is>
      </c>
      <c r="H151" s="3" t="n">
        <v>675.75</v>
      </c>
    </row>
    <row r="152">
      <c r="A152" t="inlineStr">
        <is>
          <t>e1a2e4QVZE</t>
        </is>
      </c>
      <c r="B152" s="2" t="n">
        <v>45861.0</v>
      </c>
      <c r="C152" t="inlineStr">
        <is>
          <t/>
        </is>
      </c>
      <c r="D152"/>
      <c r="E152" t="inlineStr">
        <is>
          <t>Flat 13 - 3 West Gate</t>
        </is>
      </c>
      <c r="F152" t="inlineStr">
        <is>
          <t>Owner</t>
        </is>
      </c>
      <c r="G152" t="inlineStr">
        <is>
          <t>Income</t>
        </is>
      </c>
      <c r="H152" s="3" t="n">
        <v>680.0</v>
      </c>
    </row>
    <row r="153">
      <c r="A153" t="inlineStr">
        <is>
          <t>e1a2e4QVZE</t>
        </is>
      </c>
      <c r="B153" s="2" t="n">
        <v>45861.0</v>
      </c>
      <c r="C153" t="inlineStr">
        <is>
          <t/>
        </is>
      </c>
      <c r="D153"/>
      <c r="E153" t="inlineStr">
        <is>
          <t>Flat 15 - 3 West Gate</t>
        </is>
      </c>
      <c r="F153" t="inlineStr">
        <is>
          <t>Owner</t>
        </is>
      </c>
      <c r="G153" t="inlineStr">
        <is>
          <t>Income</t>
        </is>
      </c>
      <c r="H153" s="3" t="n">
        <v>629.0</v>
      </c>
    </row>
    <row r="154">
      <c r="A154" t="inlineStr">
        <is>
          <t>e1a2e4QVZE</t>
        </is>
      </c>
      <c r="B154" s="2" t="n">
        <v>45861.0</v>
      </c>
      <c r="C154" t="inlineStr">
        <is>
          <t/>
        </is>
      </c>
      <c r="D154"/>
      <c r="E154" t="inlineStr">
        <is>
          <t>Flat 16 - 3 West Gate</t>
        </is>
      </c>
      <c r="F154" t="inlineStr">
        <is>
          <t>Owner</t>
        </is>
      </c>
      <c r="G154" t="inlineStr">
        <is>
          <t>Income</t>
        </is>
      </c>
      <c r="H154" s="3" t="n">
        <v>629.0</v>
      </c>
    </row>
    <row r="155">
      <c r="A155" t="inlineStr">
        <is>
          <t>e1a2e4QVZE</t>
        </is>
      </c>
      <c r="B155" s="2" t="n">
        <v>45861.0</v>
      </c>
      <c r="C155" t="inlineStr">
        <is>
          <t/>
        </is>
      </c>
      <c r="D155"/>
      <c r="E155" t="inlineStr">
        <is>
          <t>Flat 17 - 3 West Gate</t>
        </is>
      </c>
      <c r="F155" t="inlineStr">
        <is>
          <t>Owner</t>
        </is>
      </c>
      <c r="G155" t="inlineStr">
        <is>
          <t>Income</t>
        </is>
      </c>
      <c r="H155" s="3" t="n">
        <v>595.0</v>
      </c>
    </row>
    <row r="156">
      <c r="A156" t="inlineStr">
        <is>
          <t>e1a2e4QVZE</t>
        </is>
      </c>
      <c r="B156" s="2" t="n">
        <v>45861.0</v>
      </c>
      <c r="C156" t="inlineStr">
        <is>
          <t/>
        </is>
      </c>
      <c r="D156"/>
      <c r="E156" t="inlineStr">
        <is>
          <t>Flat 18 - 3 West Gate</t>
        </is>
      </c>
      <c r="F156" t="inlineStr">
        <is>
          <t>Owner</t>
        </is>
      </c>
      <c r="G156" t="inlineStr">
        <is>
          <t>Income</t>
        </is>
      </c>
      <c r="H156" s="3" t="n">
        <v>726.75</v>
      </c>
    </row>
    <row r="157">
      <c r="A157" t="inlineStr">
        <is>
          <t>e1a2e4QVZE</t>
        </is>
      </c>
      <c r="B157" s="2" t="n">
        <v>45861.0</v>
      </c>
      <c r="C157" t="inlineStr">
        <is>
          <t/>
        </is>
      </c>
      <c r="D157"/>
      <c r="E157" t="inlineStr">
        <is>
          <t>Flat 21 - 3 West Gate</t>
        </is>
      </c>
      <c r="F157" t="inlineStr">
        <is>
          <t>Owner</t>
        </is>
      </c>
      <c r="G157" t="inlineStr">
        <is>
          <t>Income</t>
        </is>
      </c>
      <c r="H157" s="3" t="n">
        <v>675.75</v>
      </c>
    </row>
    <row r="158">
      <c r="A158" t="inlineStr">
        <is>
          <t>e1a2e4QVZE</t>
        </is>
      </c>
      <c r="B158" s="2" t="n">
        <v>45861.0</v>
      </c>
      <c r="C158" t="inlineStr">
        <is>
          <t/>
        </is>
      </c>
      <c r="D158"/>
      <c r="E158" t="inlineStr">
        <is>
          <t>Flat 22 - 3 West Gate</t>
        </is>
      </c>
      <c r="F158" t="inlineStr">
        <is>
          <t>Owner</t>
        </is>
      </c>
      <c r="G158" t="inlineStr">
        <is>
          <t>Income</t>
        </is>
      </c>
      <c r="H158" s="3" t="n">
        <v>629.0</v>
      </c>
    </row>
    <row r="159">
      <c r="A159" t="inlineStr">
        <is>
          <t>e1a2e4QVZE</t>
        </is>
      </c>
      <c r="B159" s="2" t="n">
        <v>45861.0</v>
      </c>
      <c r="C159" t="inlineStr">
        <is>
          <t/>
        </is>
      </c>
      <c r="D159"/>
      <c r="E159" t="inlineStr">
        <is>
          <t>Flat 24 - 3 West Gate</t>
        </is>
      </c>
      <c r="F159" t="inlineStr">
        <is>
          <t>Owner</t>
        </is>
      </c>
      <c r="G159" t="inlineStr">
        <is>
          <t>Income</t>
        </is>
      </c>
      <c r="H159" s="3" t="n">
        <v>688.5</v>
      </c>
    </row>
    <row r="160">
      <c r="A160" t="inlineStr">
        <is>
          <t>e1a2e4QVZE</t>
        </is>
      </c>
      <c r="B160" s="2" t="n">
        <v>45861.0</v>
      </c>
      <c r="C160" t="inlineStr">
        <is>
          <t/>
        </is>
      </c>
      <c r="D160"/>
      <c r="E160" t="inlineStr">
        <is>
          <t>Flat 27 - 3 West Gate</t>
        </is>
      </c>
      <c r="F160" t="inlineStr">
        <is>
          <t>Owner</t>
        </is>
      </c>
      <c r="G160" t="inlineStr">
        <is>
          <t>Income</t>
        </is>
      </c>
      <c r="H160" s="3" t="n">
        <v>595.0</v>
      </c>
    </row>
    <row r="161">
      <c r="A161" t="inlineStr">
        <is>
          <t>e1a2e4QVZE</t>
        </is>
      </c>
      <c r="B161" s="2" t="n">
        <v>45861.0</v>
      </c>
      <c r="C161" t="inlineStr">
        <is>
          <t/>
        </is>
      </c>
      <c r="D161"/>
      <c r="E161" t="inlineStr">
        <is>
          <t>Flat 4 - 3 West Gate</t>
        </is>
      </c>
      <c r="F161" t="inlineStr">
        <is>
          <t>Owner</t>
        </is>
      </c>
      <c r="G161" t="inlineStr">
        <is>
          <t>Income</t>
        </is>
      </c>
      <c r="H161" s="3" t="n">
        <v>726.75</v>
      </c>
    </row>
    <row r="162">
      <c r="A162" t="inlineStr">
        <is>
          <t>e1a2e4QVZE</t>
        </is>
      </c>
      <c r="B162" s="2" t="n">
        <v>45861.0</v>
      </c>
      <c r="C162" t="inlineStr">
        <is>
          <t/>
        </is>
      </c>
      <c r="D162"/>
      <c r="E162" t="inlineStr">
        <is>
          <t>Flat 5 - 3 West Gate</t>
        </is>
      </c>
      <c r="F162" t="inlineStr">
        <is>
          <t>Owner</t>
        </is>
      </c>
      <c r="G162" t="inlineStr">
        <is>
          <t>Income</t>
        </is>
      </c>
      <c r="H162" s="3" t="n">
        <v>629.0</v>
      </c>
    </row>
    <row r="163">
      <c r="A163" t="inlineStr">
        <is>
          <t>e1a2e4QVZE</t>
        </is>
      </c>
      <c r="B163" s="2" t="n">
        <v>45861.0</v>
      </c>
      <c r="C163" t="inlineStr">
        <is>
          <t/>
        </is>
      </c>
      <c r="D163"/>
      <c r="E163" t="inlineStr">
        <is>
          <t>Flat 6 - 3 West Gate</t>
        </is>
      </c>
      <c r="F163" t="inlineStr">
        <is>
          <t>Owner</t>
        </is>
      </c>
      <c r="G163" t="inlineStr">
        <is>
          <t>Income</t>
        </is>
      </c>
      <c r="H163" s="3" t="n">
        <v>629.0</v>
      </c>
    </row>
    <row r="164">
      <c r="A164" t="inlineStr">
        <is>
          <t>e1a2e4QVZE</t>
        </is>
      </c>
      <c r="B164" s="2" t="n">
        <v>45861.0</v>
      </c>
      <c r="C164" t="inlineStr">
        <is>
          <t/>
        </is>
      </c>
      <c r="D164"/>
      <c r="E164" t="inlineStr">
        <is>
          <t>Flat 7 - 3 West Gate</t>
        </is>
      </c>
      <c r="F164" t="inlineStr">
        <is>
          <t>Owner</t>
        </is>
      </c>
      <c r="G164" t="inlineStr">
        <is>
          <t>Income</t>
        </is>
      </c>
      <c r="H164" s="3" t="n">
        <v>595.0</v>
      </c>
    </row>
    <row r="165">
      <c r="A165" t="inlineStr">
        <is>
          <t>e1a2e4QVZE</t>
        </is>
      </c>
      <c r="B165" s="2" t="n">
        <v>45861.0</v>
      </c>
      <c r="C165" t="inlineStr">
        <is>
          <t/>
        </is>
      </c>
      <c r="D165"/>
      <c r="E165" t="inlineStr">
        <is>
          <t>Flat 8 - 3 West Gate</t>
        </is>
      </c>
      <c r="F165" t="inlineStr">
        <is>
          <t>Owner</t>
        </is>
      </c>
      <c r="G165" t="inlineStr">
        <is>
          <t>Income</t>
        </is>
      </c>
      <c r="H165" s="3" t="n">
        <v>624.75</v>
      </c>
    </row>
    <row r="166">
      <c r="A166" t="inlineStr">
        <is>
          <t>e1a2e4QVZE</t>
        </is>
      </c>
      <c r="B166" s="2" t="n">
        <v>45861.0</v>
      </c>
      <c r="C166" t="inlineStr">
        <is>
          <t/>
        </is>
      </c>
      <c r="D166"/>
      <c r="E166" t="inlineStr">
        <is>
          <t>Flat 9 - 3 West Gate</t>
        </is>
      </c>
      <c r="F166" t="inlineStr">
        <is>
          <t>Owner</t>
        </is>
      </c>
      <c r="G166" t="inlineStr">
        <is>
          <t>Income</t>
        </is>
      </c>
      <c r="H166" s="3" t="n">
        <v>595.0</v>
      </c>
    </row>
    <row r="167">
      <c r="A167" t="inlineStr">
        <is>
          <t>HIST-2025-07-1604</t>
        </is>
      </c>
      <c r="B167" s="2" t="n">
        <v>45861.0</v>
      </c>
      <c r="C167" t="inlineStr">
        <is>
          <t>1562</t>
        </is>
      </c>
      <c r="D167" s="2" t="n">
        <v>45796.0</v>
      </c>
      <c r="E167" t="inlineStr">
        <is>
          <t>Apartment F - Knighton Hayes Manor</t>
        </is>
      </c>
      <c r="F167" t="inlineStr">
        <is>
          <t>rent</t>
        </is>
      </c>
      <c r="G167" t="inlineStr">
        <is>
          <t>Income</t>
        </is>
      </c>
      <c r="H167" s="3" t="n">
        <v>1012.5</v>
      </c>
    </row>
    <row r="168">
      <c r="A168" t="inlineStr">
        <is>
          <t>LJMK7Oyo1q</t>
        </is>
      </c>
      <c r="B168" s="2" t="n">
        <v>45891.0</v>
      </c>
      <c r="C168" t="inlineStr">
        <is>
          <t/>
        </is>
      </c>
      <c r="D168"/>
      <c r="E168" t="inlineStr">
        <is>
          <t>Apartment F - Knighton Hayes Manor</t>
        </is>
      </c>
      <c r="F168" t="inlineStr">
        <is>
          <t>Owner</t>
        </is>
      </c>
      <c r="G168" t="inlineStr">
        <is>
          <t>Income</t>
        </is>
      </c>
      <c r="H168" s="3" t="n">
        <v>1012.5</v>
      </c>
    </row>
    <row r="169">
      <c r="A169" t="inlineStr">
        <is>
          <t>LJMK7Oyo1q</t>
        </is>
      </c>
      <c r="B169" s="2" t="n">
        <v>45891.0</v>
      </c>
      <c r="C169" t="inlineStr">
        <is>
          <t/>
        </is>
      </c>
      <c r="D169"/>
      <c r="E169" t="inlineStr">
        <is>
          <t>Flat 11 - 3 West Gate</t>
        </is>
      </c>
      <c r="F169" t="inlineStr">
        <is>
          <t>Owner</t>
        </is>
      </c>
      <c r="G169" t="inlineStr">
        <is>
          <t>Income</t>
        </is>
      </c>
      <c r="H169" s="3" t="n">
        <v>675.75</v>
      </c>
    </row>
    <row r="170">
      <c r="A170" t="inlineStr">
        <is>
          <t>LJMK7Oyo1q</t>
        </is>
      </c>
      <c r="B170" s="2" t="n">
        <v>45891.0</v>
      </c>
      <c r="C170" t="inlineStr">
        <is>
          <t/>
        </is>
      </c>
      <c r="D170"/>
      <c r="E170" t="inlineStr">
        <is>
          <t>Flat 12 - 3 West Gate</t>
        </is>
      </c>
      <c r="F170" t="inlineStr">
        <is>
          <t>Owner</t>
        </is>
      </c>
      <c r="G170" t="inlineStr">
        <is>
          <t>Income</t>
        </is>
      </c>
      <c r="H170" s="3" t="n">
        <v>4834.2</v>
      </c>
    </row>
    <row r="171">
      <c r="A171" t="inlineStr">
        <is>
          <t>LJMK7Oyo1q</t>
        </is>
      </c>
      <c r="B171" s="2" t="n">
        <v>45891.0</v>
      </c>
      <c r="C171" t="inlineStr">
        <is>
          <t/>
        </is>
      </c>
      <c r="D171"/>
      <c r="E171" t="inlineStr">
        <is>
          <t>Flat 13 - 3 West Gate</t>
        </is>
      </c>
      <c r="F171" t="inlineStr">
        <is>
          <t>Owner</t>
        </is>
      </c>
      <c r="G171" t="inlineStr">
        <is>
          <t>Income</t>
        </is>
      </c>
      <c r="H171" s="3" t="n">
        <v>680.0</v>
      </c>
    </row>
    <row r="172">
      <c r="A172" t="inlineStr">
        <is>
          <t>LJMK7Oyo1q</t>
        </is>
      </c>
      <c r="B172" s="2" t="n">
        <v>45891.0</v>
      </c>
      <c r="C172" t="inlineStr">
        <is>
          <t/>
        </is>
      </c>
      <c r="D172"/>
      <c r="E172" t="inlineStr">
        <is>
          <t>Flat 15 - 3 West Gate</t>
        </is>
      </c>
      <c r="F172" t="inlineStr">
        <is>
          <t>Owner</t>
        </is>
      </c>
      <c r="G172" t="inlineStr">
        <is>
          <t>Income</t>
        </is>
      </c>
      <c r="H172" s="3" t="n">
        <v>629.0</v>
      </c>
    </row>
    <row r="173">
      <c r="A173" t="inlineStr">
        <is>
          <t>LJMK7Oyo1q</t>
        </is>
      </c>
      <c r="B173" s="2" t="n">
        <v>45891.0</v>
      </c>
      <c r="C173" t="inlineStr">
        <is>
          <t/>
        </is>
      </c>
      <c r="D173"/>
      <c r="E173" t="inlineStr">
        <is>
          <t>Flat 16 - 3 West Gate</t>
        </is>
      </c>
      <c r="F173" t="inlineStr">
        <is>
          <t>Owner</t>
        </is>
      </c>
      <c r="G173" t="inlineStr">
        <is>
          <t>Income</t>
        </is>
      </c>
      <c r="H173" s="3" t="n">
        <v>496.31</v>
      </c>
    </row>
    <row r="174">
      <c r="A174" t="inlineStr">
        <is>
          <t>LJMK7Oyo1q</t>
        </is>
      </c>
      <c r="B174" s="2" t="n">
        <v>45891.0</v>
      </c>
      <c r="C174" t="inlineStr">
        <is>
          <t/>
        </is>
      </c>
      <c r="D174"/>
      <c r="E174" t="inlineStr">
        <is>
          <t>Flat 17 - 3 West Gate</t>
        </is>
      </c>
      <c r="F174" t="inlineStr">
        <is>
          <t>Owner</t>
        </is>
      </c>
      <c r="G174" t="inlineStr">
        <is>
          <t>Income</t>
        </is>
      </c>
      <c r="H174" s="3" t="n">
        <v>595.0</v>
      </c>
    </row>
    <row r="175">
      <c r="A175" t="inlineStr">
        <is>
          <t>LJMK7Oyo1q</t>
        </is>
      </c>
      <c r="B175" s="2" t="n">
        <v>45891.0</v>
      </c>
      <c r="C175" t="inlineStr">
        <is>
          <t/>
        </is>
      </c>
      <c r="D175"/>
      <c r="E175" t="inlineStr">
        <is>
          <t>Flat 18 - 3 West Gate</t>
        </is>
      </c>
      <c r="F175" t="inlineStr">
        <is>
          <t>Owner</t>
        </is>
      </c>
      <c r="G175" t="inlineStr">
        <is>
          <t>Income</t>
        </is>
      </c>
      <c r="H175" s="3" t="n">
        <v>726.75</v>
      </c>
    </row>
    <row r="176">
      <c r="A176" t="inlineStr">
        <is>
          <t>LJMK7Oyo1q</t>
        </is>
      </c>
      <c r="B176" s="2" t="n">
        <v>45891.0</v>
      </c>
      <c r="C176" t="inlineStr">
        <is>
          <t/>
        </is>
      </c>
      <c r="D176"/>
      <c r="E176" t="inlineStr">
        <is>
          <t>Flat 20 - 3 West Gate</t>
        </is>
      </c>
      <c r="F176" t="inlineStr">
        <is>
          <t>Owner</t>
        </is>
      </c>
      <c r="G176" t="inlineStr">
        <is>
          <t>Income</t>
        </is>
      </c>
      <c r="H176" s="3" t="n">
        <v>595.0</v>
      </c>
    </row>
    <row r="177">
      <c r="A177" t="inlineStr">
        <is>
          <t>LJMK7Oyo1q</t>
        </is>
      </c>
      <c r="B177" s="2" t="n">
        <v>45891.0</v>
      </c>
      <c r="C177" t="inlineStr">
        <is>
          <t/>
        </is>
      </c>
      <c r="D177"/>
      <c r="E177" t="inlineStr">
        <is>
          <t>Flat 21 - 3 West Gate</t>
        </is>
      </c>
      <c r="F177" t="inlineStr">
        <is>
          <t>Owner</t>
        </is>
      </c>
      <c r="G177" t="inlineStr">
        <is>
          <t>Income</t>
        </is>
      </c>
      <c r="H177" s="3" t="n">
        <v>675.75</v>
      </c>
    </row>
    <row r="178">
      <c r="A178" t="inlineStr">
        <is>
          <t>LJMK7Oyo1q</t>
        </is>
      </c>
      <c r="B178" s="2" t="n">
        <v>45891.0</v>
      </c>
      <c r="C178" t="inlineStr">
        <is>
          <t/>
        </is>
      </c>
      <c r="D178"/>
      <c r="E178" t="inlineStr">
        <is>
          <t>Flat 22 - 3 West Gate</t>
        </is>
      </c>
      <c r="F178" t="inlineStr">
        <is>
          <t>Owner</t>
        </is>
      </c>
      <c r="G178" t="inlineStr">
        <is>
          <t>Income</t>
        </is>
      </c>
      <c r="H178" s="3" t="n">
        <v>629.0</v>
      </c>
    </row>
    <row r="179">
      <c r="A179" t="inlineStr">
        <is>
          <t>LJMK7Oyo1q</t>
        </is>
      </c>
      <c r="B179" s="2" t="n">
        <v>45891.0</v>
      </c>
      <c r="C179" t="inlineStr">
        <is>
          <t/>
        </is>
      </c>
      <c r="D179"/>
      <c r="E179" t="inlineStr">
        <is>
          <t>Flat 24 - 3 West Gate</t>
        </is>
      </c>
      <c r="F179" t="inlineStr">
        <is>
          <t>Owner</t>
        </is>
      </c>
      <c r="G179" t="inlineStr">
        <is>
          <t>Income</t>
        </is>
      </c>
      <c r="H179" s="3" t="n">
        <v>688.5</v>
      </c>
    </row>
    <row r="180">
      <c r="A180" t="inlineStr">
        <is>
          <t>LJMK7Oyo1q</t>
        </is>
      </c>
      <c r="B180" s="2" t="n">
        <v>45891.0</v>
      </c>
      <c r="C180" t="inlineStr">
        <is>
          <t/>
        </is>
      </c>
      <c r="D180"/>
      <c r="E180" t="inlineStr">
        <is>
          <t>Flat 27 - 3 West Gate</t>
        </is>
      </c>
      <c r="F180" t="inlineStr">
        <is>
          <t>Owner</t>
        </is>
      </c>
      <c r="G180" t="inlineStr">
        <is>
          <t>Income</t>
        </is>
      </c>
      <c r="H180" s="3" t="n">
        <v>595.0</v>
      </c>
    </row>
    <row r="181">
      <c r="A181" t="inlineStr">
        <is>
          <t>LJMK7Oyo1q</t>
        </is>
      </c>
      <c r="B181" s="2" t="n">
        <v>45891.0</v>
      </c>
      <c r="C181" t="inlineStr">
        <is>
          <t/>
        </is>
      </c>
      <c r="D181"/>
      <c r="E181" t="inlineStr">
        <is>
          <t>Flat 29 - 3 West Gate</t>
        </is>
      </c>
      <c r="F181" t="inlineStr">
        <is>
          <t>Owner</t>
        </is>
      </c>
      <c r="G181" t="inlineStr">
        <is>
          <t>Income</t>
        </is>
      </c>
      <c r="H181" s="3" t="n">
        <v>629.0</v>
      </c>
    </row>
    <row r="182">
      <c r="A182" t="inlineStr">
        <is>
          <t>LJMK7Oyo1q</t>
        </is>
      </c>
      <c r="B182" s="2" t="n">
        <v>45891.0</v>
      </c>
      <c r="C182" t="inlineStr">
        <is>
          <t/>
        </is>
      </c>
      <c r="D182"/>
      <c r="E182" t="inlineStr">
        <is>
          <t>Flat 4 - 3 West Gate</t>
        </is>
      </c>
      <c r="F182" t="inlineStr">
        <is>
          <t>Owner</t>
        </is>
      </c>
      <c r="G182" t="inlineStr">
        <is>
          <t>Income</t>
        </is>
      </c>
      <c r="H182" s="3" t="n">
        <v>726.75</v>
      </c>
    </row>
    <row r="183">
      <c r="A183" t="inlineStr">
        <is>
          <t>LJMK7Oyo1q</t>
        </is>
      </c>
      <c r="B183" s="2" t="n">
        <v>45891.0</v>
      </c>
      <c r="C183" t="inlineStr">
        <is>
          <t/>
        </is>
      </c>
      <c r="D183"/>
      <c r="E183" t="inlineStr">
        <is>
          <t>Flat 5 - 3 West Gate</t>
        </is>
      </c>
      <c r="F183" t="inlineStr">
        <is>
          <t>Owner</t>
        </is>
      </c>
      <c r="G183" t="inlineStr">
        <is>
          <t>Income</t>
        </is>
      </c>
      <c r="H183" s="3" t="n">
        <v>629.0</v>
      </c>
    </row>
    <row r="184">
      <c r="A184" t="inlineStr">
        <is>
          <t>LJMK7Oyo1q</t>
        </is>
      </c>
      <c r="B184" s="2" t="n">
        <v>45891.0</v>
      </c>
      <c r="C184" t="inlineStr">
        <is>
          <t/>
        </is>
      </c>
      <c r="D184"/>
      <c r="E184" t="inlineStr">
        <is>
          <t>Flat 6 - 3 West Gate</t>
        </is>
      </c>
      <c r="F184" t="inlineStr">
        <is>
          <t>Owner</t>
        </is>
      </c>
      <c r="G184" t="inlineStr">
        <is>
          <t>Income</t>
        </is>
      </c>
      <c r="H184" s="3" t="n">
        <v>629.0</v>
      </c>
    </row>
    <row r="185">
      <c r="A185" t="inlineStr">
        <is>
          <t>LJMK7Oyo1q</t>
        </is>
      </c>
      <c r="B185" s="2" t="n">
        <v>45891.0</v>
      </c>
      <c r="C185" t="inlineStr">
        <is>
          <t/>
        </is>
      </c>
      <c r="D185"/>
      <c r="E185" t="inlineStr">
        <is>
          <t>Flat 8 - 3 West Gate</t>
        </is>
      </c>
      <c r="F185" t="inlineStr">
        <is>
          <t>Owner</t>
        </is>
      </c>
      <c r="G185" t="inlineStr">
        <is>
          <t>Income</t>
        </is>
      </c>
      <c r="H185" s="3" t="n">
        <v>624.75</v>
      </c>
    </row>
    <row r="186">
      <c r="A186" t="inlineStr">
        <is>
          <t>LJMK7Oyo1q</t>
        </is>
      </c>
      <c r="B186" s="2" t="n">
        <v>45891.0</v>
      </c>
      <c r="C186" t="inlineStr">
        <is>
          <t/>
        </is>
      </c>
      <c r="D186"/>
      <c r="E186" t="inlineStr">
        <is>
          <t>Flat 9 - 3 West Gate</t>
        </is>
      </c>
      <c r="F186" t="inlineStr">
        <is>
          <t>Owner</t>
        </is>
      </c>
      <c r="G186" t="inlineStr">
        <is>
          <t>Income</t>
        </is>
      </c>
      <c r="H186" s="3" t="n">
        <v>595.0</v>
      </c>
    </row>
    <row r="187">
      <c r="A187" t="inlineStr">
        <is>
          <t>2Xlz4lYnZe</t>
        </is>
      </c>
      <c r="B187" s="2" t="n">
        <v>45919.0</v>
      </c>
      <c r="C187" t="inlineStr">
        <is>
          <t/>
        </is>
      </c>
      <c r="D187"/>
      <c r="E187" t="inlineStr">
        <is>
          <t>Flat 10 - 3 West Gate</t>
        </is>
      </c>
      <c r="F187" t="inlineStr">
        <is>
          <t>Owner</t>
        </is>
      </c>
      <c r="G187" t="inlineStr">
        <is>
          <t>Income</t>
        </is>
      </c>
      <c r="H187" s="3" t="n">
        <v>410.72</v>
      </c>
    </row>
    <row r="188">
      <c r="A188" t="inlineStr">
        <is>
          <t>2Xlz4lYnZe</t>
        </is>
      </c>
      <c r="B188" s="2" t="n">
        <v>45919.0</v>
      </c>
      <c r="C188" t="inlineStr">
        <is>
          <t/>
        </is>
      </c>
      <c r="D188"/>
      <c r="E188" t="inlineStr">
        <is>
          <t>Flat 10 - 3 West Gate</t>
        </is>
      </c>
      <c r="F188" t="inlineStr">
        <is>
          <t>Owner</t>
        </is>
      </c>
      <c r="G188" t="inlineStr">
        <is>
          <t>Income</t>
        </is>
      </c>
      <c r="H188" s="3" t="n">
        <v>675.75</v>
      </c>
    </row>
    <row r="189">
      <c r="A189" t="inlineStr">
        <is>
          <t>2Xlz4lYnZe</t>
        </is>
      </c>
      <c r="B189" s="2" t="n">
        <v>45919.0</v>
      </c>
      <c r="C189" t="inlineStr">
        <is>
          <t/>
        </is>
      </c>
      <c r="D189"/>
      <c r="E189" t="inlineStr">
        <is>
          <t>Flat 11 - 3 West Gate</t>
        </is>
      </c>
      <c r="F189" t="inlineStr">
        <is>
          <t>Owner</t>
        </is>
      </c>
      <c r="G189" t="inlineStr">
        <is>
          <t>Income</t>
        </is>
      </c>
      <c r="H189" s="3" t="n">
        <v>675.75</v>
      </c>
    </row>
    <row r="190">
      <c r="A190" t="inlineStr">
        <is>
          <t>2Xlz4lYnZe</t>
        </is>
      </c>
      <c r="B190" s="2" t="n">
        <v>45919.0</v>
      </c>
      <c r="C190" t="inlineStr">
        <is>
          <t/>
        </is>
      </c>
      <c r="D190"/>
      <c r="E190" t="inlineStr">
        <is>
          <t>Flat 13 - 3 West Gate</t>
        </is>
      </c>
      <c r="F190" t="inlineStr">
        <is>
          <t>Owner</t>
        </is>
      </c>
      <c r="G190" t="inlineStr">
        <is>
          <t>Income</t>
        </is>
      </c>
      <c r="H190" s="3" t="n">
        <v>680.0</v>
      </c>
    </row>
    <row r="191">
      <c r="A191" t="inlineStr">
        <is>
          <t>2Xlz4lYnZe</t>
        </is>
      </c>
      <c r="B191" s="2" t="n">
        <v>45919.0</v>
      </c>
      <c r="C191" t="inlineStr">
        <is>
          <t/>
        </is>
      </c>
      <c r="D191"/>
      <c r="E191" t="inlineStr">
        <is>
          <t>Flat 15 - 3 West Gate</t>
        </is>
      </c>
      <c r="F191" t="inlineStr">
        <is>
          <t>Owner</t>
        </is>
      </c>
      <c r="G191" t="inlineStr">
        <is>
          <t>Income</t>
        </is>
      </c>
      <c r="H191" s="3" t="n">
        <v>629.0</v>
      </c>
    </row>
    <row r="192">
      <c r="A192" t="inlineStr">
        <is>
          <t>2Xlz4lYnZe</t>
        </is>
      </c>
      <c r="B192" s="2" t="n">
        <v>45919.0</v>
      </c>
      <c r="C192" t="inlineStr">
        <is>
          <t/>
        </is>
      </c>
      <c r="D192"/>
      <c r="E192" t="inlineStr">
        <is>
          <t>Flat 18 - 3 West Gate</t>
        </is>
      </c>
      <c r="F192" t="inlineStr">
        <is>
          <t>Owner</t>
        </is>
      </c>
      <c r="G192" t="inlineStr">
        <is>
          <t>Income</t>
        </is>
      </c>
      <c r="H192" s="3" t="n">
        <v>726.75</v>
      </c>
    </row>
    <row r="193">
      <c r="A193" t="inlineStr">
        <is>
          <t>2Xlz4lYnZe</t>
        </is>
      </c>
      <c r="B193" s="2" t="n">
        <v>45919.0</v>
      </c>
      <c r="C193" t="inlineStr">
        <is>
          <t/>
        </is>
      </c>
      <c r="D193"/>
      <c r="E193" t="inlineStr">
        <is>
          <t>Flat 20 - 3 West Gate</t>
        </is>
      </c>
      <c r="F193" t="inlineStr">
        <is>
          <t>Owner</t>
        </is>
      </c>
      <c r="G193" t="inlineStr">
        <is>
          <t>Income</t>
        </is>
      </c>
      <c r="H193" s="3" t="n">
        <v>595.0</v>
      </c>
    </row>
    <row r="194">
      <c r="A194" t="inlineStr">
        <is>
          <t>2Xlz4lYnZe</t>
        </is>
      </c>
      <c r="B194" s="2" t="n">
        <v>45919.0</v>
      </c>
      <c r="C194" t="inlineStr">
        <is>
          <t/>
        </is>
      </c>
      <c r="D194"/>
      <c r="E194" t="inlineStr">
        <is>
          <t>Flat 21 - 3 West Gate</t>
        </is>
      </c>
      <c r="F194" t="inlineStr">
        <is>
          <t>Owner</t>
        </is>
      </c>
      <c r="G194" t="inlineStr">
        <is>
          <t>Income</t>
        </is>
      </c>
      <c r="H194" s="3" t="n">
        <v>675.75</v>
      </c>
    </row>
    <row r="195">
      <c r="A195" t="inlineStr">
        <is>
          <t>2Xlz4lYnZe</t>
        </is>
      </c>
      <c r="B195" s="2" t="n">
        <v>45919.0</v>
      </c>
      <c r="C195" t="inlineStr">
        <is>
          <t/>
        </is>
      </c>
      <c r="D195"/>
      <c r="E195" t="inlineStr">
        <is>
          <t>Flat 22 - 3 West Gate</t>
        </is>
      </c>
      <c r="F195" t="inlineStr">
        <is>
          <t>Owner</t>
        </is>
      </c>
      <c r="G195" t="inlineStr">
        <is>
          <t>Income</t>
        </is>
      </c>
      <c r="H195" s="3" t="n">
        <v>629.0</v>
      </c>
    </row>
    <row r="196">
      <c r="A196" t="inlineStr">
        <is>
          <t>2Xlz4lYnZe</t>
        </is>
      </c>
      <c r="B196" s="2" t="n">
        <v>45919.0</v>
      </c>
      <c r="C196" t="inlineStr">
        <is>
          <t/>
        </is>
      </c>
      <c r="D196"/>
      <c r="E196" t="inlineStr">
        <is>
          <t>Flat 23 - 3 West Gate</t>
        </is>
      </c>
      <c r="F196" t="inlineStr">
        <is>
          <t>Owner</t>
        </is>
      </c>
      <c r="G196" t="inlineStr">
        <is>
          <t>Income</t>
        </is>
      </c>
      <c r="H196" s="3" t="n">
        <v>675.75</v>
      </c>
    </row>
    <row r="197">
      <c r="A197" t="inlineStr">
        <is>
          <t>2Xlz4lYnZe</t>
        </is>
      </c>
      <c r="B197" s="2" t="n">
        <v>45919.0</v>
      </c>
      <c r="C197" t="inlineStr">
        <is>
          <t/>
        </is>
      </c>
      <c r="D197"/>
      <c r="E197" t="inlineStr">
        <is>
          <t>Flat 24 - 3 West Gate</t>
        </is>
      </c>
      <c r="F197" t="inlineStr">
        <is>
          <t>Owner</t>
        </is>
      </c>
      <c r="G197" t="inlineStr">
        <is>
          <t>Income</t>
        </is>
      </c>
      <c r="H197" s="3" t="n">
        <v>688.5</v>
      </c>
    </row>
    <row r="198">
      <c r="A198" t="inlineStr">
        <is>
          <t>2Xlz4lYnZe</t>
        </is>
      </c>
      <c r="B198" s="2" t="n">
        <v>45919.0</v>
      </c>
      <c r="C198" t="inlineStr">
        <is>
          <t/>
        </is>
      </c>
      <c r="D198"/>
      <c r="E198" t="inlineStr">
        <is>
          <t>Flat 27 - 3 West Gate</t>
        </is>
      </c>
      <c r="F198" t="inlineStr">
        <is>
          <t>Owner</t>
        </is>
      </c>
      <c r="G198" t="inlineStr">
        <is>
          <t>Income</t>
        </is>
      </c>
      <c r="H198" s="3" t="n">
        <v>595.0</v>
      </c>
    </row>
    <row r="199">
      <c r="A199" t="inlineStr">
        <is>
          <t>2Xlz4lYnZe</t>
        </is>
      </c>
      <c r="B199" s="2" t="n">
        <v>45919.0</v>
      </c>
      <c r="C199" t="inlineStr">
        <is>
          <t/>
        </is>
      </c>
      <c r="D199"/>
      <c r="E199" t="inlineStr">
        <is>
          <t>Flat 29 - 3 West Gate</t>
        </is>
      </c>
      <c r="F199" t="inlineStr">
        <is>
          <t>Owner</t>
        </is>
      </c>
      <c r="G199" t="inlineStr">
        <is>
          <t>Income</t>
        </is>
      </c>
      <c r="H199" s="3" t="n">
        <v>629.0</v>
      </c>
    </row>
    <row r="200">
      <c r="A200" t="inlineStr">
        <is>
          <t>2Xlz4lYnZe</t>
        </is>
      </c>
      <c r="B200" s="2" t="n">
        <v>45919.0</v>
      </c>
      <c r="C200" t="inlineStr">
        <is>
          <t/>
        </is>
      </c>
      <c r="D200"/>
      <c r="E200" t="inlineStr">
        <is>
          <t>Flat 4 - 3 West Gate</t>
        </is>
      </c>
      <c r="F200" t="inlineStr">
        <is>
          <t>Owner</t>
        </is>
      </c>
      <c r="G200" t="inlineStr">
        <is>
          <t>Income</t>
        </is>
      </c>
      <c r="H200" s="3" t="n">
        <v>726.75</v>
      </c>
    </row>
    <row r="201">
      <c r="A201" t="inlineStr">
        <is>
          <t>2Xlz4lYnZe</t>
        </is>
      </c>
      <c r="B201" s="2" t="n">
        <v>45919.0</v>
      </c>
      <c r="C201" t="inlineStr">
        <is>
          <t/>
        </is>
      </c>
      <c r="D201"/>
      <c r="E201" t="inlineStr">
        <is>
          <t>Flat 5 - 3 West Gate</t>
        </is>
      </c>
      <c r="F201" t="inlineStr">
        <is>
          <t>Owner</t>
        </is>
      </c>
      <c r="G201" t="inlineStr">
        <is>
          <t>Income</t>
        </is>
      </c>
      <c r="H201" s="3" t="n">
        <v>629.0</v>
      </c>
    </row>
    <row r="202">
      <c r="A202" t="inlineStr">
        <is>
          <t>2Xlz4lYnZe</t>
        </is>
      </c>
      <c r="B202" s="2" t="n">
        <v>45919.0</v>
      </c>
      <c r="C202" t="inlineStr">
        <is>
          <t/>
        </is>
      </c>
      <c r="D202"/>
      <c r="E202" t="inlineStr">
        <is>
          <t>Flat 6 - 3 West Gate</t>
        </is>
      </c>
      <c r="F202" t="inlineStr">
        <is>
          <t>Owner</t>
        </is>
      </c>
      <c r="G202" t="inlineStr">
        <is>
          <t>Income</t>
        </is>
      </c>
      <c r="H202" s="3" t="n">
        <v>629.0</v>
      </c>
    </row>
    <row r="203">
      <c r="A203" t="inlineStr">
        <is>
          <t>2Xlz4lYnZe</t>
        </is>
      </c>
      <c r="B203" s="2" t="n">
        <v>45919.0</v>
      </c>
      <c r="C203" t="inlineStr">
        <is>
          <t/>
        </is>
      </c>
      <c r="D203"/>
      <c r="E203" t="inlineStr">
        <is>
          <t>Flat 8 - 3 West Gate</t>
        </is>
      </c>
      <c r="F203" t="inlineStr">
        <is>
          <t>Owner</t>
        </is>
      </c>
      <c r="G203" t="inlineStr">
        <is>
          <t>Income</t>
        </is>
      </c>
      <c r="H203" s="3" t="n">
        <v>624.75</v>
      </c>
    </row>
    <row r="204">
      <c r="A204" t="inlineStr">
        <is>
          <t>2Xlz4lYnZe</t>
        </is>
      </c>
      <c r="B204" s="2" t="n">
        <v>45919.0</v>
      </c>
      <c r="C204" t="inlineStr">
        <is>
          <t/>
        </is>
      </c>
      <c r="D204"/>
      <c r="E204" t="inlineStr">
        <is>
          <t>Flat 9 - 3 West Gate</t>
        </is>
      </c>
      <c r="F204" t="inlineStr">
        <is>
          <t>Owner</t>
        </is>
      </c>
      <c r="G204" t="inlineStr">
        <is>
          <t>Income</t>
        </is>
      </c>
      <c r="H204" s="3" t="n">
        <v>595.0</v>
      </c>
    </row>
    <row r="205">
      <c r="A205" t="inlineStr">
        <is>
          <t>QZGNwwqb19</t>
        </is>
      </c>
      <c r="B205" s="2" t="n">
        <v>45936.0</v>
      </c>
      <c r="C205" t="inlineStr">
        <is>
          <t/>
        </is>
      </c>
      <c r="D205"/>
      <c r="E205" t="inlineStr">
        <is>
          <t>Apartment F - Knighton Hayes Manor</t>
        </is>
      </c>
      <c r="F205" t="inlineStr">
        <is>
          <t>Owner</t>
        </is>
      </c>
      <c r="G205" t="inlineStr">
        <is>
          <t>Income</t>
        </is>
      </c>
      <c r="H205" s="3" t="n">
        <v>1012.5</v>
      </c>
    </row>
    <row r="206">
      <c r="A206" t="inlineStr">
        <is>
          <t>QZGNwwqb19</t>
        </is>
      </c>
      <c r="B206" s="2" t="n">
        <v>45936.0</v>
      </c>
      <c r="C206" t="inlineStr">
        <is>
          <t/>
        </is>
      </c>
      <c r="D206"/>
      <c r="E206" t="inlineStr">
        <is>
          <t>Flat 11 - 3 West Gate</t>
        </is>
      </c>
      <c r="F206" t="inlineStr">
        <is>
          <t>Owner</t>
        </is>
      </c>
      <c r="G206" t="inlineStr">
        <is>
          <t>Income</t>
        </is>
      </c>
      <c r="H206" s="3" t="n">
        <v>675.75</v>
      </c>
    </row>
    <row r="207">
      <c r="A207" t="inlineStr">
        <is>
          <t>QZGNwwqb19</t>
        </is>
      </c>
      <c r="B207" s="2" t="n">
        <v>45936.0</v>
      </c>
      <c r="C207" t="inlineStr">
        <is>
          <t/>
        </is>
      </c>
      <c r="D207"/>
      <c r="E207" t="inlineStr">
        <is>
          <t>Flat 13 - 3 West Gate</t>
        </is>
      </c>
      <c r="F207" t="inlineStr">
        <is>
          <t>Owner</t>
        </is>
      </c>
      <c r="G207" t="inlineStr">
        <is>
          <t>Income</t>
        </is>
      </c>
      <c r="H207" s="3" t="n">
        <v>680.0</v>
      </c>
    </row>
    <row r="208">
      <c r="A208" t="inlineStr">
        <is>
          <t>QZGNwwqb19</t>
        </is>
      </c>
      <c r="B208" s="2" t="n">
        <v>45936.0</v>
      </c>
      <c r="C208" t="inlineStr">
        <is>
          <t/>
        </is>
      </c>
      <c r="D208"/>
      <c r="E208" t="inlineStr">
        <is>
          <t>Flat 17 - 3 West Gate</t>
        </is>
      </c>
      <c r="F208" t="inlineStr">
        <is>
          <t>Owner</t>
        </is>
      </c>
      <c r="G208" t="inlineStr">
        <is>
          <t>Income</t>
        </is>
      </c>
      <c r="H208" s="3" t="n">
        <v>595.0</v>
      </c>
    </row>
    <row r="209">
      <c r="A209" t="inlineStr">
        <is>
          <t>QZGNwwqb19</t>
        </is>
      </c>
      <c r="B209" s="2" t="n">
        <v>45936.0</v>
      </c>
      <c r="C209" t="inlineStr">
        <is>
          <t/>
        </is>
      </c>
      <c r="D209"/>
      <c r="E209" t="inlineStr">
        <is>
          <t>Flat 19 - 3 West Gate</t>
        </is>
      </c>
      <c r="F209" t="inlineStr">
        <is>
          <t>Owner</t>
        </is>
      </c>
      <c r="G209" t="inlineStr">
        <is>
          <t>Income</t>
        </is>
      </c>
      <c r="H209" s="3" t="n">
        <v>675.75</v>
      </c>
    </row>
    <row r="210">
      <c r="A210" t="inlineStr">
        <is>
          <t>QZGNwwqb19</t>
        </is>
      </c>
      <c r="B210" s="2" t="n">
        <v>45936.0</v>
      </c>
      <c r="C210" t="inlineStr">
        <is>
          <t/>
        </is>
      </c>
      <c r="D210"/>
      <c r="E210" t="inlineStr">
        <is>
          <t>Flat 19 - 3 West Gate</t>
        </is>
      </c>
      <c r="F210" t="inlineStr">
        <is>
          <t>Owner</t>
        </is>
      </c>
      <c r="G210" t="inlineStr">
        <is>
          <t>Income</t>
        </is>
      </c>
      <c r="H210" s="3" t="n">
        <v>675.75</v>
      </c>
    </row>
    <row r="211">
      <c r="A211" t="inlineStr">
        <is>
          <t>QZGNwwqb19</t>
        </is>
      </c>
      <c r="B211" s="2" t="n">
        <v>45936.0</v>
      </c>
      <c r="C211" t="inlineStr">
        <is>
          <t/>
        </is>
      </c>
      <c r="D211"/>
      <c r="E211" t="inlineStr">
        <is>
          <t>Flat 19 - 3 West Gate</t>
        </is>
      </c>
      <c r="F211" t="inlineStr">
        <is>
          <t>Owner</t>
        </is>
      </c>
      <c r="G211" t="inlineStr">
        <is>
          <t>Income</t>
        </is>
      </c>
      <c r="H211" s="3" t="n">
        <v>675.75</v>
      </c>
    </row>
    <row r="212">
      <c r="A212" t="inlineStr">
        <is>
          <t>QZGNwwqb19</t>
        </is>
      </c>
      <c r="B212" s="2" t="n">
        <v>45936.0</v>
      </c>
      <c r="C212" t="inlineStr">
        <is>
          <t/>
        </is>
      </c>
      <c r="D212"/>
      <c r="E212" t="inlineStr">
        <is>
          <t>Flat 19 - 3 West Gate</t>
        </is>
      </c>
      <c r="F212" t="inlineStr">
        <is>
          <t>Owner</t>
        </is>
      </c>
      <c r="G212" t="inlineStr">
        <is>
          <t>Income</t>
        </is>
      </c>
      <c r="H212" s="3" t="n">
        <v>675.75</v>
      </c>
    </row>
    <row r="213">
      <c r="A213" t="inlineStr">
        <is>
          <t>QZGNwwqb19</t>
        </is>
      </c>
      <c r="B213" s="2" t="n">
        <v>45936.0</v>
      </c>
      <c r="C213" t="inlineStr">
        <is>
          <t/>
        </is>
      </c>
      <c r="D213"/>
      <c r="E213" t="inlineStr">
        <is>
          <t>Flat 19 - 3 West Gate</t>
        </is>
      </c>
      <c r="F213" t="inlineStr">
        <is>
          <t>Owner</t>
        </is>
      </c>
      <c r="G213" t="inlineStr">
        <is>
          <t>Income</t>
        </is>
      </c>
      <c r="H213" s="3" t="n">
        <v>675.75</v>
      </c>
    </row>
    <row r="214">
      <c r="A214" t="inlineStr">
        <is>
          <t>QZGNwwqb19</t>
        </is>
      </c>
      <c r="B214" s="2" t="n">
        <v>45936.0</v>
      </c>
      <c r="C214" t="inlineStr">
        <is>
          <t/>
        </is>
      </c>
      <c r="D214"/>
      <c r="E214" t="inlineStr">
        <is>
          <t>Flat 19 - 3 West Gate</t>
        </is>
      </c>
      <c r="F214" t="inlineStr">
        <is>
          <t>Owner</t>
        </is>
      </c>
      <c r="G214" t="inlineStr">
        <is>
          <t>Income</t>
        </is>
      </c>
      <c r="H214" s="3" t="n">
        <v>675.75</v>
      </c>
    </row>
    <row r="215">
      <c r="A215" t="inlineStr">
        <is>
          <t>QZGNwwqb19</t>
        </is>
      </c>
      <c r="B215" s="2" t="n">
        <v>45936.0</v>
      </c>
      <c r="C215" t="inlineStr">
        <is>
          <t/>
        </is>
      </c>
      <c r="D215"/>
      <c r="E215" t="inlineStr">
        <is>
          <t>Flat 19 - 3 West Gate</t>
        </is>
      </c>
      <c r="F215" t="inlineStr">
        <is>
          <t>Owner</t>
        </is>
      </c>
      <c r="G215" t="inlineStr">
        <is>
          <t>Income</t>
        </is>
      </c>
      <c r="H215" s="3" t="n">
        <v>675.75</v>
      </c>
    </row>
    <row r="216">
      <c r="A216" t="inlineStr">
        <is>
          <t>QZGNwwqb19</t>
        </is>
      </c>
      <c r="B216" s="2" t="n">
        <v>45936.0</v>
      </c>
      <c r="C216" t="inlineStr">
        <is>
          <t/>
        </is>
      </c>
      <c r="D216"/>
      <c r="E216" t="inlineStr">
        <is>
          <t>Flat 19 - 3 West Gate</t>
        </is>
      </c>
      <c r="F216" t="inlineStr">
        <is>
          <t>Owner</t>
        </is>
      </c>
      <c r="G216" t="inlineStr">
        <is>
          <t>Income</t>
        </is>
      </c>
      <c r="H216" s="3" t="n">
        <v>675.75</v>
      </c>
    </row>
    <row r="217">
      <c r="A217" t="inlineStr">
        <is>
          <t>QZGNwwqb19</t>
        </is>
      </c>
      <c r="B217" s="2" t="n">
        <v>45936.0</v>
      </c>
      <c r="C217" t="inlineStr">
        <is>
          <t/>
        </is>
      </c>
      <c r="D217"/>
      <c r="E217" t="inlineStr">
        <is>
          <t>Flat 19 - 3 West Gate</t>
        </is>
      </c>
      <c r="F217" t="inlineStr">
        <is>
          <t>Owner</t>
        </is>
      </c>
      <c r="G217" t="inlineStr">
        <is>
          <t>Income</t>
        </is>
      </c>
      <c r="H217" s="3" t="n">
        <v>675.75</v>
      </c>
    </row>
    <row r="218">
      <c r="A218" t="inlineStr">
        <is>
          <t>QZGNwwqb19</t>
        </is>
      </c>
      <c r="B218" s="2" t="n">
        <v>45936.0</v>
      </c>
      <c r="C218" t="inlineStr">
        <is>
          <t/>
        </is>
      </c>
      <c r="D218"/>
      <c r="E218" t="inlineStr">
        <is>
          <t>Flat 19 - 3 West Gate</t>
        </is>
      </c>
      <c r="F218" t="inlineStr">
        <is>
          <t>Owner</t>
        </is>
      </c>
      <c r="G218" t="inlineStr">
        <is>
          <t>Income</t>
        </is>
      </c>
      <c r="H218" s="3" t="n">
        <v>675.75</v>
      </c>
    </row>
    <row r="219">
      <c r="A219" t="inlineStr">
        <is>
          <t>QZGNwwqb19</t>
        </is>
      </c>
      <c r="B219" s="2" t="n">
        <v>45936.0</v>
      </c>
      <c r="C219" t="inlineStr">
        <is>
          <t/>
        </is>
      </c>
      <c r="D219"/>
      <c r="E219" t="inlineStr">
        <is>
          <t>Flat 19 - 3 West Gate</t>
        </is>
      </c>
      <c r="F219" t="inlineStr">
        <is>
          <t>Owner</t>
        </is>
      </c>
      <c r="G219" t="inlineStr">
        <is>
          <t>Income</t>
        </is>
      </c>
      <c r="H219" s="3" t="n">
        <v>675.75</v>
      </c>
    </row>
    <row r="220">
      <c r="A220" t="inlineStr">
        <is>
          <t>QZGNwwqb19</t>
        </is>
      </c>
      <c r="B220" s="2" t="n">
        <v>45936.0</v>
      </c>
      <c r="C220" t="inlineStr">
        <is>
          <t/>
        </is>
      </c>
      <c r="D220"/>
      <c r="E220" t="inlineStr">
        <is>
          <t>Flat 19 - 3 West Gate</t>
        </is>
      </c>
      <c r="F220" t="inlineStr">
        <is>
          <t>Owner</t>
        </is>
      </c>
      <c r="G220" t="inlineStr">
        <is>
          <t>Income</t>
        </is>
      </c>
      <c r="H220" s="3" t="n">
        <v>675.75</v>
      </c>
    </row>
    <row r="221">
      <c r="A221" t="inlineStr">
        <is>
          <t>QZGNwwqb19</t>
        </is>
      </c>
      <c r="B221" s="2" t="n">
        <v>45936.0</v>
      </c>
      <c r="C221" t="inlineStr">
        <is>
          <t/>
        </is>
      </c>
      <c r="D221"/>
      <c r="E221" t="inlineStr">
        <is>
          <t>Flat 20 - 3 West Gate</t>
        </is>
      </c>
      <c r="F221" t="inlineStr">
        <is>
          <t>Owner</t>
        </is>
      </c>
      <c r="G221" t="inlineStr">
        <is>
          <t>Income</t>
        </is>
      </c>
      <c r="H221" s="3" t="n">
        <v>595.0</v>
      </c>
    </row>
    <row r="222">
      <c r="A222" t="inlineStr">
        <is>
          <t>QZGNwwqb19</t>
        </is>
      </c>
      <c r="B222" s="2" t="n">
        <v>45936.0</v>
      </c>
      <c r="C222" t="inlineStr">
        <is>
          <t/>
        </is>
      </c>
      <c r="D222"/>
      <c r="E222" t="inlineStr">
        <is>
          <t>Flat 22 - 3 West Gate</t>
        </is>
      </c>
      <c r="F222" t="inlineStr">
        <is>
          <t>Owner</t>
        </is>
      </c>
      <c r="G222" t="inlineStr">
        <is>
          <t>Income</t>
        </is>
      </c>
      <c r="H222" s="3" t="n">
        <v>629.0</v>
      </c>
    </row>
    <row r="223">
      <c r="A223" t="inlineStr">
        <is>
          <t>QZGNwwqb19</t>
        </is>
      </c>
      <c r="B223" s="2" t="n">
        <v>45936.0</v>
      </c>
      <c r="C223" t="inlineStr">
        <is>
          <t/>
        </is>
      </c>
      <c r="D223"/>
      <c r="E223" t="inlineStr">
        <is>
          <t>Flat 23 - 3 West Gate</t>
        </is>
      </c>
      <c r="F223" t="inlineStr">
        <is>
          <t>Owner</t>
        </is>
      </c>
      <c r="G223" t="inlineStr">
        <is>
          <t>Income</t>
        </is>
      </c>
      <c r="H223" s="3" t="n">
        <v>675.75</v>
      </c>
    </row>
    <row r="224">
      <c r="A224" t="inlineStr">
        <is>
          <t>QZGNwwqb19</t>
        </is>
      </c>
      <c r="B224" s="2" t="n">
        <v>45936.0</v>
      </c>
      <c r="C224" t="inlineStr">
        <is>
          <t/>
        </is>
      </c>
      <c r="D224"/>
      <c r="E224" t="inlineStr">
        <is>
          <t>Flat 25 - 3 West Gate</t>
        </is>
      </c>
      <c r="F224" t="inlineStr">
        <is>
          <t>Owner</t>
        </is>
      </c>
      <c r="G224" t="inlineStr">
        <is>
          <t>Income</t>
        </is>
      </c>
      <c r="H224" s="3" t="n">
        <v>658.75</v>
      </c>
    </row>
    <row r="225">
      <c r="A225" t="inlineStr">
        <is>
          <t>QZGNwwqb19</t>
        </is>
      </c>
      <c r="B225" s="2" t="n">
        <v>45936.0</v>
      </c>
      <c r="C225" t="inlineStr">
        <is>
          <t/>
        </is>
      </c>
      <c r="D225"/>
      <c r="E225" t="inlineStr">
        <is>
          <t>Flat 27 - 3 West Gate</t>
        </is>
      </c>
      <c r="F225" t="inlineStr">
        <is>
          <t>Owner</t>
        </is>
      </c>
      <c r="G225" t="inlineStr">
        <is>
          <t>Income</t>
        </is>
      </c>
      <c r="H225" s="3" t="n">
        <v>595.0</v>
      </c>
    </row>
    <row r="226">
      <c r="A226" t="inlineStr">
        <is>
          <t>QZGNwwqb19</t>
        </is>
      </c>
      <c r="B226" s="2" t="n">
        <v>45936.0</v>
      </c>
      <c r="C226" t="inlineStr">
        <is>
          <t/>
        </is>
      </c>
      <c r="D226"/>
      <c r="E226" t="inlineStr">
        <is>
          <t>Flat 29 - 3 West Gate</t>
        </is>
      </c>
      <c r="F226" t="inlineStr">
        <is>
          <t>Owner</t>
        </is>
      </c>
      <c r="G226" t="inlineStr">
        <is>
          <t>Income</t>
        </is>
      </c>
      <c r="H226" s="3" t="n">
        <v>629.0</v>
      </c>
    </row>
    <row r="227">
      <c r="A227" t="inlineStr">
        <is>
          <t>QZGNwwqb19</t>
        </is>
      </c>
      <c r="B227" s="2" t="n">
        <v>45936.0</v>
      </c>
      <c r="C227" t="inlineStr">
        <is>
          <t/>
        </is>
      </c>
      <c r="D227"/>
      <c r="E227" t="inlineStr">
        <is>
          <t>Flat 4 - 3 West Gate</t>
        </is>
      </c>
      <c r="F227" t="inlineStr">
        <is>
          <t>Owner</t>
        </is>
      </c>
      <c r="G227" t="inlineStr">
        <is>
          <t>Income</t>
        </is>
      </c>
      <c r="H227" s="3" t="n">
        <v>726.75</v>
      </c>
    </row>
    <row r="228">
      <c r="A228" t="inlineStr">
        <is>
          <t>QZGNwwqb19</t>
        </is>
      </c>
      <c r="B228" s="2" t="n">
        <v>45936.0</v>
      </c>
      <c r="C228" t="inlineStr">
        <is>
          <t/>
        </is>
      </c>
      <c r="D228"/>
      <c r="E228" t="inlineStr">
        <is>
          <t>Flat 6 - 3 West Gate</t>
        </is>
      </c>
      <c r="F228" t="inlineStr">
        <is>
          <t>Owner</t>
        </is>
      </c>
      <c r="G228" t="inlineStr">
        <is>
          <t>Income</t>
        </is>
      </c>
      <c r="H228" s="3" t="n">
        <v>629.0</v>
      </c>
    </row>
    <row r="229">
      <c r="A229" t="inlineStr">
        <is>
          <t>QZGNwwqb19</t>
        </is>
      </c>
      <c r="B229" s="2" t="n">
        <v>45936.0</v>
      </c>
      <c r="C229" t="inlineStr">
        <is>
          <t/>
        </is>
      </c>
      <c r="D229"/>
      <c r="E229" t="inlineStr">
        <is>
          <t>Flat 8 - 3 West Gate</t>
        </is>
      </c>
      <c r="F229" t="inlineStr">
        <is>
          <t>Owner</t>
        </is>
      </c>
      <c r="G229" t="inlineStr">
        <is>
          <t>Income</t>
        </is>
      </c>
      <c r="H229" s="3" t="n">
        <v>624.75</v>
      </c>
    </row>
    <row r="230">
      <c r="A230" t="inlineStr">
        <is>
          <t>QZGNwwqb19</t>
        </is>
      </c>
      <c r="B230" s="2" t="n">
        <v>45936.0</v>
      </c>
      <c r="C230" t="inlineStr">
        <is>
          <t/>
        </is>
      </c>
      <c r="D230"/>
      <c r="E230" t="inlineStr">
        <is>
          <t>Flat 9 - 3 West Gate</t>
        </is>
      </c>
      <c r="F230" t="inlineStr">
        <is>
          <t>Owner</t>
        </is>
      </c>
      <c r="G230" t="inlineStr">
        <is>
          <t>Income</t>
        </is>
      </c>
      <c r="H230" s="3" t="n">
        <v>595.0</v>
      </c>
    </row>
    <row r="231">
      <c r="A231" t="inlineStr">
        <is>
          <t>HIST-2025-10-1650</t>
        </is>
      </c>
      <c r="B231" s="2" t="n">
        <v>45951.0</v>
      </c>
      <c r="C231" t="inlineStr">
        <is>
          <t>1612</t>
        </is>
      </c>
      <c r="D231" s="2" t="n">
        <v>45868.0</v>
      </c>
      <c r="E231" t="inlineStr">
        <is>
          <t>Flat 28 - 3 West Gate</t>
        </is>
      </c>
      <c r="F231" t="inlineStr">
        <is>
          <t>rent</t>
        </is>
      </c>
      <c r="G231" t="inlineStr">
        <is>
          <t>Income</t>
        </is>
      </c>
      <c r="H231" s="3" t="n">
        <v>156.89</v>
      </c>
    </row>
    <row r="232">
      <c r="A232" t="inlineStr">
        <is>
          <t>HIST-2025-10-1650</t>
        </is>
      </c>
      <c r="B232" s="2" t="n">
        <v>45951.0</v>
      </c>
      <c r="C232" t="inlineStr">
        <is>
          <t>1605</t>
        </is>
      </c>
      <c r="D232" s="2" t="n">
        <v>45873.0</v>
      </c>
      <c r="E232" t="inlineStr">
        <is>
          <t>Flat 1 - 3 West Gate</t>
        </is>
      </c>
      <c r="F232" t="inlineStr">
        <is>
          <t>rent</t>
        </is>
      </c>
      <c r="G232" t="inlineStr">
        <is>
          <t>Income</t>
        </is>
      </c>
      <c r="H232" s="3" t="n">
        <v>675.75</v>
      </c>
    </row>
    <row r="233">
      <c r="A233" t="inlineStr">
        <is>
          <t>HIST-2025-10-1650</t>
        </is>
      </c>
      <c r="B233" s="2" t="n">
        <v>45951.0</v>
      </c>
      <c r="C233" t="inlineStr">
        <is>
          <t>1606</t>
        </is>
      </c>
      <c r="D233" s="2" t="n">
        <v>45873.0</v>
      </c>
      <c r="E233" t="inlineStr">
        <is>
          <t>Flat 2 - 3 West Gate</t>
        </is>
      </c>
      <c r="F233" t="inlineStr">
        <is>
          <t>rent</t>
        </is>
      </c>
      <c r="G233" t="inlineStr">
        <is>
          <t>Income</t>
        </is>
      </c>
      <c r="H233" s="3" t="n">
        <v>629.0</v>
      </c>
    </row>
    <row r="234">
      <c r="A234" t="inlineStr">
        <is>
          <t>HIST-2025-10-1650</t>
        </is>
      </c>
      <c r="B234" s="2" t="n">
        <v>45951.0</v>
      </c>
      <c r="C234" t="inlineStr">
        <is>
          <t>1613</t>
        </is>
      </c>
      <c r="D234" s="2" t="n">
        <v>45880.0</v>
      </c>
      <c r="E234" t="inlineStr">
        <is>
          <t>Flat 30 - 3 West Gate</t>
        </is>
      </c>
      <c r="F234" t="inlineStr">
        <is>
          <t>rent</t>
        </is>
      </c>
      <c r="G234" t="inlineStr">
        <is>
          <t>Income</t>
        </is>
      </c>
      <c r="H234" s="3" t="n">
        <v>629.0</v>
      </c>
    </row>
    <row r="235">
      <c r="A235" t="inlineStr">
        <is>
          <t>HIST-2025-10-1650</t>
        </is>
      </c>
      <c r="B235" s="2" t="n">
        <v>45951.0</v>
      </c>
      <c r="C235" t="inlineStr">
        <is>
          <t>1607</t>
        </is>
      </c>
      <c r="D235" s="2" t="n">
        <v>45883.0</v>
      </c>
      <c r="E235" t="inlineStr">
        <is>
          <t>Flat 3 - 3 West Gate</t>
        </is>
      </c>
      <c r="F235" t="inlineStr">
        <is>
          <t>rent</t>
        </is>
      </c>
      <c r="G235" t="inlineStr">
        <is>
          <t>Income</t>
        </is>
      </c>
      <c r="H235" s="3" t="n">
        <v>629.0</v>
      </c>
    </row>
    <row r="236">
      <c r="A236" t="inlineStr">
        <is>
          <t>HIST-2025-10-1650</t>
        </is>
      </c>
      <c r="B236" s="2" t="n">
        <v>45951.0</v>
      </c>
      <c r="C236" t="inlineStr">
        <is>
          <t>1630</t>
        </is>
      </c>
      <c r="D236" s="2" t="n">
        <v>45895.0</v>
      </c>
      <c r="E236" t="inlineStr">
        <is>
          <t>Flat 14 - 3 West Gate</t>
        </is>
      </c>
      <c r="F236" t="inlineStr">
        <is>
          <t>rent</t>
        </is>
      </c>
      <c r="G236" t="inlineStr">
        <is>
          <t>Income</t>
        </is>
      </c>
      <c r="H236" s="3" t="n">
        <v>675.75</v>
      </c>
    </row>
    <row r="237">
      <c r="A237" t="inlineStr">
        <is>
          <t>HIST-2025-10-1650</t>
        </is>
      </c>
      <c r="B237" s="2" t="n">
        <v>45951.0</v>
      </c>
      <c r="C237" t="inlineStr">
        <is>
          <t>1631</t>
        </is>
      </c>
      <c r="D237" s="2" t="n">
        <v>45897.0</v>
      </c>
      <c r="E237" t="inlineStr">
        <is>
          <t>Flat 26 - 3 West Gate</t>
        </is>
      </c>
      <c r="F237" t="inlineStr">
        <is>
          <t>rent</t>
        </is>
      </c>
      <c r="G237" t="inlineStr">
        <is>
          <t>Income</t>
        </is>
      </c>
      <c r="H237" s="3" t="n">
        <v>573.75</v>
      </c>
    </row>
    <row r="238">
      <c r="A238" t="inlineStr">
        <is>
          <t>HIST-2025-10-1650</t>
        </is>
      </c>
      <c r="B238" s="2" t="n">
        <v>45951.0</v>
      </c>
      <c r="C238" t="inlineStr">
        <is>
          <t>1632</t>
        </is>
      </c>
      <c r="D238" s="2" t="n">
        <v>45899.0</v>
      </c>
      <c r="E238" t="inlineStr">
        <is>
          <t>Flat 28 - 3 West Gate</t>
        </is>
      </c>
      <c r="F238" t="inlineStr">
        <is>
          <t>rent</t>
        </is>
      </c>
      <c r="G238" t="inlineStr">
        <is>
          <t>Income</t>
        </is>
      </c>
      <c r="H238" s="3" t="n">
        <v>629.0</v>
      </c>
    </row>
    <row r="239">
      <c r="A239" t="inlineStr">
        <is>
          <t>HIST-2025-10-1650</t>
        </is>
      </c>
      <c r="B239" s="2" t="n">
        <v>45951.0</v>
      </c>
      <c r="C239" t="inlineStr">
        <is>
          <t>1628</t>
        </is>
      </c>
      <c r="D239" s="2" t="n">
        <v>45902.0</v>
      </c>
      <c r="E239" t="inlineStr">
        <is>
          <t>Flat 2 - 3 West Gate</t>
        </is>
      </c>
      <c r="F239" t="inlineStr">
        <is>
          <t>rent</t>
        </is>
      </c>
      <c r="G239" t="inlineStr">
        <is>
          <t>Income</t>
        </is>
      </c>
      <c r="H239" s="3" t="n">
        <v>629.0</v>
      </c>
    </row>
    <row r="240">
      <c r="A240" t="inlineStr">
        <is>
          <t>HIST-2025-10-1650</t>
        </is>
      </c>
      <c r="B240" s="2" t="n">
        <v>45951.0</v>
      </c>
      <c r="C240" t="inlineStr">
        <is>
          <t>1627</t>
        </is>
      </c>
      <c r="D240" s="2" t="n">
        <v>45904.0</v>
      </c>
      <c r="E240" t="inlineStr">
        <is>
          <t>Flat 1 - 3 West Gate</t>
        </is>
      </c>
      <c r="F240" t="inlineStr">
        <is>
          <t>rent</t>
        </is>
      </c>
      <c r="G240" t="inlineStr">
        <is>
          <t>Income</t>
        </is>
      </c>
      <c r="H240" s="3" t="n">
        <v>82.27</v>
      </c>
    </row>
    <row r="241">
      <c r="A241" t="inlineStr">
        <is>
          <t>HIST-2025-10-1650</t>
        </is>
      </c>
      <c r="B241" s="2" t="n">
        <v>45951.0</v>
      </c>
      <c r="C241" t="inlineStr">
        <is>
          <t>1626</t>
        </is>
      </c>
      <c r="D241" s="2" t="n">
        <v>45860.0</v>
      </c>
      <c r="E241" t="inlineStr">
        <is>
          <t>Boden House Block - Block Property</t>
        </is>
      </c>
      <c r="F241" t="inlineStr">
        <is>
          <t>furnishings</t>
        </is>
      </c>
      <c r="G241" t="inlineStr">
        <is>
          <t>Income</t>
        </is>
      </c>
      <c r="H241" s="3" t="n">
        <v>129.99</v>
      </c>
    </row>
    <row r="242">
      <c r="A242" t="inlineStr">
        <is>
          <t>HIST-2025-10-1650</t>
        </is>
      </c>
      <c r="B242" s="2" t="n">
        <v>45951.0</v>
      </c>
      <c r="C242" t="inlineStr">
        <is>
          <t>1625</t>
        </is>
      </c>
      <c r="D242" s="2" t="n">
        <v>45860.0</v>
      </c>
      <c r="E242" t="inlineStr">
        <is>
          <t>Boden House Block - Block Property</t>
        </is>
      </c>
      <c r="F242" t="inlineStr">
        <is>
          <t>cleaning</t>
        </is>
      </c>
      <c r="G242" t="inlineStr">
        <is>
          <t>Income</t>
        </is>
      </c>
      <c r="H242" s="3" t="n">
        <v>200.0</v>
      </c>
    </row>
    <row r="243">
      <c r="A243" t="inlineStr">
        <is>
          <t>HIST-2025-10-1650</t>
        </is>
      </c>
      <c r="B243" s="2" t="n">
        <v>45951.0</v>
      </c>
      <c r="C243" t="inlineStr">
        <is>
          <t>1624</t>
        </is>
      </c>
      <c r="D243" s="2" t="n">
        <v>45860.0</v>
      </c>
      <c r="E243" t="inlineStr">
        <is>
          <t>Boden House Block - Block Property</t>
        </is>
      </c>
      <c r="F243" t="inlineStr">
        <is>
          <t>furnishings</t>
        </is>
      </c>
      <c r="G243" t="inlineStr">
        <is>
          <t>Income</t>
        </is>
      </c>
      <c r="H243" s="3" t="n">
        <v>250.0</v>
      </c>
    </row>
    <row r="244">
      <c r="A244" t="inlineStr">
        <is>
          <t>HIST-2025-10-1650</t>
        </is>
      </c>
      <c r="B244" s="2" t="n">
        <v>45951.0</v>
      </c>
      <c r="C244" t="inlineStr">
        <is>
          <t>1623</t>
        </is>
      </c>
      <c r="D244" s="2" t="n">
        <v>45860.0</v>
      </c>
      <c r="E244" t="inlineStr">
        <is>
          <t>Boden House Block - Block Property</t>
        </is>
      </c>
      <c r="F244" t="inlineStr">
        <is>
          <t>furnishings</t>
        </is>
      </c>
      <c r="G244" t="inlineStr">
        <is>
          <t>Income</t>
        </is>
      </c>
      <c r="H244" s="3" t="n">
        <v>61.49</v>
      </c>
    </row>
    <row r="245">
      <c r="A245" t="inlineStr">
        <is>
          <t>HIST-2025-10-1650</t>
        </is>
      </c>
      <c r="B245" s="2" t="n">
        <v>45951.0</v>
      </c>
      <c r="C245" t="inlineStr">
        <is>
          <t>1622</t>
        </is>
      </c>
      <c r="D245" s="2" t="n">
        <v>45860.0</v>
      </c>
      <c r="E245" t="inlineStr">
        <is>
          <t>Boden House Block - Block Property</t>
        </is>
      </c>
      <c r="F245" t="inlineStr">
        <is>
          <t>cleaning</t>
        </is>
      </c>
      <c r="G245" t="inlineStr">
        <is>
          <t>Income</t>
        </is>
      </c>
      <c r="H245" s="3" t="n">
        <v>200.0</v>
      </c>
    </row>
    <row r="246">
      <c r="A246" t="inlineStr">
        <is>
          <t>HIST-2025-10-1650</t>
        </is>
      </c>
      <c r="B246" s="2" t="n">
        <v>45951.0</v>
      </c>
      <c r="C246" t="inlineStr">
        <is>
          <t>1621</t>
        </is>
      </c>
      <c r="D246" s="2" t="n">
        <v>45860.0</v>
      </c>
      <c r="E246" t="inlineStr">
        <is>
          <t>Boden House Block - Block Property</t>
        </is>
      </c>
      <c r="F246" t="inlineStr">
        <is>
          <t>furnishings</t>
        </is>
      </c>
      <c r="G246" t="inlineStr">
        <is>
          <t>Income</t>
        </is>
      </c>
      <c r="H246" s="3" t="n">
        <v>58.99</v>
      </c>
    </row>
    <row r="247">
      <c r="A247" t="inlineStr">
        <is>
          <t>HIST-2025-10-1650</t>
        </is>
      </c>
      <c r="B247" s="2" t="n">
        <v>45951.0</v>
      </c>
      <c r="C247" t="inlineStr">
        <is>
          <t>1620</t>
        </is>
      </c>
      <c r="D247" s="2" t="n">
        <v>45860.0</v>
      </c>
      <c r="E247" t="inlineStr">
        <is>
          <t>Boden House Block - Block Property</t>
        </is>
      </c>
      <c r="F247" t="inlineStr">
        <is>
          <t>furnishings</t>
        </is>
      </c>
      <c r="G247" t="inlineStr">
        <is>
          <t>Income</t>
        </is>
      </c>
      <c r="H247" s="3" t="n">
        <v>300.0</v>
      </c>
    </row>
    <row r="248">
      <c r="A248" t="inlineStr">
        <is>
          <t>HIST-2025-10-1650</t>
        </is>
      </c>
      <c r="B248" s="2" t="n">
        <v>45951.0</v>
      </c>
      <c r="C248" t="inlineStr">
        <is>
          <t>1618</t>
        </is>
      </c>
      <c r="D248" s="2" t="n">
        <v>45860.0</v>
      </c>
      <c r="E248" t="inlineStr">
        <is>
          <t>Boden House Block - Block Property</t>
        </is>
      </c>
      <c r="F248" t="inlineStr">
        <is>
          <t>cleaning</t>
        </is>
      </c>
      <c r="G248" t="inlineStr">
        <is>
          <t>Income</t>
        </is>
      </c>
      <c r="H248" s="3" t="n">
        <v>200.0</v>
      </c>
    </row>
    <row r="249">
      <c r="A249" t="inlineStr">
        <is>
          <t>HIST-2025-10-1650</t>
        </is>
      </c>
      <c r="B249" s="2" t="n">
        <v>45951.0</v>
      </c>
      <c r="C249" t="inlineStr">
        <is>
          <t>1617</t>
        </is>
      </c>
      <c r="D249" s="2" t="n">
        <v>45860.0</v>
      </c>
      <c r="E249" t="inlineStr">
        <is>
          <t>Boden House Block - Block Property</t>
        </is>
      </c>
      <c r="F249" t="inlineStr">
        <is>
          <t>furnishings</t>
        </is>
      </c>
      <c r="G249" t="inlineStr">
        <is>
          <t>Income</t>
        </is>
      </c>
      <c r="H249" s="3" t="n">
        <v>250.0</v>
      </c>
    </row>
    <row r="250">
      <c r="A250" t="inlineStr">
        <is>
          <t>HIST-2025-10-1650</t>
        </is>
      </c>
      <c r="B250" s="2" t="n">
        <v>45951.0</v>
      </c>
      <c r="C250" t="inlineStr">
        <is>
          <t>1615</t>
        </is>
      </c>
      <c r="D250" s="2" t="n">
        <v>45860.0</v>
      </c>
      <c r="E250" t="inlineStr">
        <is>
          <t>Boden House Block - Block Property</t>
        </is>
      </c>
      <c r="F250" t="inlineStr">
        <is>
          <t>cleaning</t>
        </is>
      </c>
      <c r="G250" t="inlineStr">
        <is>
          <t>Income</t>
        </is>
      </c>
      <c r="H250" s="3" t="n">
        <v>200.0</v>
      </c>
    </row>
    <row r="251">
      <c r="A251" t="inlineStr">
        <is>
          <t>HIST-2025-10-1650</t>
        </is>
      </c>
      <c r="B251" s="2" t="n">
        <v>45951.0</v>
      </c>
      <c r="C251" t="inlineStr">
        <is>
          <t>1614</t>
        </is>
      </c>
      <c r="D251" s="2" t="n">
        <v>45860.0</v>
      </c>
      <c r="E251" t="inlineStr">
        <is>
          <t>Boden House Block - Block Property</t>
        </is>
      </c>
      <c r="F251" t="inlineStr">
        <is>
          <t>furnishings</t>
        </is>
      </c>
      <c r="G251" t="inlineStr">
        <is>
          <t>Income</t>
        </is>
      </c>
      <c r="H251" s="3" t="n">
        <v>229.94</v>
      </c>
    </row>
    <row r="252">
      <c r="A252" t="inlineStr">
        <is>
          <t>HIST-2025-10-1650</t>
        </is>
      </c>
      <c r="B252" s="2" t="n">
        <v>45951.0</v>
      </c>
      <c r="C252" t="inlineStr">
        <is>
          <t>1634</t>
        </is>
      </c>
      <c r="D252" s="2" t="n">
        <v>45891.0</v>
      </c>
      <c r="E252" t="inlineStr">
        <is>
          <t>Boden House Block - Block Property</t>
        </is>
      </c>
      <c r="F252" t="inlineStr">
        <is>
          <t>cleaning</t>
        </is>
      </c>
      <c r="G252" t="inlineStr">
        <is>
          <t>Income</t>
        </is>
      </c>
      <c r="H252" s="3" t="n">
        <v>200.0</v>
      </c>
    </row>
    <row r="253">
      <c r="A253" t="inlineStr">
        <is>
          <t>HIST-2025-10-1650</t>
        </is>
      </c>
      <c r="B253" s="2" t="n">
        <v>45951.0</v>
      </c>
      <c r="C253" t="inlineStr">
        <is>
          <t>1636</t>
        </is>
      </c>
      <c r="D253" s="2" t="n">
        <v>45891.0</v>
      </c>
      <c r="E253" t="inlineStr">
        <is>
          <t>Boden House Block - Block Property</t>
        </is>
      </c>
      <c r="F253" t="inlineStr">
        <is>
          <t>cleaning</t>
        </is>
      </c>
      <c r="G253" t="inlineStr">
        <is>
          <t>Income</t>
        </is>
      </c>
      <c r="H253" s="3" t="n">
        <v>200.0</v>
      </c>
    </row>
    <row r="254">
      <c r="A254" t="inlineStr">
        <is>
          <t>G1O4GnbjZM</t>
        </is>
      </c>
      <c r="B254" s="2" t="n">
        <v>45953.0</v>
      </c>
      <c r="C254" t="inlineStr">
        <is>
          <t/>
        </is>
      </c>
      <c r="D254"/>
      <c r="E254" t="inlineStr">
        <is>
          <t>Apartment F - Knighton Hayes Manor</t>
        </is>
      </c>
      <c r="F254" t="inlineStr">
        <is>
          <t>Owner</t>
        </is>
      </c>
      <c r="G254" t="inlineStr">
        <is>
          <t>Income</t>
        </is>
      </c>
      <c r="H254" s="3" t="n">
        <v>1012.5</v>
      </c>
    </row>
    <row r="255">
      <c r="A255" t="inlineStr">
        <is>
          <t>G1O4GnbjZM</t>
        </is>
      </c>
      <c r="B255" s="2" t="n">
        <v>45953.0</v>
      </c>
      <c r="C255" t="inlineStr">
        <is>
          <t/>
        </is>
      </c>
      <c r="D255"/>
      <c r="E255" t="inlineStr">
        <is>
          <t>Flat 10 - 3 West Gate</t>
        </is>
      </c>
      <c r="F255" t="inlineStr">
        <is>
          <t>Owner</t>
        </is>
      </c>
      <c r="G255" t="inlineStr">
        <is>
          <t>Income</t>
        </is>
      </c>
      <c r="H255" s="3" t="n">
        <v>667.25</v>
      </c>
    </row>
    <row r="256">
      <c r="A256" t="inlineStr">
        <is>
          <t>G1O4GnbjZM</t>
        </is>
      </c>
      <c r="B256" s="2" t="n">
        <v>45953.0</v>
      </c>
      <c r="C256" t="inlineStr">
        <is>
          <t/>
        </is>
      </c>
      <c r="D256"/>
      <c r="E256" t="inlineStr">
        <is>
          <t>Flat 12 - 3 West Gate</t>
        </is>
      </c>
      <c r="F256" t="inlineStr">
        <is>
          <t>Owner</t>
        </is>
      </c>
      <c r="G256" t="inlineStr">
        <is>
          <t>Income</t>
        </is>
      </c>
      <c r="H256" s="3" t="n">
        <v>675.75</v>
      </c>
    </row>
    <row r="257">
      <c r="A257" t="inlineStr">
        <is>
          <t>G1O4GnbjZM</t>
        </is>
      </c>
      <c r="B257" s="2" t="n">
        <v>45953.0</v>
      </c>
      <c r="C257" t="inlineStr">
        <is>
          <t/>
        </is>
      </c>
      <c r="D257"/>
      <c r="E257" t="inlineStr">
        <is>
          <t>Flat 12 - 3 West Gate</t>
        </is>
      </c>
      <c r="F257" t="inlineStr">
        <is>
          <t>Owner</t>
        </is>
      </c>
      <c r="G257" t="inlineStr">
        <is>
          <t>Income</t>
        </is>
      </c>
      <c r="H257" s="3" t="n">
        <v>675.75</v>
      </c>
    </row>
    <row r="258">
      <c r="A258" t="inlineStr">
        <is>
          <t>G1O4GnbjZM</t>
        </is>
      </c>
      <c r="B258" s="2" t="n">
        <v>45953.0</v>
      </c>
      <c r="C258" t="inlineStr">
        <is>
          <t/>
        </is>
      </c>
      <c r="D258"/>
      <c r="E258" t="inlineStr">
        <is>
          <t>Flat 12 - 3 West Gate</t>
        </is>
      </c>
      <c r="F258" t="inlineStr">
        <is>
          <t>Owner</t>
        </is>
      </c>
      <c r="G258" t="inlineStr">
        <is>
          <t>Income</t>
        </is>
      </c>
      <c r="H258" s="3" t="n">
        <v>675.75</v>
      </c>
    </row>
    <row r="259">
      <c r="A259" t="inlineStr">
        <is>
          <t>G1O4GnbjZM</t>
        </is>
      </c>
      <c r="B259" s="2" t="n">
        <v>45953.0</v>
      </c>
      <c r="C259" t="inlineStr">
        <is>
          <t/>
        </is>
      </c>
      <c r="D259"/>
      <c r="E259" t="inlineStr">
        <is>
          <t>Flat 12 - 3 West Gate</t>
        </is>
      </c>
      <c r="F259" t="inlineStr">
        <is>
          <t>Owner</t>
        </is>
      </c>
      <c r="G259" t="inlineStr">
        <is>
          <t>Income</t>
        </is>
      </c>
      <c r="H259" s="3" t="n">
        <v>675.75</v>
      </c>
    </row>
    <row r="260">
      <c r="A260" t="inlineStr">
        <is>
          <t>G1O4GnbjZM</t>
        </is>
      </c>
      <c r="B260" s="2" t="n">
        <v>45953.0</v>
      </c>
      <c r="C260" t="inlineStr">
        <is>
          <t/>
        </is>
      </c>
      <c r="D260"/>
      <c r="E260" t="inlineStr">
        <is>
          <t>Flat 12 - 3 West Gate</t>
        </is>
      </c>
      <c r="F260" t="inlineStr">
        <is>
          <t>Owner</t>
        </is>
      </c>
      <c r="G260" t="inlineStr">
        <is>
          <t>Income</t>
        </is>
      </c>
      <c r="H260" s="3" t="n">
        <v>675.75</v>
      </c>
    </row>
    <row r="261">
      <c r="A261" t="inlineStr">
        <is>
          <t>G1O4GnbjZM</t>
        </is>
      </c>
      <c r="B261" s="2" t="n">
        <v>45953.0</v>
      </c>
      <c r="C261" t="inlineStr">
        <is>
          <t/>
        </is>
      </c>
      <c r="D261"/>
      <c r="E261" t="inlineStr">
        <is>
          <t>Flat 12 - 3 West Gate</t>
        </is>
      </c>
      <c r="F261" t="inlineStr">
        <is>
          <t>Owner</t>
        </is>
      </c>
      <c r="G261" t="inlineStr">
        <is>
          <t>Income</t>
        </is>
      </c>
      <c r="H261" s="3" t="n">
        <v>675.75</v>
      </c>
    </row>
    <row r="262">
      <c r="A262" t="inlineStr">
        <is>
          <t>G1O4GnbjZM</t>
        </is>
      </c>
      <c r="B262" s="2" t="n">
        <v>45953.0</v>
      </c>
      <c r="C262" t="inlineStr">
        <is>
          <t/>
        </is>
      </c>
      <c r="D262"/>
      <c r="E262" t="inlineStr">
        <is>
          <t>Flat 15 - 3 West Gate</t>
        </is>
      </c>
      <c r="F262" t="inlineStr">
        <is>
          <t>Owner</t>
        </is>
      </c>
      <c r="G262" t="inlineStr">
        <is>
          <t>Income</t>
        </is>
      </c>
      <c r="H262" s="3" t="n">
        <v>629.0</v>
      </c>
    </row>
    <row r="263">
      <c r="A263" t="inlineStr">
        <is>
          <t>G1O4GnbjZM</t>
        </is>
      </c>
      <c r="B263" s="2" t="n">
        <v>45953.0</v>
      </c>
      <c r="C263" t="inlineStr">
        <is>
          <t/>
        </is>
      </c>
      <c r="D263"/>
      <c r="E263" t="inlineStr">
        <is>
          <t>Flat 17 - 3 West Gate</t>
        </is>
      </c>
      <c r="F263" t="inlineStr">
        <is>
          <t>Owner</t>
        </is>
      </c>
      <c r="G263" t="inlineStr">
        <is>
          <t>Income</t>
        </is>
      </c>
      <c r="H263" s="3" t="n">
        <v>595.0</v>
      </c>
    </row>
    <row r="264">
      <c r="A264" t="inlineStr">
        <is>
          <t>G1O4GnbjZM</t>
        </is>
      </c>
      <c r="B264" s="2" t="n">
        <v>45953.0</v>
      </c>
      <c r="C264" t="inlineStr">
        <is>
          <t/>
        </is>
      </c>
      <c r="D264"/>
      <c r="E264" t="inlineStr">
        <is>
          <t>Flat 18 - 3 West Gate</t>
        </is>
      </c>
      <c r="F264" t="inlineStr">
        <is>
          <t>Owner</t>
        </is>
      </c>
      <c r="G264" t="inlineStr">
        <is>
          <t>Income</t>
        </is>
      </c>
      <c r="H264" s="3" t="n">
        <v>51.0</v>
      </c>
    </row>
    <row r="265">
      <c r="A265" t="inlineStr">
        <is>
          <t>G1O4GnbjZM</t>
        </is>
      </c>
      <c r="B265" s="2" t="n">
        <v>45953.0</v>
      </c>
      <c r="C265" t="inlineStr">
        <is>
          <t/>
        </is>
      </c>
      <c r="D265"/>
      <c r="E265" t="inlineStr">
        <is>
          <t>Flat 18 - 3 West Gate</t>
        </is>
      </c>
      <c r="F265" t="inlineStr">
        <is>
          <t>Owner</t>
        </is>
      </c>
      <c r="G265" t="inlineStr">
        <is>
          <t>Income</t>
        </is>
      </c>
      <c r="H265" s="3" t="n">
        <v>675.75</v>
      </c>
    </row>
    <row r="266">
      <c r="A266" t="inlineStr">
        <is>
          <t>G1O4GnbjZM</t>
        </is>
      </c>
      <c r="B266" s="2" t="n">
        <v>45953.0</v>
      </c>
      <c r="C266" t="inlineStr">
        <is>
          <t/>
        </is>
      </c>
      <c r="D266"/>
      <c r="E266" t="inlineStr">
        <is>
          <t>Flat 19 - 3 West Gate</t>
        </is>
      </c>
      <c r="F266" t="inlineStr">
        <is>
          <t>Owner</t>
        </is>
      </c>
      <c r="G266" t="inlineStr">
        <is>
          <t>Income</t>
        </is>
      </c>
      <c r="H266" s="3" t="n">
        <v>675.75</v>
      </c>
    </row>
    <row r="267">
      <c r="A267" t="inlineStr">
        <is>
          <t>G1O4GnbjZM</t>
        </is>
      </c>
      <c r="B267" s="2" t="n">
        <v>45953.0</v>
      </c>
      <c r="C267" t="inlineStr">
        <is>
          <t/>
        </is>
      </c>
      <c r="D267"/>
      <c r="E267" t="inlineStr">
        <is>
          <t>Flat 19 - 3 West Gate</t>
        </is>
      </c>
      <c r="F267" t="inlineStr">
        <is>
          <t>Owner</t>
        </is>
      </c>
      <c r="G267" t="inlineStr">
        <is>
          <t>Income</t>
        </is>
      </c>
      <c r="H267" s="3" t="n">
        <v>675.75</v>
      </c>
    </row>
    <row r="268">
      <c r="A268" t="inlineStr">
        <is>
          <t>G1O4GnbjZM</t>
        </is>
      </c>
      <c r="B268" s="2" t="n">
        <v>45953.0</v>
      </c>
      <c r="C268" t="inlineStr">
        <is>
          <t/>
        </is>
      </c>
      <c r="D268"/>
      <c r="E268" t="inlineStr">
        <is>
          <t>Flat 19 - 3 West Gate</t>
        </is>
      </c>
      <c r="F268" t="inlineStr">
        <is>
          <t>Owner</t>
        </is>
      </c>
      <c r="G268" t="inlineStr">
        <is>
          <t>Income</t>
        </is>
      </c>
      <c r="H268" s="3" t="n">
        <v>675.75</v>
      </c>
    </row>
    <row r="269">
      <c r="A269" t="inlineStr">
        <is>
          <t>G1O4GnbjZM</t>
        </is>
      </c>
      <c r="B269" s="2" t="n">
        <v>45953.0</v>
      </c>
      <c r="C269" t="inlineStr">
        <is>
          <t/>
        </is>
      </c>
      <c r="D269"/>
      <c r="E269" t="inlineStr">
        <is>
          <t>Flat 19 - 3 West Gate</t>
        </is>
      </c>
      <c r="F269" t="inlineStr">
        <is>
          <t>Owner</t>
        </is>
      </c>
      <c r="G269" t="inlineStr">
        <is>
          <t>Income</t>
        </is>
      </c>
      <c r="H269" s="3" t="n">
        <v>675.75</v>
      </c>
    </row>
    <row r="270">
      <c r="A270" t="inlineStr">
        <is>
          <t>G1O4GnbjZM</t>
        </is>
      </c>
      <c r="B270" s="2" t="n">
        <v>45953.0</v>
      </c>
      <c r="C270" t="inlineStr">
        <is>
          <t/>
        </is>
      </c>
      <c r="D270"/>
      <c r="E270" t="inlineStr">
        <is>
          <t>Flat 19 - 3 West Gate</t>
        </is>
      </c>
      <c r="F270" t="inlineStr">
        <is>
          <t>Owner</t>
        </is>
      </c>
      <c r="G270" t="inlineStr">
        <is>
          <t>Income</t>
        </is>
      </c>
      <c r="H270" s="3" t="n">
        <v>675.75</v>
      </c>
    </row>
    <row r="271">
      <c r="A271" t="inlineStr">
        <is>
          <t>G1O4GnbjZM</t>
        </is>
      </c>
      <c r="B271" s="2" t="n">
        <v>45953.0</v>
      </c>
      <c r="C271" t="inlineStr">
        <is>
          <t/>
        </is>
      </c>
      <c r="D271"/>
      <c r="E271" t="inlineStr">
        <is>
          <t>Flat 19 - 3 West Gate</t>
        </is>
      </c>
      <c r="F271" t="inlineStr">
        <is>
          <t>Owner</t>
        </is>
      </c>
      <c r="G271" t="inlineStr">
        <is>
          <t>Income</t>
        </is>
      </c>
      <c r="H271" s="3" t="n">
        <v>675.75</v>
      </c>
    </row>
    <row r="272">
      <c r="A272" t="inlineStr">
        <is>
          <t>G1O4GnbjZM</t>
        </is>
      </c>
      <c r="B272" s="2" t="n">
        <v>45953.0</v>
      </c>
      <c r="C272" t="inlineStr">
        <is>
          <t/>
        </is>
      </c>
      <c r="D272"/>
      <c r="E272" t="inlineStr">
        <is>
          <t>Flat 21 - 3 West Gate</t>
        </is>
      </c>
      <c r="F272" t="inlineStr">
        <is>
          <t>Owner</t>
        </is>
      </c>
      <c r="G272" t="inlineStr">
        <is>
          <t>Income</t>
        </is>
      </c>
      <c r="H272" s="3" t="n">
        <v>675.75</v>
      </c>
    </row>
    <row r="273">
      <c r="A273" t="inlineStr">
        <is>
          <t>G1O4GnbjZM</t>
        </is>
      </c>
      <c r="B273" s="2" t="n">
        <v>45953.0</v>
      </c>
      <c r="C273" t="inlineStr">
        <is>
          <t/>
        </is>
      </c>
      <c r="D273"/>
      <c r="E273" t="inlineStr">
        <is>
          <t>Flat 23 - 3 West Gate</t>
        </is>
      </c>
      <c r="F273" t="inlineStr">
        <is>
          <t>Owner</t>
        </is>
      </c>
      <c r="G273" t="inlineStr">
        <is>
          <t>Income</t>
        </is>
      </c>
      <c r="H273" s="3" t="n">
        <v>675.75</v>
      </c>
    </row>
    <row r="274">
      <c r="A274" t="inlineStr">
        <is>
          <t>G1O4GnbjZM</t>
        </is>
      </c>
      <c r="B274" s="2" t="n">
        <v>45953.0</v>
      </c>
      <c r="C274" t="inlineStr">
        <is>
          <t/>
        </is>
      </c>
      <c r="D274"/>
      <c r="E274" t="inlineStr">
        <is>
          <t>Flat 24 - 3 West Gate</t>
        </is>
      </c>
      <c r="F274" t="inlineStr">
        <is>
          <t>Owner</t>
        </is>
      </c>
      <c r="G274" t="inlineStr">
        <is>
          <t>Income</t>
        </is>
      </c>
      <c r="H274" s="3" t="n">
        <v>688.5</v>
      </c>
    </row>
    <row r="275">
      <c r="A275" t="inlineStr">
        <is>
          <t>G1O4GnbjZM</t>
        </is>
      </c>
      <c r="B275" s="2" t="n">
        <v>45953.0</v>
      </c>
      <c r="C275" t="inlineStr">
        <is>
          <t/>
        </is>
      </c>
      <c r="D275"/>
      <c r="E275" t="inlineStr">
        <is>
          <t>Flat 25 - 3 West Gate</t>
        </is>
      </c>
      <c r="F275" t="inlineStr">
        <is>
          <t>Owner</t>
        </is>
      </c>
      <c r="G275" t="inlineStr">
        <is>
          <t>Income</t>
        </is>
      </c>
      <c r="H275" s="3" t="n">
        <v>650.25</v>
      </c>
    </row>
    <row r="276">
      <c r="A276" t="inlineStr">
        <is>
          <t>G1O4GnbjZM</t>
        </is>
      </c>
      <c r="B276" s="2" t="n">
        <v>45953.0</v>
      </c>
      <c r="C276" t="inlineStr">
        <is>
          <t/>
        </is>
      </c>
      <c r="D276"/>
      <c r="E276" t="inlineStr">
        <is>
          <t>Flat 5 - 3 West Gate</t>
        </is>
      </c>
      <c r="F276" t="inlineStr">
        <is>
          <t>Owner</t>
        </is>
      </c>
      <c r="G276" t="inlineStr">
        <is>
          <t>Income</t>
        </is>
      </c>
      <c r="H276" s="3" t="n">
        <v>629.0</v>
      </c>
    </row>
    <row r="277">
      <c r="A277" t="inlineStr">
        <is>
          <t>yJ6jj5o7Jj</t>
        </is>
      </c>
      <c r="B277" s="2" t="n">
        <v>45981.0</v>
      </c>
      <c r="C277" t="inlineStr">
        <is>
          <t/>
        </is>
      </c>
      <c r="D277"/>
      <c r="E277" t="inlineStr">
        <is>
          <t>Flat 5 - 3 West Gate</t>
        </is>
      </c>
      <c r="F277" t="inlineStr">
        <is>
          <t>Owner</t>
        </is>
      </c>
      <c r="G277" t="inlineStr">
        <is>
          <t>Income</t>
        </is>
      </c>
      <c r="H277" s="3" t="n">
        <v>479.0</v>
      </c>
    </row>
    <row r="278">
      <c r="A278" t="inlineStr">
        <is>
          <t>zZyxxDQ01d</t>
        </is>
      </c>
      <c r="B278" s="2" t="n">
        <v>45981.0</v>
      </c>
      <c r="C278" t="inlineStr">
        <is>
          <t/>
        </is>
      </c>
      <c r="D278"/>
      <c r="E278" t="inlineStr">
        <is>
          <t>Flat 11 - 3 West Gate</t>
        </is>
      </c>
      <c r="F278" t="inlineStr">
        <is>
          <t>Owner</t>
        </is>
      </c>
      <c r="G278" t="inlineStr">
        <is>
          <t>Income</t>
        </is>
      </c>
      <c r="H278" s="3" t="n">
        <v>573.75</v>
      </c>
    </row>
    <row r="279">
      <c r="A279" t="inlineStr">
        <is>
          <t>YZ2WWPAKJQ</t>
        </is>
      </c>
      <c r="B279" s="2" t="n">
        <v>45982.0</v>
      </c>
      <c r="C279" t="inlineStr">
        <is>
          <t/>
        </is>
      </c>
      <c r="D279"/>
      <c r="E279" t="inlineStr">
        <is>
          <t>Apartment F - Knighton Hayes Manor</t>
        </is>
      </c>
      <c r="F279" t="inlineStr">
        <is>
          <t>Owner</t>
        </is>
      </c>
      <c r="G279" t="inlineStr">
        <is>
          <t>Income</t>
        </is>
      </c>
      <c r="H279" s="3" t="n">
        <v>1012.5</v>
      </c>
    </row>
    <row r="280">
      <c r="A280" t="inlineStr">
        <is>
          <t>YZ2WWPAKJQ</t>
        </is>
      </c>
      <c r="B280" s="2" t="n">
        <v>45982.0</v>
      </c>
      <c r="C280" t="inlineStr">
        <is>
          <t/>
        </is>
      </c>
      <c r="D280"/>
      <c r="E280" t="inlineStr">
        <is>
          <t>Flat 10 - 3 West Gate</t>
        </is>
      </c>
      <c r="F280" t="inlineStr">
        <is>
          <t>Owner</t>
        </is>
      </c>
      <c r="G280" t="inlineStr">
        <is>
          <t>Income</t>
        </is>
      </c>
      <c r="H280" s="3" t="n">
        <v>546.83</v>
      </c>
    </row>
    <row r="281">
      <c r="A281" t="inlineStr">
        <is>
          <t>YZ2WWPAKJQ</t>
        </is>
      </c>
      <c r="B281" s="2" t="n">
        <v>45982.0</v>
      </c>
      <c r="C281" t="inlineStr">
        <is>
          <t/>
        </is>
      </c>
      <c r="D281"/>
      <c r="E281" t="inlineStr">
        <is>
          <t>Flat 15 - 3 West Gate</t>
        </is>
      </c>
      <c r="F281" t="inlineStr">
        <is>
          <t>Owner</t>
        </is>
      </c>
      <c r="G281" t="inlineStr">
        <is>
          <t>Income</t>
        </is>
      </c>
      <c r="H281" s="3" t="n">
        <v>509.0</v>
      </c>
    </row>
    <row r="282">
      <c r="A282" t="inlineStr">
        <is>
          <t>YZ2WWPAKJQ</t>
        </is>
      </c>
      <c r="B282" s="2" t="n">
        <v>45982.0</v>
      </c>
      <c r="C282" t="inlineStr">
        <is>
          <t/>
        </is>
      </c>
      <c r="D282"/>
      <c r="E282" t="inlineStr">
        <is>
          <t>Flat 17 - 3 West Gate</t>
        </is>
      </c>
      <c r="F282" t="inlineStr">
        <is>
          <t>Owner</t>
        </is>
      </c>
      <c r="G282" t="inlineStr">
        <is>
          <t>Income</t>
        </is>
      </c>
      <c r="H282" s="3" t="n">
        <v>445.0</v>
      </c>
    </row>
    <row r="283">
      <c r="A283" t="inlineStr">
        <is>
          <t>YZ2WWPAKJQ</t>
        </is>
      </c>
      <c r="B283" s="2" t="n">
        <v>45982.0</v>
      </c>
      <c r="C283" t="inlineStr">
        <is>
          <t/>
        </is>
      </c>
      <c r="D283"/>
      <c r="E283" t="inlineStr">
        <is>
          <t>Flat 18 - 3 West Gate</t>
        </is>
      </c>
      <c r="F283" t="inlineStr">
        <is>
          <t>Owner</t>
        </is>
      </c>
      <c r="G283" t="inlineStr">
        <is>
          <t>Income</t>
        </is>
      </c>
      <c r="H283" s="3" t="n">
        <v>375.86</v>
      </c>
    </row>
    <row r="284">
      <c r="A284" t="inlineStr">
        <is>
          <t>YZ2WWPAKJQ</t>
        </is>
      </c>
      <c r="B284" s="2" t="n">
        <v>45982.0</v>
      </c>
      <c r="C284" t="inlineStr">
        <is>
          <t/>
        </is>
      </c>
      <c r="D284"/>
      <c r="E284" t="inlineStr">
        <is>
          <t>Flat 19 - 3 West Gate</t>
        </is>
      </c>
      <c r="F284" t="inlineStr">
        <is>
          <t>Owner</t>
        </is>
      </c>
      <c r="G284" t="inlineStr">
        <is>
          <t>Income</t>
        </is>
      </c>
      <c r="H284" s="3" t="n">
        <v>522.36</v>
      </c>
    </row>
    <row r="285">
      <c r="A285" t="inlineStr">
        <is>
          <t>YZ2WWPAKJQ</t>
        </is>
      </c>
      <c r="B285" s="2" t="n">
        <v>45982.0</v>
      </c>
      <c r="C285" t="inlineStr">
        <is>
          <t/>
        </is>
      </c>
      <c r="D285"/>
      <c r="E285" t="inlineStr">
        <is>
          <t>Flat 20 - 3 West Gate</t>
        </is>
      </c>
      <c r="F285" t="inlineStr">
        <is>
          <t>Owner</t>
        </is>
      </c>
      <c r="G285" t="inlineStr">
        <is>
          <t>Income</t>
        </is>
      </c>
      <c r="H285" s="3" t="n">
        <v>495.0</v>
      </c>
    </row>
    <row r="286">
      <c r="A286" t="inlineStr">
        <is>
          <t>YZ2WWPAKJQ</t>
        </is>
      </c>
      <c r="B286" s="2" t="n">
        <v>45982.0</v>
      </c>
      <c r="C286" t="inlineStr">
        <is>
          <t/>
        </is>
      </c>
      <c r="D286"/>
      <c r="E286" t="inlineStr">
        <is>
          <t>Flat 21 - 3 West Gate</t>
        </is>
      </c>
      <c r="F286" t="inlineStr">
        <is>
          <t>Owner</t>
        </is>
      </c>
      <c r="G286" t="inlineStr">
        <is>
          <t>Income</t>
        </is>
      </c>
      <c r="H286" s="3" t="n">
        <v>555.75</v>
      </c>
    </row>
    <row r="287">
      <c r="A287" t="inlineStr">
        <is>
          <t>YZ2WWPAKJQ</t>
        </is>
      </c>
      <c r="B287" s="2" t="n">
        <v>45982.0</v>
      </c>
      <c r="C287" t="inlineStr">
        <is>
          <t/>
        </is>
      </c>
      <c r="D287"/>
      <c r="E287" t="inlineStr">
        <is>
          <t>Flat 22 - 3 West Gate</t>
        </is>
      </c>
      <c r="F287" t="inlineStr">
        <is>
          <t>Owner</t>
        </is>
      </c>
      <c r="G287" t="inlineStr">
        <is>
          <t>Income</t>
        </is>
      </c>
      <c r="H287" s="3" t="n">
        <v>629.0</v>
      </c>
    </row>
    <row r="288">
      <c r="A288" t="inlineStr">
        <is>
          <t>YZ2WWPAKJQ</t>
        </is>
      </c>
      <c r="B288" s="2" t="n">
        <v>45982.0</v>
      </c>
      <c r="C288" t="inlineStr">
        <is>
          <t/>
        </is>
      </c>
      <c r="D288"/>
      <c r="E288" t="inlineStr">
        <is>
          <t>Flat 23 - 3 West Gate</t>
        </is>
      </c>
      <c r="F288" t="inlineStr">
        <is>
          <t>Owner</t>
        </is>
      </c>
      <c r="G288" t="inlineStr">
        <is>
          <t>Income</t>
        </is>
      </c>
      <c r="H288" s="3" t="n">
        <v>419.55</v>
      </c>
    </row>
    <row r="289">
      <c r="A289" t="inlineStr">
        <is>
          <t>YZ2WWPAKJQ</t>
        </is>
      </c>
      <c r="B289" s="2" t="n">
        <v>45982.0</v>
      </c>
      <c r="C289" t="inlineStr">
        <is>
          <t/>
        </is>
      </c>
      <c r="D289"/>
      <c r="E289" t="inlineStr">
        <is>
          <t>Flat 24 - 3 West Gate</t>
        </is>
      </c>
      <c r="F289" t="inlineStr">
        <is>
          <t>Owner</t>
        </is>
      </c>
      <c r="G289" t="inlineStr">
        <is>
          <t>Income</t>
        </is>
      </c>
      <c r="H289" s="3" t="n">
        <v>568.5</v>
      </c>
    </row>
    <row r="290">
      <c r="A290" t="inlineStr">
        <is>
          <t>YZ2WWPAKJQ</t>
        </is>
      </c>
      <c r="B290" s="2" t="n">
        <v>45982.0</v>
      </c>
      <c r="C290" t="inlineStr">
        <is>
          <t/>
        </is>
      </c>
      <c r="D290"/>
      <c r="E290" t="inlineStr">
        <is>
          <t>Flat 25 - 3 West Gate</t>
        </is>
      </c>
      <c r="F290" t="inlineStr">
        <is>
          <t>Owner</t>
        </is>
      </c>
      <c r="G290" t="inlineStr">
        <is>
          <t>Income</t>
        </is>
      </c>
      <c r="H290" s="3" t="n">
        <v>321.5</v>
      </c>
    </row>
    <row r="291">
      <c r="A291" t="inlineStr">
        <is>
          <t>YZ2WWPAKJQ</t>
        </is>
      </c>
      <c r="B291" s="2" t="n">
        <v>45982.0</v>
      </c>
      <c r="C291" t="inlineStr">
        <is>
          <t/>
        </is>
      </c>
      <c r="D291"/>
      <c r="E291" t="inlineStr">
        <is>
          <t>Flat 27 - 3 West Gate</t>
        </is>
      </c>
      <c r="F291" t="inlineStr">
        <is>
          <t>Owner</t>
        </is>
      </c>
      <c r="G291" t="inlineStr">
        <is>
          <t>Income</t>
        </is>
      </c>
      <c r="H291" s="3" t="n">
        <v>595.0</v>
      </c>
    </row>
    <row r="292">
      <c r="A292" t="inlineStr">
        <is>
          <t>YZ2WWPAKJQ</t>
        </is>
      </c>
      <c r="B292" s="2" t="n">
        <v>45982.0</v>
      </c>
      <c r="C292" t="inlineStr">
        <is>
          <t/>
        </is>
      </c>
      <c r="D292"/>
      <c r="E292" t="inlineStr">
        <is>
          <t>Flat 28 - 3 West Gate</t>
        </is>
      </c>
      <c r="F292" t="inlineStr">
        <is>
          <t>Owner</t>
        </is>
      </c>
      <c r="G292" t="inlineStr">
        <is>
          <t>Income</t>
        </is>
      </c>
      <c r="H292" s="3" t="n">
        <v>403.13</v>
      </c>
    </row>
    <row r="293">
      <c r="A293" t="inlineStr">
        <is>
          <t>YZ2WWPAKJQ</t>
        </is>
      </c>
      <c r="B293" s="2" t="n">
        <v>45982.0</v>
      </c>
      <c r="C293" t="inlineStr">
        <is>
          <t/>
        </is>
      </c>
      <c r="D293"/>
      <c r="E293" t="inlineStr">
        <is>
          <t>Flat 29 - 3 West Gate</t>
        </is>
      </c>
      <c r="F293" t="inlineStr">
        <is>
          <t>Owner</t>
        </is>
      </c>
      <c r="G293" t="inlineStr">
        <is>
          <t>Income</t>
        </is>
      </c>
      <c r="H293" s="3" t="n">
        <v>509.0</v>
      </c>
    </row>
    <row r="294">
      <c r="A294" t="inlineStr">
        <is>
          <t>YZ2WWPAKJQ</t>
        </is>
      </c>
      <c r="B294" s="2" t="n">
        <v>45982.0</v>
      </c>
      <c r="C294" t="inlineStr">
        <is>
          <t/>
        </is>
      </c>
      <c r="D294"/>
      <c r="E294" t="inlineStr">
        <is>
          <t>Flat 3 - 3 West Gate</t>
        </is>
      </c>
      <c r="F294" t="inlineStr">
        <is>
          <t>Owner</t>
        </is>
      </c>
      <c r="G294" t="inlineStr">
        <is>
          <t>Income</t>
        </is>
      </c>
      <c r="H294" s="3" t="n">
        <v>629.0</v>
      </c>
    </row>
    <row r="295">
      <c r="A295" t="inlineStr">
        <is>
          <t>YZ2WWPAKJQ</t>
        </is>
      </c>
      <c r="B295" s="2" t="n">
        <v>45982.0</v>
      </c>
      <c r="C295" t="inlineStr">
        <is>
          <t/>
        </is>
      </c>
      <c r="D295"/>
      <c r="E295" t="inlineStr">
        <is>
          <t>Flat 4 - 3 West Gate</t>
        </is>
      </c>
      <c r="F295" t="inlineStr">
        <is>
          <t>Owner</t>
        </is>
      </c>
      <c r="G295" t="inlineStr">
        <is>
          <t>Income</t>
        </is>
      </c>
      <c r="H295" s="3" t="n">
        <v>576.75</v>
      </c>
    </row>
    <row r="296">
      <c r="A296" t="inlineStr">
        <is>
          <t>YZ2WWPAKJQ</t>
        </is>
      </c>
      <c r="B296" s="2" t="n">
        <v>45982.0</v>
      </c>
      <c r="C296" t="inlineStr">
        <is>
          <t/>
        </is>
      </c>
      <c r="D296"/>
      <c r="E296" t="inlineStr">
        <is>
          <t>Flat 6 - 3 West Gate</t>
        </is>
      </c>
      <c r="F296" t="inlineStr">
        <is>
          <t>Owner</t>
        </is>
      </c>
      <c r="G296" t="inlineStr">
        <is>
          <t>Income</t>
        </is>
      </c>
      <c r="H296" s="3" t="n">
        <v>479.0</v>
      </c>
    </row>
    <row r="297">
      <c r="A297" t="inlineStr">
        <is>
          <t>YZ2WWPAKJQ</t>
        </is>
      </c>
      <c r="B297" s="2" t="n">
        <v>45982.0</v>
      </c>
      <c r="C297" t="inlineStr">
        <is>
          <t/>
        </is>
      </c>
      <c r="D297"/>
      <c r="E297" t="inlineStr">
        <is>
          <t>Flat 8 - 3 West Gate</t>
        </is>
      </c>
      <c r="F297" t="inlineStr">
        <is>
          <t>Owner</t>
        </is>
      </c>
      <c r="G297" t="inlineStr">
        <is>
          <t>Income</t>
        </is>
      </c>
      <c r="H297" s="3" t="n">
        <v>524.75</v>
      </c>
    </row>
    <row r="298">
      <c r="A298" t="inlineStr">
        <is>
          <t>YZ2WWPAKJQ</t>
        </is>
      </c>
      <c r="B298" s="2" t="n">
        <v>45982.0</v>
      </c>
      <c r="C298" t="inlineStr">
        <is>
          <t/>
        </is>
      </c>
      <c r="D298"/>
      <c r="E298" t="inlineStr">
        <is>
          <t>Flat 9 - 3 West Gate</t>
        </is>
      </c>
      <c r="F298" t="inlineStr">
        <is>
          <t>Owner</t>
        </is>
      </c>
      <c r="G298" t="inlineStr">
        <is>
          <t>Income</t>
        </is>
      </c>
      <c r="H298" s="3" t="n">
        <v>495.0</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2025-12-16T20:57:20Z</dcterms:created>
  <dc:creator>Apache POI</dc:creator>
</cp:coreProperties>
</file>